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charlieweinstein/Desktop/"/>
    </mc:Choice>
  </mc:AlternateContent>
  <xr:revisionPtr revIDLastSave="0" documentId="13_ncr:1_{AC77A08E-6D9D-5F42-BFFA-DD9CFCADD7B8}" xr6:coauthVersionLast="47" xr6:coauthVersionMax="47" xr10:uidLastSave="{00000000-0000-0000-0000-000000000000}"/>
  <bookViews>
    <workbookView xWindow="0" yWindow="680" windowWidth="34200" windowHeight="20160" xr2:uid="{00000000-000D-0000-FFFF-FFFF00000000}"/>
  </bookViews>
  <sheets>
    <sheet name="2026 Precinct Forecast" sheetId="2" r:id="rId1"/>
    <sheet name="Feature Ranking" sheetId="4" r:id="rId2"/>
    <sheet name="2024 Backtest"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4" i="5" l="1"/>
  <c r="F383" i="5"/>
  <c r="G374" i="5"/>
  <c r="D374" i="5"/>
  <c r="J374" i="5" s="1"/>
  <c r="K373" i="5"/>
  <c r="I373" i="5"/>
  <c r="F378" i="5" s="1"/>
  <c r="H373" i="5"/>
  <c r="G373" i="5"/>
  <c r="E373" i="5"/>
  <c r="D373" i="5"/>
  <c r="F373" i="5" s="1"/>
  <c r="F377" i="5" s="1"/>
  <c r="K371" i="5"/>
  <c r="J371" i="5"/>
  <c r="L371" i="5" s="1"/>
  <c r="I371" i="5"/>
  <c r="F371" i="5"/>
  <c r="K370" i="5"/>
  <c r="L370" i="5" s="1"/>
  <c r="J370" i="5"/>
  <c r="I370" i="5"/>
  <c r="F370" i="5"/>
  <c r="L369" i="5"/>
  <c r="K369" i="5"/>
  <c r="J369" i="5"/>
  <c r="I369" i="5"/>
  <c r="F369" i="5"/>
  <c r="L368" i="5"/>
  <c r="K368" i="5"/>
  <c r="J368" i="5"/>
  <c r="I368" i="5"/>
  <c r="F368" i="5"/>
  <c r="L367" i="5"/>
  <c r="K367" i="5"/>
  <c r="J367" i="5"/>
  <c r="I367" i="5"/>
  <c r="F367" i="5"/>
  <c r="K366" i="5"/>
  <c r="L366" i="5" s="1"/>
  <c r="J366" i="5"/>
  <c r="I366" i="5"/>
  <c r="F366" i="5"/>
  <c r="K365" i="5"/>
  <c r="L365" i="5" s="1"/>
  <c r="J365" i="5"/>
  <c r="I365" i="5"/>
  <c r="F365" i="5"/>
  <c r="L364" i="5"/>
  <c r="K364" i="5"/>
  <c r="J364" i="5"/>
  <c r="I364" i="5"/>
  <c r="F364" i="5"/>
  <c r="K363" i="5"/>
  <c r="J363" i="5"/>
  <c r="L363" i="5" s="1"/>
  <c r="I363" i="5"/>
  <c r="F363" i="5"/>
  <c r="K362" i="5"/>
  <c r="L362" i="5" s="1"/>
  <c r="J362" i="5"/>
  <c r="I362" i="5"/>
  <c r="F362" i="5"/>
  <c r="L361" i="5"/>
  <c r="K361" i="5"/>
  <c r="J361" i="5"/>
  <c r="I361" i="5"/>
  <c r="F361" i="5"/>
  <c r="L360" i="5"/>
  <c r="K360" i="5"/>
  <c r="J360" i="5"/>
  <c r="I360" i="5"/>
  <c r="F360" i="5"/>
  <c r="L359" i="5"/>
  <c r="K359" i="5"/>
  <c r="J359" i="5"/>
  <c r="I359" i="5"/>
  <c r="F359" i="5"/>
  <c r="K358" i="5"/>
  <c r="L358" i="5" s="1"/>
  <c r="J358" i="5"/>
  <c r="I358" i="5"/>
  <c r="F358" i="5"/>
  <c r="K357" i="5"/>
  <c r="L357" i="5" s="1"/>
  <c r="J357" i="5"/>
  <c r="I357" i="5"/>
  <c r="F357" i="5"/>
  <c r="L356" i="5"/>
  <c r="K356" i="5"/>
  <c r="J356" i="5"/>
  <c r="I356" i="5"/>
  <c r="F356" i="5"/>
  <c r="K355" i="5"/>
  <c r="J355" i="5"/>
  <c r="L355" i="5" s="1"/>
  <c r="I355" i="5"/>
  <c r="F355" i="5"/>
  <c r="K354" i="5"/>
  <c r="L354" i="5" s="1"/>
  <c r="J354" i="5"/>
  <c r="I354" i="5"/>
  <c r="F354" i="5"/>
  <c r="L353" i="5"/>
  <c r="K353" i="5"/>
  <c r="J353" i="5"/>
  <c r="I353" i="5"/>
  <c r="F353" i="5"/>
  <c r="L352" i="5"/>
  <c r="K352" i="5"/>
  <c r="J352" i="5"/>
  <c r="I352" i="5"/>
  <c r="F352" i="5"/>
  <c r="L351" i="5"/>
  <c r="K351" i="5"/>
  <c r="J351" i="5"/>
  <c r="I351" i="5"/>
  <c r="F351" i="5"/>
  <c r="K350" i="5"/>
  <c r="L350" i="5" s="1"/>
  <c r="J350" i="5"/>
  <c r="I350" i="5"/>
  <c r="F350" i="5"/>
  <c r="K349" i="5"/>
  <c r="L349" i="5" s="1"/>
  <c r="J349" i="5"/>
  <c r="I349" i="5"/>
  <c r="F349" i="5"/>
  <c r="L348" i="5"/>
  <c r="K348" i="5"/>
  <c r="J348" i="5"/>
  <c r="I348" i="5"/>
  <c r="F348" i="5"/>
  <c r="L347" i="5"/>
  <c r="K347" i="5"/>
  <c r="J347" i="5"/>
  <c r="I347" i="5"/>
  <c r="F347" i="5"/>
  <c r="K346" i="5"/>
  <c r="L346" i="5" s="1"/>
  <c r="J346" i="5"/>
  <c r="I346" i="5"/>
  <c r="F346" i="5"/>
  <c r="L345" i="5"/>
  <c r="K345" i="5"/>
  <c r="J345" i="5"/>
  <c r="I345" i="5"/>
  <c r="F345" i="5"/>
  <c r="K344" i="5"/>
  <c r="L344" i="5" s="1"/>
  <c r="J344" i="5"/>
  <c r="I344" i="5"/>
  <c r="F344" i="5"/>
  <c r="L343" i="5"/>
  <c r="K343" i="5"/>
  <c r="J343" i="5"/>
  <c r="I343" i="5"/>
  <c r="F343" i="5"/>
  <c r="K342" i="5"/>
  <c r="L342" i="5" s="1"/>
  <c r="J342" i="5"/>
  <c r="I342" i="5"/>
  <c r="F342" i="5"/>
  <c r="K341" i="5"/>
  <c r="J341" i="5"/>
  <c r="I341" i="5"/>
  <c r="F341" i="5"/>
  <c r="L340" i="5"/>
  <c r="K340" i="5"/>
  <c r="J340" i="5"/>
  <c r="I340" i="5"/>
  <c r="F340" i="5"/>
  <c r="K339" i="5"/>
  <c r="J339" i="5"/>
  <c r="L339" i="5" s="1"/>
  <c r="I339" i="5"/>
  <c r="F339" i="5"/>
  <c r="K338" i="5"/>
  <c r="L338" i="5" s="1"/>
  <c r="J338" i="5"/>
  <c r="I338" i="5"/>
  <c r="F338" i="5"/>
  <c r="L337" i="5"/>
  <c r="K337" i="5"/>
  <c r="J337" i="5"/>
  <c r="I337" i="5"/>
  <c r="F337" i="5"/>
  <c r="K336" i="5"/>
  <c r="L336" i="5" s="1"/>
  <c r="J336" i="5"/>
  <c r="I336" i="5"/>
  <c r="F336" i="5"/>
  <c r="L335" i="5"/>
  <c r="K335" i="5"/>
  <c r="J335" i="5"/>
  <c r="I335" i="5"/>
  <c r="F335" i="5"/>
  <c r="K334" i="5"/>
  <c r="L334" i="5" s="1"/>
  <c r="J334" i="5"/>
  <c r="I334" i="5"/>
  <c r="F334" i="5"/>
  <c r="K333" i="5"/>
  <c r="L333" i="5" s="1"/>
  <c r="J333" i="5"/>
  <c r="I333" i="5"/>
  <c r="F333" i="5"/>
  <c r="L332" i="5"/>
  <c r="K332" i="5"/>
  <c r="J332" i="5"/>
  <c r="I332" i="5"/>
  <c r="F332" i="5"/>
  <c r="L331" i="5"/>
  <c r="K331" i="5"/>
  <c r="J331" i="5"/>
  <c r="I331" i="5"/>
  <c r="F331" i="5"/>
  <c r="K330" i="5"/>
  <c r="L330" i="5" s="1"/>
  <c r="J330" i="5"/>
  <c r="I330" i="5"/>
  <c r="F330" i="5"/>
  <c r="L329" i="5"/>
  <c r="K329" i="5"/>
  <c r="J329" i="5"/>
  <c r="I329" i="5"/>
  <c r="F329" i="5"/>
  <c r="K328" i="5"/>
  <c r="L328" i="5" s="1"/>
  <c r="J328" i="5"/>
  <c r="I328" i="5"/>
  <c r="F328" i="5"/>
  <c r="L327" i="5"/>
  <c r="K327" i="5"/>
  <c r="J327" i="5"/>
  <c r="I327" i="5"/>
  <c r="F327" i="5"/>
  <c r="K326" i="5"/>
  <c r="L326" i="5" s="1"/>
  <c r="J326" i="5"/>
  <c r="I326" i="5"/>
  <c r="F326" i="5"/>
  <c r="K325" i="5"/>
  <c r="L325" i="5" s="1"/>
  <c r="J325" i="5"/>
  <c r="I325" i="5"/>
  <c r="F325" i="5"/>
  <c r="L324" i="5"/>
  <c r="K324" i="5"/>
  <c r="J324" i="5"/>
  <c r="I324" i="5"/>
  <c r="F324" i="5"/>
  <c r="K323" i="5"/>
  <c r="L323" i="5" s="1"/>
  <c r="J323" i="5"/>
  <c r="I323" i="5"/>
  <c r="F323" i="5"/>
  <c r="K322" i="5"/>
  <c r="L322" i="5" s="1"/>
  <c r="J322" i="5"/>
  <c r="I322" i="5"/>
  <c r="F322" i="5"/>
  <c r="L321" i="5"/>
  <c r="K321" i="5"/>
  <c r="J321" i="5"/>
  <c r="I321" i="5"/>
  <c r="F321" i="5"/>
  <c r="K320" i="5"/>
  <c r="J320" i="5"/>
  <c r="I320" i="5"/>
  <c r="F320" i="5"/>
  <c r="L319" i="5"/>
  <c r="K319" i="5"/>
  <c r="J319" i="5"/>
  <c r="I319" i="5"/>
  <c r="F319" i="5"/>
  <c r="L318" i="5"/>
  <c r="K318" i="5"/>
  <c r="J318" i="5"/>
  <c r="I318" i="5"/>
  <c r="F318" i="5"/>
  <c r="K317" i="5"/>
  <c r="J317" i="5"/>
  <c r="I317" i="5"/>
  <c r="F317" i="5"/>
  <c r="L316" i="5"/>
  <c r="K316" i="5"/>
  <c r="J316" i="5"/>
  <c r="I316" i="5"/>
  <c r="F316" i="5"/>
  <c r="L315" i="5"/>
  <c r="K315" i="5"/>
  <c r="J315" i="5"/>
  <c r="I315" i="5"/>
  <c r="F315" i="5"/>
  <c r="K314" i="5"/>
  <c r="L314" i="5" s="1"/>
  <c r="J314" i="5"/>
  <c r="I314" i="5"/>
  <c r="F314" i="5"/>
  <c r="L313" i="5"/>
  <c r="K313" i="5"/>
  <c r="J313" i="5"/>
  <c r="I313" i="5"/>
  <c r="F313" i="5"/>
  <c r="K312" i="5"/>
  <c r="L312" i="5" s="1"/>
  <c r="J312" i="5"/>
  <c r="I312" i="5"/>
  <c r="F312" i="5"/>
  <c r="L311" i="5"/>
  <c r="K311" i="5"/>
  <c r="J311" i="5"/>
  <c r="I311" i="5"/>
  <c r="F311" i="5"/>
  <c r="K310" i="5"/>
  <c r="L310" i="5" s="1"/>
  <c r="J310" i="5"/>
  <c r="I310" i="5"/>
  <c r="F310" i="5"/>
  <c r="K309" i="5"/>
  <c r="L309" i="5" s="1"/>
  <c r="J309" i="5"/>
  <c r="I309" i="5"/>
  <c r="F309" i="5"/>
  <c r="L308" i="5"/>
  <c r="K308" i="5"/>
  <c r="J308" i="5"/>
  <c r="I308" i="5"/>
  <c r="F308" i="5"/>
  <c r="K307" i="5"/>
  <c r="L307" i="5" s="1"/>
  <c r="J307" i="5"/>
  <c r="I307" i="5"/>
  <c r="F307" i="5"/>
  <c r="K306" i="5"/>
  <c r="L306" i="5" s="1"/>
  <c r="J306" i="5"/>
  <c r="I306" i="5"/>
  <c r="F306" i="5"/>
  <c r="L305" i="5"/>
  <c r="K305" i="5"/>
  <c r="J305" i="5"/>
  <c r="I305" i="5"/>
  <c r="F305" i="5"/>
  <c r="K304" i="5"/>
  <c r="J304" i="5"/>
  <c r="I304" i="5"/>
  <c r="F304" i="5"/>
  <c r="L303" i="5"/>
  <c r="K303" i="5"/>
  <c r="J303" i="5"/>
  <c r="I303" i="5"/>
  <c r="F303" i="5"/>
  <c r="K302" i="5"/>
  <c r="L302" i="5" s="1"/>
  <c r="J302" i="5"/>
  <c r="I302" i="5"/>
  <c r="F302" i="5"/>
  <c r="K301" i="5"/>
  <c r="J301" i="5"/>
  <c r="I301" i="5"/>
  <c r="F301" i="5"/>
  <c r="L300" i="5"/>
  <c r="K300" i="5"/>
  <c r="J300" i="5"/>
  <c r="I300" i="5"/>
  <c r="F300" i="5"/>
  <c r="K299" i="5"/>
  <c r="J299" i="5"/>
  <c r="L299" i="5" s="1"/>
  <c r="I299" i="5"/>
  <c r="F299" i="5"/>
  <c r="K298" i="5"/>
  <c r="L298" i="5" s="1"/>
  <c r="J298" i="5"/>
  <c r="I298" i="5"/>
  <c r="F298" i="5"/>
  <c r="L297" i="5"/>
  <c r="K297" i="5"/>
  <c r="J297" i="5"/>
  <c r="I297" i="5"/>
  <c r="F297" i="5"/>
  <c r="K296" i="5"/>
  <c r="L296" i="5" s="1"/>
  <c r="J296" i="5"/>
  <c r="I296" i="5"/>
  <c r="F296" i="5"/>
  <c r="L295" i="5"/>
  <c r="K295" i="5"/>
  <c r="J295" i="5"/>
  <c r="I295" i="5"/>
  <c r="F295" i="5"/>
  <c r="K294" i="5"/>
  <c r="L294" i="5" s="1"/>
  <c r="J294" i="5"/>
  <c r="I294" i="5"/>
  <c r="F294" i="5"/>
  <c r="K293" i="5"/>
  <c r="L293" i="5" s="1"/>
  <c r="J293" i="5"/>
  <c r="I293" i="5"/>
  <c r="F293" i="5"/>
  <c r="L292" i="5"/>
  <c r="K292" i="5"/>
  <c r="J292" i="5"/>
  <c r="I292" i="5"/>
  <c r="F292" i="5"/>
  <c r="K291" i="5"/>
  <c r="L291" i="5" s="1"/>
  <c r="J291" i="5"/>
  <c r="I291" i="5"/>
  <c r="F291" i="5"/>
  <c r="K290" i="5"/>
  <c r="L290" i="5" s="1"/>
  <c r="J290" i="5"/>
  <c r="I290" i="5"/>
  <c r="F290" i="5"/>
  <c r="L289" i="5"/>
  <c r="K289" i="5"/>
  <c r="J289" i="5"/>
  <c r="I289" i="5"/>
  <c r="F289" i="5"/>
  <c r="K288" i="5"/>
  <c r="J288" i="5"/>
  <c r="I288" i="5"/>
  <c r="F288" i="5"/>
  <c r="L287" i="5"/>
  <c r="K287" i="5"/>
  <c r="J287" i="5"/>
  <c r="I287" i="5"/>
  <c r="F287" i="5"/>
  <c r="L286" i="5"/>
  <c r="K286" i="5"/>
  <c r="J286" i="5"/>
  <c r="I286" i="5"/>
  <c r="F286" i="5"/>
  <c r="K285" i="5"/>
  <c r="J285" i="5"/>
  <c r="I285" i="5"/>
  <c r="F285" i="5"/>
  <c r="L284" i="5"/>
  <c r="K284" i="5"/>
  <c r="J284" i="5"/>
  <c r="I284" i="5"/>
  <c r="F284" i="5"/>
  <c r="K283" i="5"/>
  <c r="L283" i="5" s="1"/>
  <c r="J283" i="5"/>
  <c r="I283" i="5"/>
  <c r="F283" i="5"/>
  <c r="K282" i="5"/>
  <c r="L282" i="5" s="1"/>
  <c r="J282" i="5"/>
  <c r="I282" i="5"/>
  <c r="F282" i="5"/>
  <c r="L281" i="5"/>
  <c r="K281" i="5"/>
  <c r="J281" i="5"/>
  <c r="I281" i="5"/>
  <c r="F281" i="5"/>
  <c r="K280" i="5"/>
  <c r="L280" i="5" s="1"/>
  <c r="J280" i="5"/>
  <c r="I280" i="5"/>
  <c r="F280" i="5"/>
  <c r="L279" i="5"/>
  <c r="K279" i="5"/>
  <c r="J279" i="5"/>
  <c r="I279" i="5"/>
  <c r="F279" i="5"/>
  <c r="K278" i="5"/>
  <c r="L278" i="5" s="1"/>
  <c r="J278" i="5"/>
  <c r="I278" i="5"/>
  <c r="F278" i="5"/>
  <c r="K277" i="5"/>
  <c r="L277" i="5" s="1"/>
  <c r="J277" i="5"/>
  <c r="I277" i="5"/>
  <c r="F277" i="5"/>
  <c r="L276" i="5"/>
  <c r="K276" i="5"/>
  <c r="J276" i="5"/>
  <c r="I276" i="5"/>
  <c r="F276" i="5"/>
  <c r="K275" i="5"/>
  <c r="L275" i="5" s="1"/>
  <c r="J275" i="5"/>
  <c r="I275" i="5"/>
  <c r="F275" i="5"/>
  <c r="K274" i="5"/>
  <c r="L274" i="5" s="1"/>
  <c r="J274" i="5"/>
  <c r="I274" i="5"/>
  <c r="F274" i="5"/>
  <c r="L273" i="5"/>
  <c r="K273" i="5"/>
  <c r="J273" i="5"/>
  <c r="I273" i="5"/>
  <c r="F273" i="5"/>
  <c r="K272" i="5"/>
  <c r="J272" i="5"/>
  <c r="I272" i="5"/>
  <c r="F272" i="5"/>
  <c r="L271" i="5"/>
  <c r="K271" i="5"/>
  <c r="J271" i="5"/>
  <c r="I271" i="5"/>
  <c r="F271" i="5"/>
  <c r="L270" i="5"/>
  <c r="K270" i="5"/>
  <c r="J270" i="5"/>
  <c r="I270" i="5"/>
  <c r="F270" i="5"/>
  <c r="K269" i="5"/>
  <c r="J269" i="5"/>
  <c r="I269" i="5"/>
  <c r="F269" i="5"/>
  <c r="L268" i="5"/>
  <c r="K268" i="5"/>
  <c r="J268" i="5"/>
  <c r="I268" i="5"/>
  <c r="F268" i="5"/>
  <c r="K267" i="5"/>
  <c r="J267" i="5"/>
  <c r="L267" i="5" s="1"/>
  <c r="I267" i="5"/>
  <c r="F267" i="5"/>
  <c r="K266" i="5"/>
  <c r="L266" i="5" s="1"/>
  <c r="J266" i="5"/>
  <c r="I266" i="5"/>
  <c r="F266" i="5"/>
  <c r="L265" i="5"/>
  <c r="K265" i="5"/>
  <c r="J265" i="5"/>
  <c r="I265" i="5"/>
  <c r="F265" i="5"/>
  <c r="K264" i="5"/>
  <c r="J264" i="5"/>
  <c r="I264" i="5"/>
  <c r="F264" i="5"/>
  <c r="L263" i="5"/>
  <c r="K263" i="5"/>
  <c r="J263" i="5"/>
  <c r="I263" i="5"/>
  <c r="F263" i="5"/>
  <c r="K262" i="5"/>
  <c r="L262" i="5" s="1"/>
  <c r="J262" i="5"/>
  <c r="I262" i="5"/>
  <c r="F262" i="5"/>
  <c r="K261" i="5"/>
  <c r="L261" i="5" s="1"/>
  <c r="J261" i="5"/>
  <c r="I261" i="5"/>
  <c r="F261" i="5"/>
  <c r="L260" i="5"/>
  <c r="K260" i="5"/>
  <c r="J260" i="5"/>
  <c r="I260" i="5"/>
  <c r="F260" i="5"/>
  <c r="K259" i="5"/>
  <c r="L259" i="5" s="1"/>
  <c r="J259" i="5"/>
  <c r="I259" i="5"/>
  <c r="F259" i="5"/>
  <c r="K258" i="5"/>
  <c r="L258" i="5" s="1"/>
  <c r="J258" i="5"/>
  <c r="I258" i="5"/>
  <c r="F258" i="5"/>
  <c r="L257" i="5"/>
  <c r="K257" i="5"/>
  <c r="J257" i="5"/>
  <c r="I257" i="5"/>
  <c r="F257" i="5"/>
  <c r="K256" i="5"/>
  <c r="J256" i="5"/>
  <c r="I256" i="5"/>
  <c r="F256" i="5"/>
  <c r="L255" i="5"/>
  <c r="K255" i="5"/>
  <c r="J255" i="5"/>
  <c r="I255" i="5"/>
  <c r="F255" i="5"/>
  <c r="L254" i="5"/>
  <c r="K254" i="5"/>
  <c r="J254" i="5"/>
  <c r="I254" i="5"/>
  <c r="F254" i="5"/>
  <c r="K253" i="5"/>
  <c r="J253" i="5"/>
  <c r="I253" i="5"/>
  <c r="F253" i="5"/>
  <c r="L252" i="5"/>
  <c r="K252" i="5"/>
  <c r="J252" i="5"/>
  <c r="I252" i="5"/>
  <c r="F252" i="5"/>
  <c r="L251" i="5"/>
  <c r="K251" i="5"/>
  <c r="J251" i="5"/>
  <c r="I251" i="5"/>
  <c r="F251" i="5"/>
  <c r="K250" i="5"/>
  <c r="L250" i="5" s="1"/>
  <c r="J250" i="5"/>
  <c r="I250" i="5"/>
  <c r="F250" i="5"/>
  <c r="L249" i="5"/>
  <c r="K249" i="5"/>
  <c r="J249" i="5"/>
  <c r="I249" i="5"/>
  <c r="F249" i="5"/>
  <c r="K248" i="5"/>
  <c r="L248" i="5" s="1"/>
  <c r="J248" i="5"/>
  <c r="I248" i="5"/>
  <c r="F248" i="5"/>
  <c r="L247" i="5"/>
  <c r="K247" i="5"/>
  <c r="J247" i="5"/>
  <c r="I247" i="5"/>
  <c r="F247" i="5"/>
  <c r="K246" i="5"/>
  <c r="L246" i="5" s="1"/>
  <c r="J246" i="5"/>
  <c r="I246" i="5"/>
  <c r="F246" i="5"/>
  <c r="K245" i="5"/>
  <c r="J245" i="5"/>
  <c r="I245" i="5"/>
  <c r="F245" i="5"/>
  <c r="L244" i="5"/>
  <c r="K244" i="5"/>
  <c r="J244" i="5"/>
  <c r="I244" i="5"/>
  <c r="F244" i="5"/>
  <c r="K243" i="5"/>
  <c r="L243" i="5" s="1"/>
  <c r="J243" i="5"/>
  <c r="I243" i="5"/>
  <c r="F243" i="5"/>
  <c r="K242" i="5"/>
  <c r="L242" i="5" s="1"/>
  <c r="J242" i="5"/>
  <c r="I242" i="5"/>
  <c r="F242" i="5"/>
  <c r="L241" i="5"/>
  <c r="K241" i="5"/>
  <c r="J241" i="5"/>
  <c r="I241" i="5"/>
  <c r="F241" i="5"/>
  <c r="K240" i="5"/>
  <c r="L240" i="5" s="1"/>
  <c r="J240" i="5"/>
  <c r="I240" i="5"/>
  <c r="F240" i="5"/>
  <c r="L239" i="5"/>
  <c r="K239" i="5"/>
  <c r="J239" i="5"/>
  <c r="I239" i="5"/>
  <c r="F239" i="5"/>
  <c r="K238" i="5"/>
  <c r="L238" i="5" s="1"/>
  <c r="J238" i="5"/>
  <c r="I238" i="5"/>
  <c r="F238" i="5"/>
  <c r="K237" i="5"/>
  <c r="L237" i="5" s="1"/>
  <c r="J237" i="5"/>
  <c r="I237" i="5"/>
  <c r="F237" i="5"/>
  <c r="L236" i="5"/>
  <c r="K236" i="5"/>
  <c r="J236" i="5"/>
  <c r="I236" i="5"/>
  <c r="F236" i="5"/>
  <c r="K235" i="5"/>
  <c r="L235" i="5" s="1"/>
  <c r="J235" i="5"/>
  <c r="I235" i="5"/>
  <c r="F235" i="5"/>
  <c r="K234" i="5"/>
  <c r="L234" i="5" s="1"/>
  <c r="J234" i="5"/>
  <c r="I234" i="5"/>
  <c r="F234" i="5"/>
  <c r="L233" i="5"/>
  <c r="K233" i="5"/>
  <c r="J233" i="5"/>
  <c r="I233" i="5"/>
  <c r="F233" i="5"/>
  <c r="K232" i="5"/>
  <c r="L232" i="5" s="1"/>
  <c r="J232" i="5"/>
  <c r="I232" i="5"/>
  <c r="F232" i="5"/>
  <c r="L231" i="5"/>
  <c r="K231" i="5"/>
  <c r="J231" i="5"/>
  <c r="I231" i="5"/>
  <c r="F231" i="5"/>
  <c r="K230" i="5"/>
  <c r="L230" i="5" s="1"/>
  <c r="J230" i="5"/>
  <c r="I230" i="5"/>
  <c r="F230" i="5"/>
  <c r="K229" i="5"/>
  <c r="L229" i="5" s="1"/>
  <c r="J229" i="5"/>
  <c r="I229" i="5"/>
  <c r="F229" i="5"/>
  <c r="L228" i="5"/>
  <c r="K228" i="5"/>
  <c r="J228" i="5"/>
  <c r="I228" i="5"/>
  <c r="F228" i="5"/>
  <c r="K227" i="5"/>
  <c r="L227" i="5" s="1"/>
  <c r="J227" i="5"/>
  <c r="I227" i="5"/>
  <c r="F227" i="5"/>
  <c r="K226" i="5"/>
  <c r="L226" i="5" s="1"/>
  <c r="J226" i="5"/>
  <c r="I226" i="5"/>
  <c r="F226" i="5"/>
  <c r="L225" i="5"/>
  <c r="K225" i="5"/>
  <c r="J225" i="5"/>
  <c r="I225" i="5"/>
  <c r="F225" i="5"/>
  <c r="K224" i="5"/>
  <c r="L224" i="5" s="1"/>
  <c r="J224" i="5"/>
  <c r="I224" i="5"/>
  <c r="F224" i="5"/>
  <c r="L223" i="5"/>
  <c r="K223" i="5"/>
  <c r="J223" i="5"/>
  <c r="I223" i="5"/>
  <c r="F223" i="5"/>
  <c r="K222" i="5"/>
  <c r="L222" i="5" s="1"/>
  <c r="J222" i="5"/>
  <c r="I222" i="5"/>
  <c r="F222" i="5"/>
  <c r="K221" i="5"/>
  <c r="L221" i="5" s="1"/>
  <c r="J221" i="5"/>
  <c r="I221" i="5"/>
  <c r="F221" i="5"/>
  <c r="L220" i="5"/>
  <c r="K220" i="5"/>
  <c r="J220" i="5"/>
  <c r="I220" i="5"/>
  <c r="F220" i="5"/>
  <c r="K219" i="5"/>
  <c r="L219" i="5" s="1"/>
  <c r="J219" i="5"/>
  <c r="I219" i="5"/>
  <c r="F219" i="5"/>
  <c r="K218" i="5"/>
  <c r="L218" i="5" s="1"/>
  <c r="J218" i="5"/>
  <c r="I218" i="5"/>
  <c r="F218" i="5"/>
  <c r="L217" i="5"/>
  <c r="K217" i="5"/>
  <c r="J217" i="5"/>
  <c r="I217" i="5"/>
  <c r="F217" i="5"/>
  <c r="K216" i="5"/>
  <c r="L216" i="5" s="1"/>
  <c r="J216" i="5"/>
  <c r="I216" i="5"/>
  <c r="F216" i="5"/>
  <c r="L215" i="5"/>
  <c r="K215" i="5"/>
  <c r="J215" i="5"/>
  <c r="I215" i="5"/>
  <c r="F215" i="5"/>
  <c r="K214" i="5"/>
  <c r="L214" i="5" s="1"/>
  <c r="J214" i="5"/>
  <c r="I214" i="5"/>
  <c r="F214" i="5"/>
  <c r="K213" i="5"/>
  <c r="L213" i="5" s="1"/>
  <c r="J213" i="5"/>
  <c r="I213" i="5"/>
  <c r="F213" i="5"/>
  <c r="L212" i="5"/>
  <c r="K212" i="5"/>
  <c r="J212" i="5"/>
  <c r="I212" i="5"/>
  <c r="F212" i="5"/>
  <c r="K211" i="5"/>
  <c r="L211" i="5" s="1"/>
  <c r="J211" i="5"/>
  <c r="I211" i="5"/>
  <c r="F211" i="5"/>
  <c r="K210" i="5"/>
  <c r="L210" i="5" s="1"/>
  <c r="J210" i="5"/>
  <c r="I210" i="5"/>
  <c r="F210" i="5"/>
  <c r="L209" i="5"/>
  <c r="K209" i="5"/>
  <c r="J209" i="5"/>
  <c r="I209" i="5"/>
  <c r="F209" i="5"/>
  <c r="K208" i="5"/>
  <c r="L208" i="5" s="1"/>
  <c r="J208" i="5"/>
  <c r="I208" i="5"/>
  <c r="F208" i="5"/>
  <c r="L207" i="5"/>
  <c r="K207" i="5"/>
  <c r="J207" i="5"/>
  <c r="I207" i="5"/>
  <c r="F207" i="5"/>
  <c r="K206" i="5"/>
  <c r="L206" i="5" s="1"/>
  <c r="J206" i="5"/>
  <c r="I206" i="5"/>
  <c r="F206" i="5"/>
  <c r="K205" i="5"/>
  <c r="L205" i="5" s="1"/>
  <c r="J205" i="5"/>
  <c r="I205" i="5"/>
  <c r="F205" i="5"/>
  <c r="L204" i="5"/>
  <c r="K204" i="5"/>
  <c r="J204" i="5"/>
  <c r="I204" i="5"/>
  <c r="F204" i="5"/>
  <c r="K203" i="5"/>
  <c r="L203" i="5" s="1"/>
  <c r="J203" i="5"/>
  <c r="I203" i="5"/>
  <c r="F203" i="5"/>
  <c r="K202" i="5"/>
  <c r="L202" i="5" s="1"/>
  <c r="J202" i="5"/>
  <c r="I202" i="5"/>
  <c r="F202" i="5"/>
  <c r="L201" i="5"/>
  <c r="K201" i="5"/>
  <c r="J201" i="5"/>
  <c r="I201" i="5"/>
  <c r="F201" i="5"/>
  <c r="K200" i="5"/>
  <c r="L200" i="5" s="1"/>
  <c r="J200" i="5"/>
  <c r="I200" i="5"/>
  <c r="F200" i="5"/>
  <c r="L199" i="5"/>
  <c r="K199" i="5"/>
  <c r="J199" i="5"/>
  <c r="I199" i="5"/>
  <c r="F199" i="5"/>
  <c r="K198" i="5"/>
  <c r="L198" i="5" s="1"/>
  <c r="J198" i="5"/>
  <c r="I198" i="5"/>
  <c r="F198" i="5"/>
  <c r="K197" i="5"/>
  <c r="L197" i="5" s="1"/>
  <c r="J197" i="5"/>
  <c r="I197" i="5"/>
  <c r="F197" i="5"/>
  <c r="L196" i="5"/>
  <c r="K196" i="5"/>
  <c r="J196" i="5"/>
  <c r="I196" i="5"/>
  <c r="F196" i="5"/>
  <c r="K195" i="5"/>
  <c r="L195" i="5" s="1"/>
  <c r="J195" i="5"/>
  <c r="I195" i="5"/>
  <c r="F195" i="5"/>
  <c r="K194" i="5"/>
  <c r="L194" i="5" s="1"/>
  <c r="J194" i="5"/>
  <c r="I194" i="5"/>
  <c r="F194" i="5"/>
  <c r="L193" i="5"/>
  <c r="K193" i="5"/>
  <c r="J193" i="5"/>
  <c r="I193" i="5"/>
  <c r="F193" i="5"/>
  <c r="K192" i="5"/>
  <c r="L192" i="5" s="1"/>
  <c r="J192" i="5"/>
  <c r="I192" i="5"/>
  <c r="F192" i="5"/>
  <c r="L191" i="5"/>
  <c r="K191" i="5"/>
  <c r="J191" i="5"/>
  <c r="I191" i="5"/>
  <c r="F191" i="5"/>
  <c r="K190" i="5"/>
  <c r="L190" i="5" s="1"/>
  <c r="J190" i="5"/>
  <c r="I190" i="5"/>
  <c r="F190" i="5"/>
  <c r="K189" i="5"/>
  <c r="L189" i="5" s="1"/>
  <c r="J189" i="5"/>
  <c r="I189" i="5"/>
  <c r="F189" i="5"/>
  <c r="L188" i="5"/>
  <c r="K188" i="5"/>
  <c r="J188" i="5"/>
  <c r="I188" i="5"/>
  <c r="F188" i="5"/>
  <c r="K187" i="5"/>
  <c r="L187" i="5" s="1"/>
  <c r="J187" i="5"/>
  <c r="I187" i="5"/>
  <c r="F187" i="5"/>
  <c r="K186" i="5"/>
  <c r="J186" i="5"/>
  <c r="I186" i="5"/>
  <c r="F186" i="5"/>
  <c r="L185" i="5"/>
  <c r="K185" i="5"/>
  <c r="J185" i="5"/>
  <c r="I185" i="5"/>
  <c r="F185" i="5"/>
  <c r="L184" i="5"/>
  <c r="K184" i="5"/>
  <c r="J184" i="5"/>
  <c r="I184" i="5"/>
  <c r="F184" i="5"/>
  <c r="L183" i="5"/>
  <c r="K183" i="5"/>
  <c r="J183" i="5"/>
  <c r="I183" i="5"/>
  <c r="F183" i="5"/>
  <c r="K182" i="5"/>
  <c r="L182" i="5" s="1"/>
  <c r="J182" i="5"/>
  <c r="I182" i="5"/>
  <c r="F182" i="5"/>
  <c r="K181" i="5"/>
  <c r="J181" i="5"/>
  <c r="I181" i="5"/>
  <c r="F181" i="5"/>
  <c r="L180" i="5"/>
  <c r="K180" i="5"/>
  <c r="J180" i="5"/>
  <c r="I180" i="5"/>
  <c r="F180" i="5"/>
  <c r="K179" i="5"/>
  <c r="L179" i="5" s="1"/>
  <c r="J179" i="5"/>
  <c r="I179" i="5"/>
  <c r="F179" i="5"/>
  <c r="K178" i="5"/>
  <c r="L178" i="5" s="1"/>
  <c r="J178" i="5"/>
  <c r="I178" i="5"/>
  <c r="F178" i="5"/>
  <c r="L177" i="5"/>
  <c r="K177" i="5"/>
  <c r="J177" i="5"/>
  <c r="I177" i="5"/>
  <c r="F177" i="5"/>
  <c r="K176" i="5"/>
  <c r="J176" i="5"/>
  <c r="I176" i="5"/>
  <c r="F176" i="5"/>
  <c r="L175" i="5"/>
  <c r="K175" i="5"/>
  <c r="J175" i="5"/>
  <c r="I175" i="5"/>
  <c r="F175" i="5"/>
  <c r="K174" i="5"/>
  <c r="L174" i="5" s="1"/>
  <c r="J174" i="5"/>
  <c r="I174" i="5"/>
  <c r="F174" i="5"/>
  <c r="K173" i="5"/>
  <c r="L173" i="5" s="1"/>
  <c r="J173" i="5"/>
  <c r="I173" i="5"/>
  <c r="F173" i="5"/>
  <c r="L172" i="5"/>
  <c r="K172" i="5"/>
  <c r="J172" i="5"/>
  <c r="I172" i="5"/>
  <c r="F172" i="5"/>
  <c r="K171" i="5"/>
  <c r="J171" i="5"/>
  <c r="I171" i="5"/>
  <c r="F171" i="5"/>
  <c r="K170" i="5"/>
  <c r="L170" i="5" s="1"/>
  <c r="J170" i="5"/>
  <c r="I170" i="5"/>
  <c r="F170" i="5"/>
  <c r="L169" i="5"/>
  <c r="K169" i="5"/>
  <c r="J169" i="5"/>
  <c r="I169" i="5"/>
  <c r="F169" i="5"/>
  <c r="K168" i="5"/>
  <c r="L168" i="5" s="1"/>
  <c r="J168" i="5"/>
  <c r="I168" i="5"/>
  <c r="F168" i="5"/>
  <c r="L167" i="5"/>
  <c r="K167" i="5"/>
  <c r="J167" i="5"/>
  <c r="I167" i="5"/>
  <c r="F167" i="5"/>
  <c r="K166" i="5"/>
  <c r="L166" i="5" s="1"/>
  <c r="J166" i="5"/>
  <c r="I166" i="5"/>
  <c r="F166" i="5"/>
  <c r="K165" i="5"/>
  <c r="L165" i="5" s="1"/>
  <c r="J165" i="5"/>
  <c r="I165" i="5"/>
  <c r="F165" i="5"/>
  <c r="L164" i="5"/>
  <c r="K164" i="5"/>
  <c r="J164" i="5"/>
  <c r="I164" i="5"/>
  <c r="F164" i="5"/>
  <c r="K163" i="5"/>
  <c r="L163" i="5" s="1"/>
  <c r="J163" i="5"/>
  <c r="I163" i="5"/>
  <c r="F163" i="5"/>
  <c r="K162" i="5"/>
  <c r="L162" i="5" s="1"/>
  <c r="J162" i="5"/>
  <c r="I162" i="5"/>
  <c r="F162" i="5"/>
  <c r="L161" i="5"/>
  <c r="K161" i="5"/>
  <c r="J161" i="5"/>
  <c r="I161" i="5"/>
  <c r="F161" i="5"/>
  <c r="K160" i="5"/>
  <c r="L160" i="5" s="1"/>
  <c r="J160" i="5"/>
  <c r="I160" i="5"/>
  <c r="F160" i="5"/>
  <c r="L159" i="5"/>
  <c r="K159" i="5"/>
  <c r="J159" i="5"/>
  <c r="I159" i="5"/>
  <c r="F159" i="5"/>
  <c r="K158" i="5"/>
  <c r="L158" i="5" s="1"/>
  <c r="J158" i="5"/>
  <c r="I158" i="5"/>
  <c r="F158" i="5"/>
  <c r="K157" i="5"/>
  <c r="J157" i="5"/>
  <c r="I157" i="5"/>
  <c r="F157" i="5"/>
  <c r="L156" i="5"/>
  <c r="K156" i="5"/>
  <c r="J156" i="5"/>
  <c r="I156" i="5"/>
  <c r="F156" i="5"/>
  <c r="K155" i="5"/>
  <c r="L155" i="5" s="1"/>
  <c r="J155" i="5"/>
  <c r="I155" i="5"/>
  <c r="F155" i="5"/>
  <c r="K154" i="5"/>
  <c r="L154" i="5" s="1"/>
  <c r="J154" i="5"/>
  <c r="I154" i="5"/>
  <c r="F154" i="5"/>
  <c r="L153" i="5"/>
  <c r="K153" i="5"/>
  <c r="J153" i="5"/>
  <c r="I153" i="5"/>
  <c r="F153" i="5"/>
  <c r="K152" i="5"/>
  <c r="L152" i="5" s="1"/>
  <c r="J152" i="5"/>
  <c r="I152" i="5"/>
  <c r="F152" i="5"/>
  <c r="L151" i="5"/>
  <c r="K151" i="5"/>
  <c r="J151" i="5"/>
  <c r="I151" i="5"/>
  <c r="F151" i="5"/>
  <c r="K150" i="5"/>
  <c r="L150" i="5" s="1"/>
  <c r="J150" i="5"/>
  <c r="I150" i="5"/>
  <c r="F150" i="5"/>
  <c r="K149" i="5"/>
  <c r="L149" i="5" s="1"/>
  <c r="J149" i="5"/>
  <c r="I149" i="5"/>
  <c r="F149" i="5"/>
  <c r="L148" i="5"/>
  <c r="K148" i="5"/>
  <c r="J148" i="5"/>
  <c r="I148" i="5"/>
  <c r="F148" i="5"/>
  <c r="K147" i="5"/>
  <c r="L147" i="5" s="1"/>
  <c r="J147" i="5"/>
  <c r="I147" i="5"/>
  <c r="F147" i="5"/>
  <c r="K146" i="5"/>
  <c r="L146" i="5" s="1"/>
  <c r="J146" i="5"/>
  <c r="I146" i="5"/>
  <c r="F146" i="5"/>
  <c r="L145" i="5"/>
  <c r="K145" i="5"/>
  <c r="J145" i="5"/>
  <c r="I145" i="5"/>
  <c r="F145" i="5"/>
  <c r="K144" i="5"/>
  <c r="J144" i="5"/>
  <c r="I144" i="5"/>
  <c r="F144" i="5"/>
  <c r="L143" i="5"/>
  <c r="K143" i="5"/>
  <c r="J143" i="5"/>
  <c r="I143" i="5"/>
  <c r="F143" i="5"/>
  <c r="L142" i="5"/>
  <c r="K142" i="5"/>
  <c r="J142" i="5"/>
  <c r="I142" i="5"/>
  <c r="F142" i="5"/>
  <c r="K141" i="5"/>
  <c r="L141" i="5" s="1"/>
  <c r="J141" i="5"/>
  <c r="I141" i="5"/>
  <c r="F141" i="5"/>
  <c r="L140" i="5"/>
  <c r="K140" i="5"/>
  <c r="J140" i="5"/>
  <c r="I140" i="5"/>
  <c r="F140" i="5"/>
  <c r="K139" i="5"/>
  <c r="J139" i="5"/>
  <c r="I139" i="5"/>
  <c r="F139" i="5"/>
  <c r="K138" i="5"/>
  <c r="L138" i="5" s="1"/>
  <c r="J138" i="5"/>
  <c r="I138" i="5"/>
  <c r="F138" i="5"/>
  <c r="L137" i="5"/>
  <c r="K137" i="5"/>
  <c r="J137" i="5"/>
  <c r="I137" i="5"/>
  <c r="F137" i="5"/>
  <c r="K136" i="5"/>
  <c r="L136" i="5" s="1"/>
  <c r="J136" i="5"/>
  <c r="I136" i="5"/>
  <c r="F136" i="5"/>
  <c r="L135" i="5"/>
  <c r="K135" i="5"/>
  <c r="J135" i="5"/>
  <c r="I135" i="5"/>
  <c r="F135" i="5"/>
  <c r="K134" i="5"/>
  <c r="L134" i="5" s="1"/>
  <c r="J134" i="5"/>
  <c r="I134" i="5"/>
  <c r="F134" i="5"/>
  <c r="K133" i="5"/>
  <c r="L133" i="5" s="1"/>
  <c r="J133" i="5"/>
  <c r="I133" i="5"/>
  <c r="F133" i="5"/>
  <c r="L132" i="5"/>
  <c r="K132" i="5"/>
  <c r="J132" i="5"/>
  <c r="I132" i="5"/>
  <c r="F132" i="5"/>
  <c r="K131" i="5"/>
  <c r="L131" i="5" s="1"/>
  <c r="J131" i="5"/>
  <c r="I131" i="5"/>
  <c r="F131" i="5"/>
  <c r="K130" i="5"/>
  <c r="J130" i="5"/>
  <c r="I130" i="5"/>
  <c r="F130" i="5"/>
  <c r="L129" i="5"/>
  <c r="K129" i="5"/>
  <c r="J129" i="5"/>
  <c r="I129" i="5"/>
  <c r="F129" i="5"/>
  <c r="K128" i="5"/>
  <c r="L128" i="5" s="1"/>
  <c r="J128" i="5"/>
  <c r="I128" i="5"/>
  <c r="F128" i="5"/>
  <c r="L127" i="5"/>
  <c r="K127" i="5"/>
  <c r="J127" i="5"/>
  <c r="I127" i="5"/>
  <c r="F127" i="5"/>
  <c r="K126" i="5"/>
  <c r="L126" i="5" s="1"/>
  <c r="J126" i="5"/>
  <c r="I126" i="5"/>
  <c r="F126" i="5"/>
  <c r="K125" i="5"/>
  <c r="L125" i="5" s="1"/>
  <c r="J125" i="5"/>
  <c r="I125" i="5"/>
  <c r="F125" i="5"/>
  <c r="L124" i="5"/>
  <c r="K124" i="5"/>
  <c r="J124" i="5"/>
  <c r="I124" i="5"/>
  <c r="F124" i="5"/>
  <c r="K123" i="5"/>
  <c r="L123" i="5" s="1"/>
  <c r="J123" i="5"/>
  <c r="I123" i="5"/>
  <c r="F123" i="5"/>
  <c r="K122" i="5"/>
  <c r="J122" i="5"/>
  <c r="I122" i="5"/>
  <c r="F122" i="5"/>
  <c r="L121" i="5"/>
  <c r="K121" i="5"/>
  <c r="J121" i="5"/>
  <c r="I121" i="5"/>
  <c r="F121" i="5"/>
  <c r="K120" i="5"/>
  <c r="L120" i="5" s="1"/>
  <c r="J120" i="5"/>
  <c r="I120" i="5"/>
  <c r="F120" i="5"/>
  <c r="L119" i="5"/>
  <c r="K119" i="5"/>
  <c r="J119" i="5"/>
  <c r="I119" i="5"/>
  <c r="F119" i="5"/>
  <c r="K118" i="5"/>
  <c r="L118" i="5" s="1"/>
  <c r="J118" i="5"/>
  <c r="I118" i="5"/>
  <c r="F118" i="5"/>
  <c r="K117" i="5"/>
  <c r="J117" i="5"/>
  <c r="I117" i="5"/>
  <c r="F117" i="5"/>
  <c r="L116" i="5"/>
  <c r="K116" i="5"/>
  <c r="J116" i="5"/>
  <c r="I116" i="5"/>
  <c r="F116" i="5"/>
  <c r="K115" i="5"/>
  <c r="L115" i="5" s="1"/>
  <c r="J115" i="5"/>
  <c r="I115" i="5"/>
  <c r="F115" i="5"/>
  <c r="K114" i="5"/>
  <c r="L114" i="5" s="1"/>
  <c r="J114" i="5"/>
  <c r="I114" i="5"/>
  <c r="F114" i="5"/>
  <c r="L113" i="5"/>
  <c r="K113" i="5"/>
  <c r="J113" i="5"/>
  <c r="I113" i="5"/>
  <c r="F113" i="5"/>
  <c r="K112" i="5"/>
  <c r="J112" i="5"/>
  <c r="I112" i="5"/>
  <c r="F112" i="5"/>
  <c r="L111" i="5"/>
  <c r="K111" i="5"/>
  <c r="J111" i="5"/>
  <c r="I111" i="5"/>
  <c r="F111" i="5"/>
  <c r="K110" i="5"/>
  <c r="L110" i="5" s="1"/>
  <c r="J110" i="5"/>
  <c r="I110" i="5"/>
  <c r="F110" i="5"/>
  <c r="K109" i="5"/>
  <c r="L109" i="5" s="1"/>
  <c r="J109" i="5"/>
  <c r="I109" i="5"/>
  <c r="F109" i="5"/>
  <c r="L108" i="5"/>
  <c r="K108" i="5"/>
  <c r="J108" i="5"/>
  <c r="I108" i="5"/>
  <c r="F108" i="5"/>
  <c r="K107" i="5"/>
  <c r="L107" i="5" s="1"/>
  <c r="J107" i="5"/>
  <c r="I107" i="5"/>
  <c r="F107" i="5"/>
  <c r="K106" i="5"/>
  <c r="L106" i="5" s="1"/>
  <c r="J106" i="5"/>
  <c r="I106" i="5"/>
  <c r="F106" i="5"/>
  <c r="L105" i="5"/>
  <c r="K105" i="5"/>
  <c r="J105" i="5"/>
  <c r="I105" i="5"/>
  <c r="F105" i="5"/>
  <c r="K104" i="5"/>
  <c r="L104" i="5" s="1"/>
  <c r="J104" i="5"/>
  <c r="I104" i="5"/>
  <c r="F104" i="5"/>
  <c r="L103" i="5"/>
  <c r="K103" i="5"/>
  <c r="J103" i="5"/>
  <c r="I103" i="5"/>
  <c r="F103" i="5"/>
  <c r="K102" i="5"/>
  <c r="L102" i="5" s="1"/>
  <c r="J102" i="5"/>
  <c r="I102" i="5"/>
  <c r="F102" i="5"/>
  <c r="K101" i="5"/>
  <c r="L101" i="5" s="1"/>
  <c r="J101" i="5"/>
  <c r="I101" i="5"/>
  <c r="F101" i="5"/>
  <c r="L100" i="5"/>
  <c r="K100" i="5"/>
  <c r="J100" i="5"/>
  <c r="I100" i="5"/>
  <c r="F100" i="5"/>
  <c r="K99" i="5"/>
  <c r="L99" i="5" s="1"/>
  <c r="J99" i="5"/>
  <c r="I99" i="5"/>
  <c r="F99" i="5"/>
  <c r="K98" i="5"/>
  <c r="J98" i="5"/>
  <c r="I98" i="5"/>
  <c r="F98" i="5"/>
  <c r="L97" i="5"/>
  <c r="K97" i="5"/>
  <c r="J97" i="5"/>
  <c r="I97" i="5"/>
  <c r="F97" i="5"/>
  <c r="L96" i="5"/>
  <c r="K96" i="5"/>
  <c r="J96" i="5"/>
  <c r="I96" i="5"/>
  <c r="F96" i="5"/>
  <c r="L95" i="5"/>
  <c r="K95" i="5"/>
  <c r="J95" i="5"/>
  <c r="I95" i="5"/>
  <c r="F95" i="5"/>
  <c r="K94" i="5"/>
  <c r="L94" i="5" s="1"/>
  <c r="J94" i="5"/>
  <c r="I94" i="5"/>
  <c r="F94" i="5"/>
  <c r="K93" i="5"/>
  <c r="L93" i="5" s="1"/>
  <c r="J93" i="5"/>
  <c r="I93" i="5"/>
  <c r="F93" i="5"/>
  <c r="L92" i="5"/>
  <c r="K92" i="5"/>
  <c r="J92" i="5"/>
  <c r="I92" i="5"/>
  <c r="F92" i="5"/>
  <c r="K91" i="5"/>
  <c r="L91" i="5" s="1"/>
  <c r="J91" i="5"/>
  <c r="I91" i="5"/>
  <c r="F91" i="5"/>
  <c r="K90" i="5"/>
  <c r="L90" i="5" s="1"/>
  <c r="J90" i="5"/>
  <c r="I90" i="5"/>
  <c r="F90" i="5"/>
  <c r="L89" i="5"/>
  <c r="K89" i="5"/>
  <c r="J89" i="5"/>
  <c r="I89" i="5"/>
  <c r="F89" i="5"/>
  <c r="K88" i="5"/>
  <c r="L88" i="5" s="1"/>
  <c r="J88" i="5"/>
  <c r="I88" i="5"/>
  <c r="F88" i="5"/>
  <c r="L87" i="5"/>
  <c r="K87" i="5"/>
  <c r="J87" i="5"/>
  <c r="I87" i="5"/>
  <c r="F87" i="5"/>
  <c r="K86" i="5"/>
  <c r="L86" i="5" s="1"/>
  <c r="J86" i="5"/>
  <c r="I86" i="5"/>
  <c r="F86" i="5"/>
  <c r="K85" i="5"/>
  <c r="L85" i="5" s="1"/>
  <c r="J85" i="5"/>
  <c r="I85" i="5"/>
  <c r="F85" i="5"/>
  <c r="L84" i="5"/>
  <c r="K84" i="5"/>
  <c r="J84" i="5"/>
  <c r="I84" i="5"/>
  <c r="F84" i="5"/>
  <c r="K83" i="5"/>
  <c r="J83" i="5"/>
  <c r="I83" i="5"/>
  <c r="F83" i="5"/>
  <c r="K82" i="5"/>
  <c r="L82" i="5" s="1"/>
  <c r="J82" i="5"/>
  <c r="I82" i="5"/>
  <c r="F82" i="5"/>
  <c r="L81" i="5"/>
  <c r="K81" i="5"/>
  <c r="J81" i="5"/>
  <c r="I81" i="5"/>
  <c r="F81" i="5"/>
  <c r="K80" i="5"/>
  <c r="J80" i="5"/>
  <c r="I80" i="5"/>
  <c r="F80" i="5"/>
  <c r="L79" i="5"/>
  <c r="K79" i="5"/>
  <c r="J79" i="5"/>
  <c r="I79" i="5"/>
  <c r="F79" i="5"/>
  <c r="K78" i="5"/>
  <c r="J78" i="5"/>
  <c r="L78" i="5" s="1"/>
  <c r="I78" i="5"/>
  <c r="F78" i="5"/>
  <c r="K77" i="5"/>
  <c r="L77" i="5" s="1"/>
  <c r="J77" i="5"/>
  <c r="I77" i="5"/>
  <c r="F77" i="5"/>
  <c r="L76" i="5"/>
  <c r="K76" i="5"/>
  <c r="J76" i="5"/>
  <c r="I76" i="5"/>
  <c r="F76" i="5"/>
  <c r="K75" i="5"/>
  <c r="J75" i="5"/>
  <c r="I75" i="5"/>
  <c r="F75" i="5"/>
  <c r="K74" i="5"/>
  <c r="L74" i="5" s="1"/>
  <c r="J74" i="5"/>
  <c r="I74" i="5"/>
  <c r="F74" i="5"/>
  <c r="K73" i="5"/>
  <c r="L73" i="5" s="1"/>
  <c r="J73" i="5"/>
  <c r="I73" i="5"/>
  <c r="F73" i="5"/>
  <c r="K72" i="5"/>
  <c r="L72" i="5" s="1"/>
  <c r="J72" i="5"/>
  <c r="I72" i="5"/>
  <c r="F72" i="5"/>
  <c r="L71" i="5"/>
  <c r="K71" i="5"/>
  <c r="J71" i="5"/>
  <c r="I71" i="5"/>
  <c r="F71" i="5"/>
  <c r="K70" i="5"/>
  <c r="L70" i="5" s="1"/>
  <c r="J70" i="5"/>
  <c r="I70" i="5"/>
  <c r="F70" i="5"/>
  <c r="K69" i="5"/>
  <c r="L69" i="5" s="1"/>
  <c r="J69" i="5"/>
  <c r="I69" i="5"/>
  <c r="F69" i="5"/>
  <c r="L68" i="5"/>
  <c r="K68" i="5"/>
  <c r="J68" i="5"/>
  <c r="I68" i="5"/>
  <c r="F68" i="5"/>
  <c r="K67" i="5"/>
  <c r="L67" i="5" s="1"/>
  <c r="J67" i="5"/>
  <c r="I67" i="5"/>
  <c r="F67" i="5"/>
  <c r="K66" i="5"/>
  <c r="J66" i="5"/>
  <c r="I66" i="5"/>
  <c r="F66" i="5"/>
  <c r="L65" i="5"/>
  <c r="K65" i="5"/>
  <c r="J65" i="5"/>
  <c r="I65" i="5"/>
  <c r="F65" i="5"/>
  <c r="L64" i="5"/>
  <c r="K64" i="5"/>
  <c r="J64" i="5"/>
  <c r="I64" i="5"/>
  <c r="F64" i="5"/>
  <c r="L63" i="5"/>
  <c r="K63" i="5"/>
  <c r="J63" i="5"/>
  <c r="I63" i="5"/>
  <c r="F63" i="5"/>
  <c r="K62" i="5"/>
  <c r="L62" i="5" s="1"/>
  <c r="J62" i="5"/>
  <c r="I62" i="5"/>
  <c r="F62" i="5"/>
  <c r="K61" i="5"/>
  <c r="L61" i="5" s="1"/>
  <c r="J61" i="5"/>
  <c r="I61" i="5"/>
  <c r="F61" i="5"/>
  <c r="L60" i="5"/>
  <c r="K60" i="5"/>
  <c r="J60" i="5"/>
  <c r="I60" i="5"/>
  <c r="F60" i="5"/>
  <c r="K59" i="5"/>
  <c r="L59" i="5" s="1"/>
  <c r="J59" i="5"/>
  <c r="I59" i="5"/>
  <c r="F59" i="5"/>
  <c r="K58" i="5"/>
  <c r="J58" i="5"/>
  <c r="I58" i="5"/>
  <c r="F58" i="5"/>
  <c r="L57" i="5"/>
  <c r="K57" i="5"/>
  <c r="J57" i="5"/>
  <c r="I57" i="5"/>
  <c r="F57" i="5"/>
  <c r="K56" i="5"/>
  <c r="L56" i="5" s="1"/>
  <c r="J56" i="5"/>
  <c r="I56" i="5"/>
  <c r="F56" i="5"/>
  <c r="L55" i="5"/>
  <c r="K55" i="5"/>
  <c r="J55" i="5"/>
  <c r="I55" i="5"/>
  <c r="F55" i="5"/>
  <c r="K54" i="5"/>
  <c r="L54" i="5" s="1"/>
  <c r="J54" i="5"/>
  <c r="I54" i="5"/>
  <c r="F54" i="5"/>
  <c r="K53" i="5"/>
  <c r="J53" i="5"/>
  <c r="I53" i="5"/>
  <c r="F53" i="5"/>
  <c r="L52" i="5"/>
  <c r="K52" i="5"/>
  <c r="J52" i="5"/>
  <c r="I52" i="5"/>
  <c r="F52" i="5"/>
  <c r="K51" i="5"/>
  <c r="L51" i="5" s="1"/>
  <c r="J51" i="5"/>
  <c r="I51" i="5"/>
  <c r="F51" i="5"/>
  <c r="K50" i="5"/>
  <c r="L50" i="5" s="1"/>
  <c r="J50" i="5"/>
  <c r="I50" i="5"/>
  <c r="F50" i="5"/>
  <c r="L49" i="5"/>
  <c r="K49" i="5"/>
  <c r="J49" i="5"/>
  <c r="I49" i="5"/>
  <c r="F49" i="5"/>
  <c r="K48" i="5"/>
  <c r="J48" i="5"/>
  <c r="I48" i="5"/>
  <c r="F48" i="5"/>
  <c r="L47" i="5"/>
  <c r="K47" i="5"/>
  <c r="J47" i="5"/>
  <c r="I47" i="5"/>
  <c r="F47" i="5"/>
  <c r="K46" i="5"/>
  <c r="J46" i="5"/>
  <c r="I46" i="5"/>
  <c r="F46" i="5"/>
  <c r="K45" i="5"/>
  <c r="L45" i="5" s="1"/>
  <c r="J45" i="5"/>
  <c r="I45" i="5"/>
  <c r="F45" i="5"/>
  <c r="L44" i="5"/>
  <c r="K44" i="5"/>
  <c r="J44" i="5"/>
  <c r="I44" i="5"/>
  <c r="F44" i="5"/>
  <c r="K43" i="5"/>
  <c r="L43" i="5" s="1"/>
  <c r="J43" i="5"/>
  <c r="I43" i="5"/>
  <c r="F43" i="5"/>
  <c r="K42" i="5"/>
  <c r="L42" i="5" s="1"/>
  <c r="J42" i="5"/>
  <c r="I42" i="5"/>
  <c r="F42" i="5"/>
  <c r="L41" i="5"/>
  <c r="K41" i="5"/>
  <c r="J41" i="5"/>
  <c r="I41" i="5"/>
  <c r="F41" i="5"/>
  <c r="K40" i="5"/>
  <c r="L40" i="5" s="1"/>
  <c r="J40" i="5"/>
  <c r="I40" i="5"/>
  <c r="F40" i="5"/>
  <c r="L39" i="5"/>
  <c r="K39" i="5"/>
  <c r="J39" i="5"/>
  <c r="I39" i="5"/>
  <c r="F39" i="5"/>
  <c r="K38" i="5"/>
  <c r="L38" i="5" s="1"/>
  <c r="J38" i="5"/>
  <c r="I38" i="5"/>
  <c r="F38" i="5"/>
  <c r="K37" i="5"/>
  <c r="L37" i="5" s="1"/>
  <c r="J37" i="5"/>
  <c r="I37" i="5"/>
  <c r="F37" i="5"/>
  <c r="L36" i="5"/>
  <c r="K36" i="5"/>
  <c r="J36" i="5"/>
  <c r="I36" i="5"/>
  <c r="F36" i="5"/>
  <c r="K35" i="5"/>
  <c r="L35" i="5" s="1"/>
  <c r="J35" i="5"/>
  <c r="I35" i="5"/>
  <c r="F35" i="5"/>
  <c r="K34" i="5"/>
  <c r="J34" i="5"/>
  <c r="I34" i="5"/>
  <c r="F34" i="5"/>
  <c r="L33" i="5"/>
  <c r="K33" i="5"/>
  <c r="J33" i="5"/>
  <c r="I33" i="5"/>
  <c r="F33" i="5"/>
  <c r="L32" i="5"/>
  <c r="K32" i="5"/>
  <c r="J32" i="5"/>
  <c r="I32" i="5"/>
  <c r="F32" i="5"/>
  <c r="L31" i="5"/>
  <c r="K31" i="5"/>
  <c r="J31" i="5"/>
  <c r="I31" i="5"/>
  <c r="F31" i="5"/>
  <c r="K30" i="5"/>
  <c r="L30" i="5" s="1"/>
  <c r="J30" i="5"/>
  <c r="I30" i="5"/>
  <c r="F30" i="5"/>
  <c r="K29" i="5"/>
  <c r="L29" i="5" s="1"/>
  <c r="J29" i="5"/>
  <c r="I29" i="5"/>
  <c r="F29" i="5"/>
  <c r="L28" i="5"/>
  <c r="K28" i="5"/>
  <c r="J28" i="5"/>
  <c r="I28" i="5"/>
  <c r="F28" i="5"/>
  <c r="K27" i="5"/>
  <c r="L27" i="5" s="1"/>
  <c r="J27" i="5"/>
  <c r="I27" i="5"/>
  <c r="F27" i="5"/>
  <c r="K26" i="5"/>
  <c r="L26" i="5" s="1"/>
  <c r="J26" i="5"/>
  <c r="I26" i="5"/>
  <c r="F26" i="5"/>
  <c r="L25" i="5"/>
  <c r="K25" i="5"/>
  <c r="J25" i="5"/>
  <c r="I25" i="5"/>
  <c r="F25" i="5"/>
  <c r="K24" i="5"/>
  <c r="L24" i="5" s="1"/>
  <c r="J24" i="5"/>
  <c r="I24" i="5"/>
  <c r="F24" i="5"/>
  <c r="L23" i="5"/>
  <c r="K23" i="5"/>
  <c r="J23" i="5"/>
  <c r="I23" i="5"/>
  <c r="F23" i="5"/>
  <c r="K22" i="5"/>
  <c r="L22" i="5" s="1"/>
  <c r="J22" i="5"/>
  <c r="I22" i="5"/>
  <c r="F22" i="5"/>
  <c r="K21" i="5"/>
  <c r="L21" i="5" s="1"/>
  <c r="J21" i="5"/>
  <c r="I21" i="5"/>
  <c r="F21" i="5"/>
  <c r="L20" i="5"/>
  <c r="K20" i="5"/>
  <c r="J20" i="5"/>
  <c r="I20" i="5"/>
  <c r="F20" i="5"/>
  <c r="K19" i="5"/>
  <c r="L19" i="5" s="1"/>
  <c r="J19" i="5"/>
  <c r="I19" i="5"/>
  <c r="F19" i="5"/>
  <c r="K18" i="5"/>
  <c r="L18" i="5" s="1"/>
  <c r="J18" i="5"/>
  <c r="I18" i="5"/>
  <c r="F18" i="5"/>
  <c r="K17" i="5"/>
  <c r="J17" i="5"/>
  <c r="L17" i="5" s="1"/>
  <c r="I17" i="5"/>
  <c r="F17" i="5"/>
  <c r="K16" i="5"/>
  <c r="J16" i="5"/>
  <c r="I16" i="5"/>
  <c r="F16" i="5"/>
  <c r="L15" i="5"/>
  <c r="K15" i="5"/>
  <c r="J15" i="5"/>
  <c r="I15" i="5"/>
  <c r="F15" i="5"/>
  <c r="L14" i="5"/>
  <c r="K14" i="5"/>
  <c r="J14" i="5"/>
  <c r="I14" i="5"/>
  <c r="F14" i="5"/>
  <c r="K13" i="5"/>
  <c r="L13" i="5" s="1"/>
  <c r="J13" i="5"/>
  <c r="I13" i="5"/>
  <c r="F13" i="5"/>
  <c r="K12" i="5"/>
  <c r="L12" i="5" s="1"/>
  <c r="J12" i="5"/>
  <c r="I12" i="5"/>
  <c r="F12" i="5"/>
  <c r="K11" i="5"/>
  <c r="J11" i="5"/>
  <c r="I11" i="5"/>
  <c r="F11" i="5"/>
  <c r="K10" i="5"/>
  <c r="L10" i="5" s="1"/>
  <c r="J10" i="5"/>
  <c r="I10" i="5"/>
  <c r="F10" i="5"/>
  <c r="K9" i="5"/>
  <c r="J9" i="5"/>
  <c r="I9" i="5"/>
  <c r="F9" i="5"/>
  <c r="K8" i="5"/>
  <c r="L8" i="5" s="1"/>
  <c r="J8" i="5"/>
  <c r="I8" i="5"/>
  <c r="F8" i="5"/>
  <c r="L7" i="5"/>
  <c r="K7" i="5"/>
  <c r="J7" i="5"/>
  <c r="I7" i="5"/>
  <c r="F7" i="5"/>
  <c r="K6" i="5"/>
  <c r="L6" i="5" s="1"/>
  <c r="J6" i="5"/>
  <c r="I6" i="5"/>
  <c r="F6" i="5"/>
  <c r="K5" i="5"/>
  <c r="L5" i="5" s="1"/>
  <c r="J5" i="5"/>
  <c r="I5" i="5"/>
  <c r="F5" i="5"/>
  <c r="L4" i="5"/>
  <c r="K4" i="5"/>
  <c r="J4" i="5"/>
  <c r="I4" i="5"/>
  <c r="F4" i="5"/>
  <c r="K3" i="5"/>
  <c r="L3" i="5" s="1"/>
  <c r="J3" i="5"/>
  <c r="I3" i="5"/>
  <c r="F3" i="5"/>
  <c r="K2" i="5"/>
  <c r="J2" i="5"/>
  <c r="I2" i="5"/>
  <c r="F2" i="5"/>
  <c r="F19" i="4"/>
  <c r="D19" i="4"/>
  <c r="F18" i="4"/>
  <c r="D18" i="4"/>
  <c r="F17" i="4"/>
  <c r="D17" i="4"/>
  <c r="H381" i="2"/>
  <c r="F381" i="2"/>
  <c r="G381" i="2" s="1"/>
  <c r="H380" i="2"/>
  <c r="G380" i="2"/>
  <c r="F380" i="2"/>
  <c r="G379" i="2"/>
  <c r="F379" i="2"/>
  <c r="H379" i="2" s="1"/>
  <c r="F378" i="2"/>
  <c r="H377" i="2"/>
  <c r="F377" i="2"/>
  <c r="G377" i="2" s="1"/>
  <c r="F376" i="2"/>
  <c r="H376" i="2" s="1"/>
  <c r="F375" i="2"/>
  <c r="G375" i="2" s="1"/>
  <c r="F374" i="2"/>
  <c r="H373" i="2"/>
  <c r="F373" i="2"/>
  <c r="G373" i="2" s="1"/>
  <c r="H372" i="2"/>
  <c r="G372" i="2"/>
  <c r="F372" i="2"/>
  <c r="F371" i="2"/>
  <c r="H370" i="2"/>
  <c r="F370" i="2"/>
  <c r="G370" i="2" s="1"/>
  <c r="H369" i="2"/>
  <c r="F369" i="2"/>
  <c r="G369" i="2" s="1"/>
  <c r="F368" i="2"/>
  <c r="H368" i="2" s="1"/>
  <c r="H367" i="2"/>
  <c r="G367" i="2"/>
  <c r="F367" i="2"/>
  <c r="F366" i="2"/>
  <c r="F365" i="2"/>
  <c r="G365" i="2" s="1"/>
  <c r="H364" i="2"/>
  <c r="G364" i="2"/>
  <c r="F364" i="2"/>
  <c r="G363" i="2"/>
  <c r="F363" i="2"/>
  <c r="H363" i="2" s="1"/>
  <c r="F362" i="2"/>
  <c r="G362" i="2" s="1"/>
  <c r="H361" i="2"/>
  <c r="F361" i="2"/>
  <c r="G361" i="2" s="1"/>
  <c r="F360" i="2"/>
  <c r="H360" i="2" s="1"/>
  <c r="F359" i="2"/>
  <c r="G359" i="2" s="1"/>
  <c r="F358" i="2"/>
  <c r="F357" i="2"/>
  <c r="H357" i="2" s="1"/>
  <c r="H356" i="2"/>
  <c r="G356" i="2"/>
  <c r="F356" i="2"/>
  <c r="F355" i="2"/>
  <c r="H355" i="2" s="1"/>
  <c r="F354" i="2"/>
  <c r="H354" i="2" s="1"/>
  <c r="H353" i="2"/>
  <c r="F353" i="2"/>
  <c r="G353" i="2" s="1"/>
  <c r="F352" i="2"/>
  <c r="H352" i="2" s="1"/>
  <c r="G351" i="2"/>
  <c r="F351" i="2"/>
  <c r="H351" i="2" s="1"/>
  <c r="F350" i="2"/>
  <c r="F349" i="2"/>
  <c r="G349" i="2" s="1"/>
  <c r="H348" i="2"/>
  <c r="G348" i="2"/>
  <c r="F348" i="2"/>
  <c r="G347" i="2"/>
  <c r="F347" i="2"/>
  <c r="H347" i="2" s="1"/>
  <c r="F346" i="2"/>
  <c r="H345" i="2"/>
  <c r="F345" i="2"/>
  <c r="G345" i="2" s="1"/>
  <c r="F344" i="2"/>
  <c r="H344" i="2" s="1"/>
  <c r="F343" i="2"/>
  <c r="G343" i="2" s="1"/>
  <c r="F342" i="2"/>
  <c r="H341" i="2"/>
  <c r="F341" i="2"/>
  <c r="G341" i="2" s="1"/>
  <c r="H340" i="2"/>
  <c r="G340" i="2"/>
  <c r="F340" i="2"/>
  <c r="F339" i="2"/>
  <c r="H338" i="2"/>
  <c r="F338" i="2"/>
  <c r="G338" i="2" s="1"/>
  <c r="H337" i="2"/>
  <c r="F337" i="2"/>
  <c r="G337" i="2" s="1"/>
  <c r="F336" i="2"/>
  <c r="H336" i="2" s="1"/>
  <c r="H335" i="2"/>
  <c r="G335" i="2"/>
  <c r="F335" i="2"/>
  <c r="F334" i="2"/>
  <c r="F333" i="2"/>
  <c r="G333" i="2" s="1"/>
  <c r="H332" i="2"/>
  <c r="G332" i="2"/>
  <c r="F332" i="2"/>
  <c r="G331" i="2"/>
  <c r="F331" i="2"/>
  <c r="H331" i="2" s="1"/>
  <c r="F330" i="2"/>
  <c r="G330" i="2" s="1"/>
  <c r="H329" i="2"/>
  <c r="F329" i="2"/>
  <c r="G329" i="2" s="1"/>
  <c r="F328" i="2"/>
  <c r="H328" i="2" s="1"/>
  <c r="F327" i="2"/>
  <c r="G327" i="2" s="1"/>
  <c r="F326" i="2"/>
  <c r="F325" i="2"/>
  <c r="H325" i="2" s="1"/>
  <c r="H324" i="2"/>
  <c r="G324" i="2"/>
  <c r="F324" i="2"/>
  <c r="F323" i="2"/>
  <c r="H323" i="2" s="1"/>
  <c r="F322" i="2"/>
  <c r="H322" i="2" s="1"/>
  <c r="H321" i="2"/>
  <c r="F321" i="2"/>
  <c r="G321" i="2" s="1"/>
  <c r="F320" i="2"/>
  <c r="H320" i="2" s="1"/>
  <c r="G319" i="2"/>
  <c r="F319" i="2"/>
  <c r="H319" i="2" s="1"/>
  <c r="F318" i="2"/>
  <c r="F317" i="2"/>
  <c r="G317" i="2" s="1"/>
  <c r="H316" i="2"/>
  <c r="G316" i="2"/>
  <c r="F316" i="2"/>
  <c r="G315" i="2"/>
  <c r="F315" i="2"/>
  <c r="H315" i="2" s="1"/>
  <c r="F314" i="2"/>
  <c r="H313" i="2"/>
  <c r="F313" i="2"/>
  <c r="G313" i="2" s="1"/>
  <c r="F312" i="2"/>
  <c r="H312" i="2" s="1"/>
  <c r="F311" i="2"/>
  <c r="G311" i="2" s="1"/>
  <c r="F310" i="2"/>
  <c r="H309" i="2"/>
  <c r="F309" i="2"/>
  <c r="G309" i="2" s="1"/>
  <c r="H308" i="2"/>
  <c r="G308" i="2"/>
  <c r="F308" i="2"/>
  <c r="F307" i="2"/>
  <c r="H306" i="2"/>
  <c r="F306" i="2"/>
  <c r="G306" i="2" s="1"/>
  <c r="H305" i="2"/>
  <c r="F305" i="2"/>
  <c r="G305" i="2" s="1"/>
  <c r="F304" i="2"/>
  <c r="H304" i="2" s="1"/>
  <c r="H303" i="2"/>
  <c r="G303" i="2"/>
  <c r="F303" i="2"/>
  <c r="F302" i="2"/>
  <c r="F301" i="2"/>
  <c r="G301" i="2" s="1"/>
  <c r="H300" i="2"/>
  <c r="G300" i="2"/>
  <c r="F300" i="2"/>
  <c r="G299" i="2"/>
  <c r="F299" i="2"/>
  <c r="H299" i="2" s="1"/>
  <c r="F298" i="2"/>
  <c r="G298" i="2" s="1"/>
  <c r="H297" i="2"/>
  <c r="F297" i="2"/>
  <c r="G297" i="2" s="1"/>
  <c r="F296" i="2"/>
  <c r="H296" i="2" s="1"/>
  <c r="F295" i="2"/>
  <c r="G295" i="2" s="1"/>
  <c r="F294" i="2"/>
  <c r="F293" i="2"/>
  <c r="H293" i="2" s="1"/>
  <c r="H292" i="2"/>
  <c r="G292" i="2"/>
  <c r="F292" i="2"/>
  <c r="F291" i="2"/>
  <c r="H291" i="2" s="1"/>
  <c r="F290" i="2"/>
  <c r="H290" i="2" s="1"/>
  <c r="H289" i="2"/>
  <c r="F289" i="2"/>
  <c r="G289" i="2" s="1"/>
  <c r="F288" i="2"/>
  <c r="H288" i="2" s="1"/>
  <c r="G287" i="2"/>
  <c r="F287" i="2"/>
  <c r="H287" i="2" s="1"/>
  <c r="F286" i="2"/>
  <c r="F285" i="2"/>
  <c r="G285" i="2" s="1"/>
  <c r="H284" i="2"/>
  <c r="G284" i="2"/>
  <c r="F284" i="2"/>
  <c r="G283" i="2"/>
  <c r="F283" i="2"/>
  <c r="H283" i="2" s="1"/>
  <c r="F282" i="2"/>
  <c r="H281" i="2"/>
  <c r="F281" i="2"/>
  <c r="G281" i="2" s="1"/>
  <c r="F280" i="2"/>
  <c r="H280" i="2" s="1"/>
  <c r="F279" i="2"/>
  <c r="G279" i="2" s="1"/>
  <c r="F278" i="2"/>
  <c r="H277" i="2"/>
  <c r="F277" i="2"/>
  <c r="G277" i="2" s="1"/>
  <c r="H276" i="2"/>
  <c r="G276" i="2"/>
  <c r="F276" i="2"/>
  <c r="F275" i="2"/>
  <c r="H274" i="2"/>
  <c r="F274" i="2"/>
  <c r="G274" i="2" s="1"/>
  <c r="H273" i="2"/>
  <c r="F273" i="2"/>
  <c r="G273" i="2" s="1"/>
  <c r="F272" i="2"/>
  <c r="H272" i="2" s="1"/>
  <c r="H271" i="2"/>
  <c r="G271" i="2"/>
  <c r="F271" i="2"/>
  <c r="F270" i="2"/>
  <c r="F269" i="2"/>
  <c r="G269" i="2" s="1"/>
  <c r="H268" i="2"/>
  <c r="G268" i="2"/>
  <c r="F268" i="2"/>
  <c r="G267" i="2"/>
  <c r="F267" i="2"/>
  <c r="H267" i="2" s="1"/>
  <c r="F266" i="2"/>
  <c r="G266" i="2" s="1"/>
  <c r="H265" i="2"/>
  <c r="F265" i="2"/>
  <c r="G265" i="2" s="1"/>
  <c r="G264" i="2"/>
  <c r="F264" i="2"/>
  <c r="H264" i="2" s="1"/>
  <c r="F263" i="2"/>
  <c r="G263" i="2" s="1"/>
  <c r="F262" i="2"/>
  <c r="F261" i="2"/>
  <c r="H261" i="2" s="1"/>
  <c r="H260" i="2"/>
  <c r="G260" i="2"/>
  <c r="F260" i="2"/>
  <c r="F259" i="2"/>
  <c r="H259" i="2" s="1"/>
  <c r="F258" i="2"/>
  <c r="H258" i="2" s="1"/>
  <c r="H257" i="2"/>
  <c r="F257" i="2"/>
  <c r="G257" i="2" s="1"/>
  <c r="F256" i="2"/>
  <c r="H256" i="2" s="1"/>
  <c r="G255" i="2"/>
  <c r="F255" i="2"/>
  <c r="H255" i="2" s="1"/>
  <c r="F254" i="2"/>
  <c r="H253" i="2"/>
  <c r="F253" i="2"/>
  <c r="G253" i="2" s="1"/>
  <c r="H252" i="2"/>
  <c r="G252" i="2"/>
  <c r="F252" i="2"/>
  <c r="G251" i="2"/>
  <c r="F251" i="2"/>
  <c r="H251" i="2" s="1"/>
  <c r="F250" i="2"/>
  <c r="H249" i="2"/>
  <c r="F249" i="2"/>
  <c r="G249" i="2" s="1"/>
  <c r="F248" i="2"/>
  <c r="H248" i="2" s="1"/>
  <c r="F247" i="2"/>
  <c r="G247" i="2" s="1"/>
  <c r="F246" i="2"/>
  <c r="H245" i="2"/>
  <c r="F245" i="2"/>
  <c r="G245" i="2" s="1"/>
  <c r="H244" i="2"/>
  <c r="G244" i="2"/>
  <c r="F244" i="2"/>
  <c r="F243" i="2"/>
  <c r="H242" i="2"/>
  <c r="F242" i="2"/>
  <c r="G242" i="2" s="1"/>
  <c r="H241" i="2"/>
  <c r="F241" i="2"/>
  <c r="G241" i="2" s="1"/>
  <c r="F240" i="2"/>
  <c r="H240" i="2" s="1"/>
  <c r="H239" i="2"/>
  <c r="G239" i="2"/>
  <c r="F239" i="2"/>
  <c r="F238" i="2"/>
  <c r="F237" i="2"/>
  <c r="G237" i="2" s="1"/>
  <c r="H236" i="2"/>
  <c r="G236" i="2"/>
  <c r="F236" i="2"/>
  <c r="G235" i="2"/>
  <c r="F235" i="2"/>
  <c r="H235" i="2" s="1"/>
  <c r="F234" i="2"/>
  <c r="G234" i="2" s="1"/>
  <c r="H233" i="2"/>
  <c r="F233" i="2"/>
  <c r="G233" i="2" s="1"/>
  <c r="F232" i="2"/>
  <c r="H232" i="2" s="1"/>
  <c r="F231" i="2"/>
  <c r="G231" i="2" s="1"/>
  <c r="G230" i="2"/>
  <c r="F230" i="2"/>
  <c r="H230" i="2" s="1"/>
  <c r="G229" i="2"/>
  <c r="F229" i="2"/>
  <c r="H229" i="2" s="1"/>
  <c r="F228" i="2"/>
  <c r="H228" i="2" s="1"/>
  <c r="G227" i="2"/>
  <c r="F227" i="2"/>
  <c r="H227" i="2" s="1"/>
  <c r="H223" i="2"/>
  <c r="G223" i="2"/>
  <c r="F223" i="2"/>
  <c r="F222" i="2"/>
  <c r="H222" i="2" s="1"/>
  <c r="F221" i="2"/>
  <c r="H221" i="2" s="1"/>
  <c r="H220" i="2"/>
  <c r="F220" i="2"/>
  <c r="G220" i="2" s="1"/>
  <c r="F219" i="2"/>
  <c r="H219" i="2" s="1"/>
  <c r="F218" i="2"/>
  <c r="H218" i="2" s="1"/>
  <c r="G217" i="2"/>
  <c r="F217" i="2"/>
  <c r="H217" i="2" s="1"/>
  <c r="F216" i="2"/>
  <c r="H216" i="2" s="1"/>
  <c r="H215" i="2"/>
  <c r="G215" i="2"/>
  <c r="F215" i="2"/>
  <c r="H214" i="2"/>
  <c r="G214" i="2"/>
  <c r="F214" i="2"/>
  <c r="F213" i="2"/>
  <c r="H213" i="2" s="1"/>
  <c r="F212" i="2"/>
  <c r="G212" i="2" s="1"/>
  <c r="H211" i="2"/>
  <c r="G211" i="2"/>
  <c r="F211" i="2"/>
  <c r="F210" i="2"/>
  <c r="H210" i="2" s="1"/>
  <c r="F209" i="2"/>
  <c r="H209" i="2" s="1"/>
  <c r="H208" i="2"/>
  <c r="G208" i="2"/>
  <c r="F208" i="2"/>
  <c r="H207" i="2"/>
  <c r="G207" i="2"/>
  <c r="F207" i="2"/>
  <c r="F206" i="2"/>
  <c r="H205" i="2"/>
  <c r="F205" i="2"/>
  <c r="G205" i="2" s="1"/>
  <c r="F204" i="2"/>
  <c r="G204" i="2" s="1"/>
  <c r="F203" i="2"/>
  <c r="H202" i="2"/>
  <c r="F202" i="2"/>
  <c r="G202" i="2" s="1"/>
  <c r="F201" i="2"/>
  <c r="H201" i="2" s="1"/>
  <c r="G200" i="2"/>
  <c r="F200" i="2"/>
  <c r="H200" i="2" s="1"/>
  <c r="H199" i="2"/>
  <c r="G199" i="2"/>
  <c r="F199" i="2"/>
  <c r="H198" i="2"/>
  <c r="G198" i="2"/>
  <c r="F198" i="2"/>
  <c r="F197" i="2"/>
  <c r="H197" i="2" s="1"/>
  <c r="F196" i="2"/>
  <c r="G196" i="2" s="1"/>
  <c r="H195" i="2"/>
  <c r="G195" i="2"/>
  <c r="F195" i="2"/>
  <c r="G194" i="2"/>
  <c r="F194" i="2"/>
  <c r="H194" i="2" s="1"/>
  <c r="F193" i="2"/>
  <c r="H193" i="2" s="1"/>
  <c r="H192" i="2"/>
  <c r="G192" i="2"/>
  <c r="F192" i="2"/>
  <c r="H191" i="2"/>
  <c r="G191" i="2"/>
  <c r="F191" i="2"/>
  <c r="F190" i="2"/>
  <c r="H190" i="2" s="1"/>
  <c r="F189" i="2"/>
  <c r="F188" i="2"/>
  <c r="G188" i="2" s="1"/>
  <c r="F187" i="2"/>
  <c r="H187" i="2" s="1"/>
  <c r="F186" i="2"/>
  <c r="F185" i="2"/>
  <c r="H185" i="2" s="1"/>
  <c r="F184" i="2"/>
  <c r="H184" i="2" s="1"/>
  <c r="H183" i="2"/>
  <c r="G183" i="2"/>
  <c r="F183" i="2"/>
  <c r="H182" i="2"/>
  <c r="G182" i="2"/>
  <c r="F182" i="2"/>
  <c r="F181" i="2"/>
  <c r="H181" i="2" s="1"/>
  <c r="F180" i="2"/>
  <c r="H179" i="2"/>
  <c r="G179" i="2"/>
  <c r="F179" i="2"/>
  <c r="F178" i="2"/>
  <c r="H178" i="2" s="1"/>
  <c r="F177" i="2"/>
  <c r="H176" i="2"/>
  <c r="G176" i="2"/>
  <c r="F176" i="2"/>
  <c r="H175" i="2"/>
  <c r="G175" i="2"/>
  <c r="F175" i="2"/>
  <c r="F174" i="2"/>
  <c r="H174" i="2" s="1"/>
  <c r="H173" i="2"/>
  <c r="F173" i="2"/>
  <c r="G173" i="2" s="1"/>
  <c r="F172" i="2"/>
  <c r="G172" i="2" s="1"/>
  <c r="G171" i="2"/>
  <c r="F171" i="2"/>
  <c r="H171" i="2" s="1"/>
  <c r="H170" i="2"/>
  <c r="F170" i="2"/>
  <c r="G170" i="2" s="1"/>
  <c r="F169" i="2"/>
  <c r="H169" i="2" s="1"/>
  <c r="F168" i="2"/>
  <c r="H168" i="2" s="1"/>
  <c r="H167" i="2"/>
  <c r="G167" i="2"/>
  <c r="F167" i="2"/>
  <c r="H166" i="2"/>
  <c r="G166" i="2"/>
  <c r="F166" i="2"/>
  <c r="G165" i="2"/>
  <c r="F165" i="2"/>
  <c r="H165" i="2" s="1"/>
  <c r="F164" i="2"/>
  <c r="G164" i="2" s="1"/>
  <c r="H163" i="2"/>
  <c r="G163" i="2"/>
  <c r="F163" i="2"/>
  <c r="F162" i="2"/>
  <c r="H162" i="2" s="1"/>
  <c r="F161" i="2"/>
  <c r="H161" i="2" s="1"/>
  <c r="H160" i="2"/>
  <c r="G160" i="2"/>
  <c r="F160" i="2"/>
  <c r="G159" i="2"/>
  <c r="F159" i="2"/>
  <c r="H159" i="2" s="1"/>
  <c r="F158" i="2"/>
  <c r="H158" i="2" s="1"/>
  <c r="F157" i="2"/>
  <c r="H156" i="2"/>
  <c r="G156" i="2"/>
  <c r="F156" i="2"/>
  <c r="F155" i="2"/>
  <c r="H155" i="2" s="1"/>
  <c r="G154" i="2"/>
  <c r="F154" i="2"/>
  <c r="H154" i="2" s="1"/>
  <c r="H153" i="2"/>
  <c r="F153" i="2"/>
  <c r="G153" i="2" s="1"/>
  <c r="H152" i="2"/>
  <c r="G152" i="2"/>
  <c r="F152" i="2"/>
  <c r="G151" i="2"/>
  <c r="F151" i="2"/>
  <c r="H151" i="2" s="1"/>
  <c r="F150" i="2"/>
  <c r="H150" i="2" s="1"/>
  <c r="F149" i="2"/>
  <c r="H148" i="2"/>
  <c r="G148" i="2"/>
  <c r="F148" i="2"/>
  <c r="F147" i="2"/>
  <c r="H147" i="2" s="1"/>
  <c r="G146" i="2"/>
  <c r="F146" i="2"/>
  <c r="H146" i="2" s="1"/>
  <c r="H145" i="2"/>
  <c r="F145" i="2"/>
  <c r="G145" i="2" s="1"/>
  <c r="H144" i="2"/>
  <c r="G144" i="2"/>
  <c r="F144" i="2"/>
  <c r="G143" i="2"/>
  <c r="F143" i="2"/>
  <c r="H143" i="2" s="1"/>
  <c r="F142" i="2"/>
  <c r="H142" i="2" s="1"/>
  <c r="F141" i="2"/>
  <c r="H140" i="2"/>
  <c r="G140" i="2"/>
  <c r="F140" i="2"/>
  <c r="F139" i="2"/>
  <c r="G138" i="2"/>
  <c r="F138" i="2"/>
  <c r="H138" i="2" s="1"/>
  <c r="H137" i="2"/>
  <c r="F137" i="2"/>
  <c r="G137" i="2" s="1"/>
  <c r="H136" i="2"/>
  <c r="G136" i="2"/>
  <c r="F136" i="2"/>
  <c r="G135" i="2"/>
  <c r="F135" i="2"/>
  <c r="H135" i="2" s="1"/>
  <c r="F134" i="2"/>
  <c r="H134" i="2" s="1"/>
  <c r="F133" i="2"/>
  <c r="G133" i="2" s="1"/>
  <c r="H132" i="2"/>
  <c r="G132" i="2"/>
  <c r="F132" i="2"/>
  <c r="F131" i="2"/>
  <c r="F130" i="2"/>
  <c r="H130" i="2" s="1"/>
  <c r="H129" i="2"/>
  <c r="F129" i="2"/>
  <c r="G129" i="2" s="1"/>
  <c r="H128" i="2"/>
  <c r="G128" i="2"/>
  <c r="F128" i="2"/>
  <c r="F127" i="2"/>
  <c r="H127" i="2" s="1"/>
  <c r="F126" i="2"/>
  <c r="H126" i="2" s="1"/>
  <c r="H125" i="2"/>
  <c r="F125" i="2"/>
  <c r="G125" i="2" s="1"/>
  <c r="H124" i="2"/>
  <c r="G124" i="2"/>
  <c r="F124" i="2"/>
  <c r="F123" i="2"/>
  <c r="F122" i="2"/>
  <c r="H122" i="2" s="1"/>
  <c r="H121" i="2"/>
  <c r="F121" i="2"/>
  <c r="G121" i="2" s="1"/>
  <c r="H120" i="2"/>
  <c r="G120" i="2"/>
  <c r="F120" i="2"/>
  <c r="F119" i="2"/>
  <c r="G119" i="2" s="1"/>
  <c r="F118" i="2"/>
  <c r="H118" i="2" s="1"/>
  <c r="F117" i="2"/>
  <c r="G117" i="2" s="1"/>
  <c r="H116" i="2"/>
  <c r="G116" i="2"/>
  <c r="F116" i="2"/>
  <c r="F115" i="2"/>
  <c r="F114" i="2"/>
  <c r="H114" i="2" s="1"/>
  <c r="H113" i="2"/>
  <c r="F113" i="2"/>
  <c r="G113" i="2" s="1"/>
  <c r="H112" i="2"/>
  <c r="G112" i="2"/>
  <c r="F112" i="2"/>
  <c r="F111" i="2"/>
  <c r="H111" i="2" s="1"/>
  <c r="F110" i="2"/>
  <c r="H110" i="2" s="1"/>
  <c r="H109" i="2"/>
  <c r="F109" i="2"/>
  <c r="G109" i="2" s="1"/>
  <c r="H108" i="2"/>
  <c r="G108" i="2"/>
  <c r="F108" i="2"/>
  <c r="F107" i="2"/>
  <c r="G106" i="2"/>
  <c r="F106" i="2"/>
  <c r="H106" i="2" s="1"/>
  <c r="H105" i="2"/>
  <c r="F105" i="2"/>
  <c r="G105" i="2" s="1"/>
  <c r="H104" i="2"/>
  <c r="G104" i="2"/>
  <c r="F104" i="2"/>
  <c r="H103" i="2"/>
  <c r="G103" i="2"/>
  <c r="F103" i="2"/>
  <c r="F102" i="2"/>
  <c r="H102" i="2" s="1"/>
  <c r="F101" i="2"/>
  <c r="G101" i="2" s="1"/>
  <c r="H100" i="2"/>
  <c r="G100" i="2"/>
  <c r="F100" i="2"/>
  <c r="F99" i="2"/>
  <c r="F98" i="2"/>
  <c r="H98" i="2" s="1"/>
  <c r="H97" i="2"/>
  <c r="F97" i="2"/>
  <c r="G97" i="2" s="1"/>
  <c r="H96" i="2"/>
  <c r="G96" i="2"/>
  <c r="F96" i="2"/>
  <c r="H95" i="2"/>
  <c r="F95" i="2"/>
  <c r="G95" i="2" s="1"/>
  <c r="F94" i="2"/>
  <c r="H94" i="2" s="1"/>
  <c r="H93" i="2"/>
  <c r="F93" i="2"/>
  <c r="G93" i="2" s="1"/>
  <c r="H92" i="2"/>
  <c r="G92" i="2"/>
  <c r="F92" i="2"/>
  <c r="F91" i="2"/>
  <c r="G90" i="2"/>
  <c r="F90" i="2"/>
  <c r="H90" i="2" s="1"/>
  <c r="H89" i="2"/>
  <c r="F89" i="2"/>
  <c r="G89" i="2" s="1"/>
  <c r="H88" i="2"/>
  <c r="G88" i="2"/>
  <c r="F88" i="2"/>
  <c r="H87" i="2"/>
  <c r="G87" i="2"/>
  <c r="F87" i="2"/>
  <c r="F86" i="2"/>
  <c r="H86" i="2" s="1"/>
  <c r="F85" i="2"/>
  <c r="G85" i="2" s="1"/>
  <c r="H84" i="2"/>
  <c r="G84" i="2"/>
  <c r="F84" i="2"/>
  <c r="F83" i="2"/>
  <c r="F82" i="2"/>
  <c r="H82" i="2" s="1"/>
  <c r="H81" i="2"/>
  <c r="F81" i="2"/>
  <c r="G81" i="2" s="1"/>
  <c r="H80" i="2"/>
  <c r="G80" i="2"/>
  <c r="F80" i="2"/>
  <c r="H79" i="2"/>
  <c r="F79" i="2"/>
  <c r="G79" i="2" s="1"/>
  <c r="F78" i="2"/>
  <c r="H78" i="2" s="1"/>
  <c r="F77" i="2"/>
  <c r="G77" i="2" s="1"/>
  <c r="H76" i="2"/>
  <c r="G76" i="2"/>
  <c r="F76" i="2"/>
  <c r="F75" i="2"/>
  <c r="G74" i="2"/>
  <c r="F74" i="2"/>
  <c r="H74" i="2" s="1"/>
  <c r="H73" i="2"/>
  <c r="F73" i="2"/>
  <c r="G73" i="2" s="1"/>
  <c r="H72" i="2"/>
  <c r="G72" i="2"/>
  <c r="F72" i="2"/>
  <c r="G71" i="2"/>
  <c r="F71" i="2"/>
  <c r="H71" i="2" s="1"/>
  <c r="F70" i="2"/>
  <c r="H70" i="2" s="1"/>
  <c r="F69" i="2"/>
  <c r="G69" i="2" s="1"/>
  <c r="H68" i="2"/>
  <c r="G68" i="2"/>
  <c r="F68" i="2"/>
  <c r="F67" i="2"/>
  <c r="F66" i="2"/>
  <c r="H66" i="2" s="1"/>
  <c r="H65" i="2"/>
  <c r="F65" i="2"/>
  <c r="G65" i="2" s="1"/>
  <c r="H64" i="2"/>
  <c r="G64" i="2"/>
  <c r="F64" i="2"/>
  <c r="F63" i="2"/>
  <c r="H63" i="2" s="1"/>
  <c r="F62" i="2"/>
  <c r="H62" i="2" s="1"/>
  <c r="H61" i="2"/>
  <c r="F61" i="2"/>
  <c r="G61" i="2" s="1"/>
  <c r="H60" i="2"/>
  <c r="G60" i="2"/>
  <c r="F60" i="2"/>
  <c r="F59" i="2"/>
  <c r="F58" i="2"/>
  <c r="H58" i="2" s="1"/>
  <c r="H57" i="2"/>
  <c r="F57" i="2"/>
  <c r="G57" i="2" s="1"/>
  <c r="H56" i="2"/>
  <c r="G56" i="2"/>
  <c r="F56" i="2"/>
  <c r="F55" i="2"/>
  <c r="H55" i="2" s="1"/>
  <c r="F54" i="2"/>
  <c r="H54" i="2" s="1"/>
  <c r="F53" i="2"/>
  <c r="G53" i="2" s="1"/>
  <c r="H52" i="2"/>
  <c r="G52" i="2"/>
  <c r="F52" i="2"/>
  <c r="F51" i="2"/>
  <c r="F50" i="2"/>
  <c r="H50" i="2" s="1"/>
  <c r="H49" i="2"/>
  <c r="F49" i="2"/>
  <c r="G49" i="2" s="1"/>
  <c r="H48" i="2"/>
  <c r="G48" i="2"/>
  <c r="F48" i="2"/>
  <c r="F47" i="2"/>
  <c r="H47" i="2" s="1"/>
  <c r="F46" i="2"/>
  <c r="H46" i="2" s="1"/>
  <c r="H45" i="2"/>
  <c r="F45" i="2"/>
  <c r="G45" i="2" s="1"/>
  <c r="H44" i="2"/>
  <c r="G44" i="2"/>
  <c r="F44" i="2"/>
  <c r="F43" i="2"/>
  <c r="G42" i="2"/>
  <c r="F42" i="2"/>
  <c r="H42" i="2" s="1"/>
  <c r="H41" i="2"/>
  <c r="F41" i="2"/>
  <c r="G41" i="2" s="1"/>
  <c r="H40" i="2"/>
  <c r="G40" i="2"/>
  <c r="F40" i="2"/>
  <c r="H39" i="2"/>
  <c r="G39" i="2"/>
  <c r="F39" i="2"/>
  <c r="F38" i="2"/>
  <c r="H38" i="2" s="1"/>
  <c r="F37" i="2"/>
  <c r="G37" i="2" s="1"/>
  <c r="H36" i="2"/>
  <c r="G36" i="2"/>
  <c r="F36" i="2"/>
  <c r="F35" i="2"/>
  <c r="F34" i="2"/>
  <c r="H34" i="2" s="1"/>
  <c r="H33" i="2"/>
  <c r="F33" i="2"/>
  <c r="G33" i="2" s="1"/>
  <c r="H32" i="2"/>
  <c r="G32" i="2"/>
  <c r="F32" i="2"/>
  <c r="H31" i="2"/>
  <c r="F31" i="2"/>
  <c r="G31" i="2" s="1"/>
  <c r="F30" i="2"/>
  <c r="H30" i="2" s="1"/>
  <c r="H29" i="2"/>
  <c r="F29" i="2"/>
  <c r="G29" i="2" s="1"/>
  <c r="H28" i="2"/>
  <c r="G28" i="2"/>
  <c r="F28" i="2"/>
  <c r="F27" i="2"/>
  <c r="G26" i="2"/>
  <c r="F26" i="2"/>
  <c r="H26" i="2" s="1"/>
  <c r="H25" i="2"/>
  <c r="F25" i="2"/>
  <c r="G25" i="2" s="1"/>
  <c r="H24" i="2"/>
  <c r="G24" i="2"/>
  <c r="F24" i="2"/>
  <c r="H23" i="2"/>
  <c r="G23" i="2"/>
  <c r="F23" i="2"/>
  <c r="F22" i="2"/>
  <c r="H22" i="2" s="1"/>
  <c r="F21" i="2"/>
  <c r="G21" i="2" s="1"/>
  <c r="H20" i="2"/>
  <c r="G20" i="2"/>
  <c r="F20" i="2"/>
  <c r="F19" i="2"/>
  <c r="F18" i="2"/>
  <c r="H18" i="2" s="1"/>
  <c r="H17" i="2"/>
  <c r="F17" i="2"/>
  <c r="G17" i="2" s="1"/>
  <c r="H16" i="2"/>
  <c r="G16" i="2"/>
  <c r="F16" i="2"/>
  <c r="H15" i="2"/>
  <c r="F15" i="2"/>
  <c r="G15" i="2" s="1"/>
  <c r="F14" i="2"/>
  <c r="H14" i="2" s="1"/>
  <c r="F13" i="2"/>
  <c r="G13" i="2" s="1"/>
  <c r="H12" i="2"/>
  <c r="G12" i="2"/>
  <c r="F12" i="2"/>
  <c r="E8" i="2"/>
  <c r="D8" i="2"/>
  <c r="F8" i="2" s="1"/>
  <c r="H8" i="2" l="1"/>
  <c r="G8" i="2"/>
  <c r="H99" i="2"/>
  <c r="G99" i="2"/>
  <c r="H19" i="2"/>
  <c r="G19" i="2"/>
  <c r="H83" i="2"/>
  <c r="G83" i="2"/>
  <c r="H203" i="2"/>
  <c r="G203" i="2"/>
  <c r="H243" i="2"/>
  <c r="G243" i="2"/>
  <c r="G282" i="2"/>
  <c r="H282" i="2"/>
  <c r="H310" i="2"/>
  <c r="G310" i="2"/>
  <c r="H27" i="2"/>
  <c r="G27" i="2"/>
  <c r="G34" i="2"/>
  <c r="H53" i="2"/>
  <c r="H91" i="2"/>
  <c r="G91" i="2"/>
  <c r="G98" i="2"/>
  <c r="H117" i="2"/>
  <c r="H188" i="2"/>
  <c r="H349" i="2"/>
  <c r="G360" i="2"/>
  <c r="G47" i="2"/>
  <c r="H69" i="2"/>
  <c r="H107" i="2"/>
  <c r="G107" i="2"/>
  <c r="G111" i="2"/>
  <c r="G114" i="2"/>
  <c r="H133" i="2"/>
  <c r="H141" i="2"/>
  <c r="G141" i="2"/>
  <c r="H149" i="2"/>
  <c r="G149" i="2"/>
  <c r="H157" i="2"/>
  <c r="G157" i="2"/>
  <c r="G180" i="2"/>
  <c r="H180" i="2"/>
  <c r="G197" i="2"/>
  <c r="G250" i="2"/>
  <c r="H250" i="2"/>
  <c r="H278" i="2"/>
  <c r="G278" i="2"/>
  <c r="L83" i="5"/>
  <c r="H189" i="2"/>
  <c r="G189" i="2"/>
  <c r="H307" i="2"/>
  <c r="G307" i="2"/>
  <c r="G346" i="2"/>
  <c r="H346" i="2"/>
  <c r="H374" i="2"/>
  <c r="G374" i="2"/>
  <c r="H43" i="2"/>
  <c r="G43" i="2"/>
  <c r="H13" i="2"/>
  <c r="H51" i="2"/>
  <c r="G51" i="2"/>
  <c r="H206" i="2"/>
  <c r="G206" i="2"/>
  <c r="H317" i="2"/>
  <c r="G328" i="2"/>
  <c r="H371" i="2"/>
  <c r="G371" i="2"/>
  <c r="L16" i="5"/>
  <c r="G50" i="2"/>
  <c r="G55" i="2"/>
  <c r="H115" i="2"/>
  <c r="G115" i="2"/>
  <c r="H21" i="2"/>
  <c r="H59" i="2"/>
  <c r="G59" i="2"/>
  <c r="G63" i="2"/>
  <c r="G66" i="2"/>
  <c r="H85" i="2"/>
  <c r="H119" i="2"/>
  <c r="H123" i="2"/>
  <c r="G123" i="2"/>
  <c r="G127" i="2"/>
  <c r="G130" i="2"/>
  <c r="G162" i="2"/>
  <c r="G168" i="2"/>
  <c r="G185" i="2"/>
  <c r="G232" i="2"/>
  <c r="H275" i="2"/>
  <c r="G275" i="2"/>
  <c r="G314" i="2"/>
  <c r="H314" i="2"/>
  <c r="H342" i="2"/>
  <c r="G342" i="2"/>
  <c r="H35" i="2"/>
  <c r="G35" i="2"/>
  <c r="G58" i="2"/>
  <c r="H77" i="2"/>
  <c r="G122" i="2"/>
  <c r="H67" i="2"/>
  <c r="G67" i="2"/>
  <c r="H177" i="2"/>
  <c r="G177" i="2"/>
  <c r="H186" i="2"/>
  <c r="G186" i="2"/>
  <c r="H246" i="2"/>
  <c r="G246" i="2"/>
  <c r="F381" i="5"/>
  <c r="L9" i="5"/>
  <c r="H131" i="2"/>
  <c r="G131" i="2"/>
  <c r="G18" i="2"/>
  <c r="H37" i="2"/>
  <c r="H75" i="2"/>
  <c r="G75" i="2"/>
  <c r="G82" i="2"/>
  <c r="H101" i="2"/>
  <c r="H139" i="2"/>
  <c r="G139" i="2"/>
  <c r="G174" i="2"/>
  <c r="H285" i="2"/>
  <c r="G296" i="2"/>
  <c r="H339" i="2"/>
  <c r="G339" i="2"/>
  <c r="G378" i="2"/>
  <c r="H378" i="2"/>
  <c r="L46" i="5"/>
  <c r="L98" i="5"/>
  <c r="L144" i="5"/>
  <c r="L186" i="5"/>
  <c r="H318" i="2"/>
  <c r="G318" i="2"/>
  <c r="H350" i="2"/>
  <c r="G350" i="2"/>
  <c r="L11" i="5"/>
  <c r="L53" i="5"/>
  <c r="L58" i="5"/>
  <c r="L139" i="5"/>
  <c r="L181" i="5"/>
  <c r="H254" i="2"/>
  <c r="G254" i="2"/>
  <c r="H286" i="2"/>
  <c r="G286" i="2"/>
  <c r="G209" i="2"/>
  <c r="H212" i="2"/>
  <c r="G218" i="2"/>
  <c r="G221" i="2"/>
  <c r="G240" i="2"/>
  <c r="H247" i="2"/>
  <c r="G258" i="2"/>
  <c r="G261" i="2"/>
  <c r="G272" i="2"/>
  <c r="H279" i="2"/>
  <c r="G290" i="2"/>
  <c r="G293" i="2"/>
  <c r="G304" i="2"/>
  <c r="H311" i="2"/>
  <c r="G322" i="2"/>
  <c r="G325" i="2"/>
  <c r="G336" i="2"/>
  <c r="H343" i="2"/>
  <c r="G354" i="2"/>
  <c r="G357" i="2"/>
  <c r="G368" i="2"/>
  <c r="H375" i="2"/>
  <c r="L2" i="5"/>
  <c r="L48" i="5"/>
  <c r="L130" i="5"/>
  <c r="L176" i="5"/>
  <c r="L171" i="5"/>
  <c r="G147" i="2"/>
  <c r="G155" i="2"/>
  <c r="G169" i="2"/>
  <c r="H172" i="2"/>
  <c r="G178" i="2"/>
  <c r="G181" i="2"/>
  <c r="G201" i="2"/>
  <c r="H204" i="2"/>
  <c r="G210" i="2"/>
  <c r="G213" i="2"/>
  <c r="H237" i="2"/>
  <c r="G248" i="2"/>
  <c r="H262" i="2"/>
  <c r="G262" i="2"/>
  <c r="H269" i="2"/>
  <c r="G280" i="2"/>
  <c r="H294" i="2"/>
  <c r="G294" i="2"/>
  <c r="H301" i="2"/>
  <c r="G312" i="2"/>
  <c r="H326" i="2"/>
  <c r="G326" i="2"/>
  <c r="H333" i="2"/>
  <c r="G344" i="2"/>
  <c r="H358" i="2"/>
  <c r="G358" i="2"/>
  <c r="H365" i="2"/>
  <c r="G376" i="2"/>
  <c r="L34" i="5"/>
  <c r="L80" i="5"/>
  <c r="G14" i="2"/>
  <c r="G22" i="2"/>
  <c r="G38" i="2"/>
  <c r="G54" i="2"/>
  <c r="G62" i="2"/>
  <c r="G78" i="2"/>
  <c r="G94" i="2"/>
  <c r="G102" i="2"/>
  <c r="G142" i="2"/>
  <c r="G158" i="2"/>
  <c r="G222" i="2"/>
  <c r="H238" i="2"/>
  <c r="G238" i="2"/>
  <c r="H266" i="2"/>
  <c r="H270" i="2"/>
  <c r="G270" i="2"/>
  <c r="G291" i="2"/>
  <c r="H298" i="2"/>
  <c r="H302" i="2"/>
  <c r="G302" i="2"/>
  <c r="G323" i="2"/>
  <c r="H330" i="2"/>
  <c r="H334" i="2"/>
  <c r="G334" i="2"/>
  <c r="G355" i="2"/>
  <c r="H362" i="2"/>
  <c r="H366" i="2"/>
  <c r="G366" i="2"/>
  <c r="L75" i="5"/>
  <c r="L117" i="5"/>
  <c r="L122" i="5"/>
  <c r="L157" i="5"/>
  <c r="G30" i="2"/>
  <c r="G46" i="2"/>
  <c r="G70" i="2"/>
  <c r="G86" i="2"/>
  <c r="G110" i="2"/>
  <c r="G118" i="2"/>
  <c r="G126" i="2"/>
  <c r="G134" i="2"/>
  <c r="G150" i="2"/>
  <c r="G184" i="2"/>
  <c r="G187" i="2"/>
  <c r="G190" i="2"/>
  <c r="G216" i="2"/>
  <c r="G219" i="2"/>
  <c r="H234" i="2"/>
  <c r="G259" i="2"/>
  <c r="G161" i="2"/>
  <c r="H164" i="2"/>
  <c r="G193" i="2"/>
  <c r="H196" i="2"/>
  <c r="G228" i="2"/>
  <c r="H231" i="2"/>
  <c r="G256" i="2"/>
  <c r="H263" i="2"/>
  <c r="G288" i="2"/>
  <c r="H295" i="2"/>
  <c r="G320" i="2"/>
  <c r="H327" i="2"/>
  <c r="G352" i="2"/>
  <c r="H359" i="2"/>
  <c r="L66" i="5"/>
  <c r="L112" i="5"/>
  <c r="L253" i="5"/>
  <c r="L272" i="5"/>
  <c r="L317" i="5"/>
  <c r="L269" i="5"/>
  <c r="L288" i="5"/>
  <c r="L245" i="5"/>
  <c r="L264" i="5"/>
  <c r="L285" i="5"/>
  <c r="L304" i="5"/>
  <c r="L341" i="5"/>
  <c r="F380" i="5"/>
  <c r="L256" i="5"/>
  <c r="L301" i="5"/>
  <c r="L320" i="5"/>
  <c r="J373" i="5"/>
  <c r="L373" i="5" s="1"/>
  <c r="F379" i="5" s="1"/>
  <c r="F382" i="5" l="1"/>
</calcChain>
</file>

<file path=xl/sharedStrings.xml><?xml version="1.0" encoding="utf-8"?>
<sst xmlns="http://schemas.openxmlformats.org/spreadsheetml/2006/main" count="2786" uniqueCount="545">
  <si>
    <t>PA-07 2026 House Forecast — Precinct-Level Predictions</t>
  </si>
  <si>
    <t>Candidates: Brooks | Mackenzie   |   District totals (yellow) are formulas over the precinct rows.</t>
  </si>
  <si>
    <t>Enter votes only in the Brooks / Mackenzie / Other columns. Compare district totals to the municipal template and explain any gap.</t>
  </si>
  <si>
    <t>Model / scenario</t>
  </si>
  <si>
    <t>Random forest v0.1, precinct model (prepared by Charlie Weinstein)</t>
  </si>
  <si>
    <t>As-of date</t>
  </si>
  <si>
    <t>Prepared by</t>
  </si>
  <si>
    <t>Version</t>
  </si>
  <si>
    <t>v0.1 template</t>
  </si>
  <si>
    <t>DISTRICT TOTALS (auto-sum — do not type over)</t>
  </si>
  <si>
    <t>Geography</t>
  </si>
  <si>
    <t>(muni)</t>
  </si>
  <si>
    <t>(precinct)</t>
  </si>
  <si>
    <t>Brooks votes</t>
  </si>
  <si>
    <t>Mackenzie votes</t>
  </si>
  <si>
    <t>Total votes</t>
  </si>
  <si>
    <t>Brooks share</t>
  </si>
  <si>
    <t>Mackenzie share</t>
  </si>
  <si>
    <t>Notes</t>
  </si>
  <si>
    <t>PA-07 District</t>
  </si>
  <si>
    <t>(all precincts)</t>
  </si>
  <si>
    <t>Headline forecast for the briefing</t>
  </si>
  <si>
    <t>Discussion prompt: Precinct and municipal district totals should match, or the class must document why they do not.</t>
  </si>
  <si>
    <t>PRECINCT DETAIL</t>
  </si>
  <si>
    <t>County</t>
  </si>
  <si>
    <t>Municipality</t>
  </si>
  <si>
    <t>Precinct</t>
  </si>
  <si>
    <t>Notes / source method</t>
  </si>
  <si>
    <t>Carbon</t>
  </si>
  <si>
    <t>BANKS TOWNSHIP</t>
  </si>
  <si>
    <t>random forest</t>
  </si>
  <si>
    <t>BEAVER MEADOWS BOROUGH</t>
  </si>
  <si>
    <t>BOWMANSTOWN BOROUGH</t>
  </si>
  <si>
    <t>EAST PENN TOWNSHIP</t>
  </si>
  <si>
    <t>EAST PENN TOWNSHIP-NORTH</t>
  </si>
  <si>
    <t>EAST PENN TOWNSHIP-SOUTH</t>
  </si>
  <si>
    <t>EAST SIDE BOROUGH</t>
  </si>
  <si>
    <t>FRANKLIN TOWNSHIP</t>
  </si>
  <si>
    <t>FRANKLIN TOWNSHIP-HARRITY</t>
  </si>
  <si>
    <t>FRANKLIN TOWNSHIP-IND DIST</t>
  </si>
  <si>
    <t>FRANKLIN TOWNSHIP-LONG RUN</t>
  </si>
  <si>
    <t>JIM THORPE BOROUGH</t>
  </si>
  <si>
    <t>JIM THORPE BOROUGH-1ST</t>
  </si>
  <si>
    <t>JIM THORPE BOROUGH-2ND</t>
  </si>
  <si>
    <t>JIM THORPE BOROUGH-3RD</t>
  </si>
  <si>
    <t>JIM THORPE BOROUGH-4TH</t>
  </si>
  <si>
    <t>JIM THORPE BOROUGH-5TH</t>
  </si>
  <si>
    <t>KIDDER TOWNSHIP</t>
  </si>
  <si>
    <t>KIDDER TOWNSHIP-NORTH</t>
  </si>
  <si>
    <t>KIDDER TOWNSHIP-SOUTH</t>
  </si>
  <si>
    <t>LANSFORD BOROUGH</t>
  </si>
  <si>
    <t>LANSFORD BOROUGH - EAST WARD</t>
  </si>
  <si>
    <t>LANSFORD BOROUGH-MIDDLE WARD</t>
  </si>
  <si>
    <t>LANSFORD BOROUGH-WEST WARD</t>
  </si>
  <si>
    <t>LAUSANNE TOWNSHIP</t>
  </si>
  <si>
    <t>LEHIGH TOWNSHIP</t>
  </si>
  <si>
    <t>LEHIGHTON BOROUGH</t>
  </si>
  <si>
    <t>LEHIGHTON BOROUGH-1ST</t>
  </si>
  <si>
    <t>LEHIGHTON BOROUGH-2ND</t>
  </si>
  <si>
    <t>LEHIGHTON BOROUGH-3RD</t>
  </si>
  <si>
    <t>LOWER TOWAMENSING TWP.</t>
  </si>
  <si>
    <t>LOWER TOWAMENSING TWP.-NORTH</t>
  </si>
  <si>
    <t>LOWER TOWAMENSING TWP.-SOUTH</t>
  </si>
  <si>
    <t>MAHONING TOWNSHIP</t>
  </si>
  <si>
    <t>MAHONING TOWNSHIP - NEW MAHONING</t>
  </si>
  <si>
    <t>MAHONING TOWNSHIP - PACKERTON/JAMESTOWN</t>
  </si>
  <si>
    <t>MAHONING TOWNSHIP-MAHONING</t>
  </si>
  <si>
    <t>NESQUEHONING BOROUGH</t>
  </si>
  <si>
    <t>NESQUEHONING BOROUGH-EAST</t>
  </si>
  <si>
    <t>NESQUEHONING BOROUGH-WEST</t>
  </si>
  <si>
    <t>PACKER TOWNSHIP</t>
  </si>
  <si>
    <t>PALMERTON BOROUGH</t>
  </si>
  <si>
    <t>PALMERTON BOROUGH-EASTERN</t>
  </si>
  <si>
    <t>PALMERTON BOROUGH-MIDDLE</t>
  </si>
  <si>
    <t>PALMERTON BOROUGH-WESTERN</t>
  </si>
  <si>
    <t>PARRYVILLE BOROUGH</t>
  </si>
  <si>
    <t>PENN FOREST TOWNSHIP</t>
  </si>
  <si>
    <t>PENN FOREST TOWNSHIP-EAST</t>
  </si>
  <si>
    <t>PENN FOREST TOWNSHIP-MIDDLE</t>
  </si>
  <si>
    <t>PENN FOREST TOWNSHIP-NORTH EAST</t>
  </si>
  <si>
    <t>PENN FOREST TOWNSHIP-NORTH WEST</t>
  </si>
  <si>
    <t>PENN FOREST TOWNSHIP-SOUTH WEST</t>
  </si>
  <si>
    <t>SUMMIT HILL BOROUGH</t>
  </si>
  <si>
    <t>SUMMIT HILL BOROUGH-1ST</t>
  </si>
  <si>
    <t>SUMMIT HILL BOROUGH-2ND</t>
  </si>
  <si>
    <t>SUMMIT HILL BOROUGH-3RD/2ND</t>
  </si>
  <si>
    <t>SUMMIT HILL-3RD/1ST DIST</t>
  </si>
  <si>
    <t>TOWAMENSING TOWNSHIP</t>
  </si>
  <si>
    <t>TOWAMENSING TOWNSHIP-NORTH</t>
  </si>
  <si>
    <t>TOWAMENSING TOWNSHIP-SOUTH-1</t>
  </si>
  <si>
    <t>TOWAMENSING TOWNSHIP-SOUTH-2</t>
  </si>
  <si>
    <t>WEATHERLY BOROUGH</t>
  </si>
  <si>
    <t>WEATHERLY BOROUGH-EAST</t>
  </si>
  <si>
    <t>WEATHERLY BOROUGH-WEST</t>
  </si>
  <si>
    <t>WEISSPORT BOROUGH</t>
  </si>
  <si>
    <t>Lehigh</t>
  </si>
  <si>
    <t>ALBURTIS</t>
  </si>
  <si>
    <t>ALLENTOWN</t>
  </si>
  <si>
    <t>ALLENTOWN 10TH WARD 1ST DIST</t>
  </si>
  <si>
    <t>ALLENTOWN 10TH WARD 3RD DIST</t>
  </si>
  <si>
    <t>ALLENTOWN 10TH WARD 4TH DIST</t>
  </si>
  <si>
    <t>ALLENTOWN 11TH WARD 1ST DIST</t>
  </si>
  <si>
    <t>ALLENTOWN 11TH WARD 2ND DIST</t>
  </si>
  <si>
    <t>ALLENTOWN 11TH WARD 3RD DIST</t>
  </si>
  <si>
    <t>ALLENTOWN 11TH WARD 4TH DIST</t>
  </si>
  <si>
    <t>ALLENTOWN 11TH WARD 5TH DIST</t>
  </si>
  <si>
    <t>ALLENTOWN 11TH WARD 6TH DIST</t>
  </si>
  <si>
    <t>ALLENTOWN 11TH WARD 7TH DIST</t>
  </si>
  <si>
    <t>ALLENTOWN 12TH WARD 1ST DIST</t>
  </si>
  <si>
    <t>ALLENTOWN 12TH WARD 2ND DIST</t>
  </si>
  <si>
    <t>ALLENTOWN 12TH WARD 3RD DIST</t>
  </si>
  <si>
    <t>ALLENTOWN 12TH WARD 4TH DIST</t>
  </si>
  <si>
    <t>ALLENTOWN 12TH WARD 5TH DIST</t>
  </si>
  <si>
    <t>ALLENTOWN 13TH WARD 1ST DIST</t>
  </si>
  <si>
    <t>ALLENTOWN 13TH WARD 2ND DIST</t>
  </si>
  <si>
    <t>ALLENTOWN 13TH WARD 3RD DIST</t>
  </si>
  <si>
    <t>ALLENTOWN 13TH WARD 4TH DIST</t>
  </si>
  <si>
    <t>ALLENTOWN 14TH WARD 1ST DIST</t>
  </si>
  <si>
    <t>ALLENTOWN 14TH WARD 2ND DIST</t>
  </si>
  <si>
    <t>ALLENTOWN 15TH WARD 1ST DIST</t>
  </si>
  <si>
    <t>ALLENTOWN 15TH WARD 2ND DIST</t>
  </si>
  <si>
    <t>ALLENTOWN 15TH WARD 3RD DIST</t>
  </si>
  <si>
    <t>ALLENTOWN 15TH WARD 4TH DIST</t>
  </si>
  <si>
    <t>ALLENTOWN 16TH WARD 1ST DIST</t>
  </si>
  <si>
    <t>ALLENTOWN 16TH WARD 2ND DIST</t>
  </si>
  <si>
    <t>ALLENTOWN 17TH WARD 1ST DIST</t>
  </si>
  <si>
    <t>ALLENTOWN 17TH WARD 2ND DIST</t>
  </si>
  <si>
    <t>ALLENTOWN 17TH WARD 3RD DIST</t>
  </si>
  <si>
    <t>ALLENTOWN 17TH WARD 4TH DIST</t>
  </si>
  <si>
    <t>ALLENTOWN 17TH WD 4TH DT PARK</t>
  </si>
  <si>
    <t>ALLENTOWN 18TH WARD 1ST DIST</t>
  </si>
  <si>
    <t>ALLENTOWN 18TH WARD 2ND DIST</t>
  </si>
  <si>
    <t>ALLENTOWN 18TH WD 2ND DT PARK</t>
  </si>
  <si>
    <t>ALLENTOWN 19TH WARD 1ST DIST</t>
  </si>
  <si>
    <t>ALLENTOWN 19TH WARD 2ND DIST</t>
  </si>
  <si>
    <t>ALLENTOWN 19TH WARD 3RD DIST</t>
  </si>
  <si>
    <t>ALLENTOWN 19TH WARD 4TH DIST</t>
  </si>
  <si>
    <t>ALLENTOWN 19TH WARD 5TH DIST</t>
  </si>
  <si>
    <t>ALLENTOWN 19TH WARD 5TH DT SAL</t>
  </si>
  <si>
    <t>ALLENTOWN 19TH WARD 6TH DIST</t>
  </si>
  <si>
    <t>ALLENTOWN 1ST WARD</t>
  </si>
  <si>
    <t>ALLENTOWN 2ND WARD</t>
  </si>
  <si>
    <t>ALLENTOWN 3RD WARD</t>
  </si>
  <si>
    <t>ALLENTOWN 4TH WARD</t>
  </si>
  <si>
    <t>ALLENTOWN 5TH WARD</t>
  </si>
  <si>
    <t>ALLENTOWN 6TH WARD 1ST DIST</t>
  </si>
  <si>
    <t>ALLENTOWN 6TH WARD 2ND DIST</t>
  </si>
  <si>
    <t>ALLENTOWN 7TH WARD</t>
  </si>
  <si>
    <t>ALLENTOWN 8TH WARD 1ST DIST</t>
  </si>
  <si>
    <t>ALLENTOWN 8TH WARD 2ND DIST</t>
  </si>
  <si>
    <t>ALLENTOWN 8TH WARD 3RD DIST</t>
  </si>
  <si>
    <t>ALLENTOWN 8TH WARD 4TH DIST</t>
  </si>
  <si>
    <t>ALLENTOWN 8TH WARD 5TH DIST</t>
  </si>
  <si>
    <t>ALLENTOWN 8TH WARD 6TH DIST</t>
  </si>
  <si>
    <t>ALLENTOWN 8TH WARD 7TH DIST</t>
  </si>
  <si>
    <t>ALLENTOWN 9TH WARD</t>
  </si>
  <si>
    <t>BETHLEHEM</t>
  </si>
  <si>
    <t>BETHLEHEM 10TH WARD</t>
  </si>
  <si>
    <t>BETHLEHEM 11TH WARD</t>
  </si>
  <si>
    <t>BETHLEHEM 12TH WARD 1ST DIST</t>
  </si>
  <si>
    <t>BETHLEHEM 12TH WARD 2ND DIST</t>
  </si>
  <si>
    <t>BETHLEHEM 13TH WARD 1ST DIST</t>
  </si>
  <si>
    <t>BETHLEHEM 13TH WARD 2ND DIST</t>
  </si>
  <si>
    <t>BETHLEHEM 13TH WARD 3RD DIST</t>
  </si>
  <si>
    <t>BETHLEHEM 13TH WARD 4TH DIST</t>
  </si>
  <si>
    <t>BETHLEHEM 13TH WARD 5TH DIST</t>
  </si>
  <si>
    <t>BETHLEHEM 13TH WARD 6TH DIST</t>
  </si>
  <si>
    <t>BETHLEHEM 13TH WARD 7TH DIST</t>
  </si>
  <si>
    <t>BETHLEHEM 13TH WARD 8TH DIST</t>
  </si>
  <si>
    <t>CATASAUQUA</t>
  </si>
  <si>
    <t>CATASAUQUA 1ST DIST</t>
  </si>
  <si>
    <t>CATASAUQUA 2ND DIST</t>
  </si>
  <si>
    <t>CATASAUQUA 3RD DIST</t>
  </si>
  <si>
    <t>COOPERSBURG</t>
  </si>
  <si>
    <t>COPLAY</t>
  </si>
  <si>
    <t>COPLAY 1ST DISTRICT</t>
  </si>
  <si>
    <t>COPLAY 2ND DISTRICT</t>
  </si>
  <si>
    <t>EMMAUS</t>
  </si>
  <si>
    <t>EMMAUS 1ST DISTRICT</t>
  </si>
  <si>
    <t>EMMAUS 2ND DISTRICT</t>
  </si>
  <si>
    <t>EMMAUS 3RD DISTRICT</t>
  </si>
  <si>
    <t>EMMAUS 4TH DISTRICT</t>
  </si>
  <si>
    <t>EMMAUS 5TH DISTRICT</t>
  </si>
  <si>
    <t>EMMAUS 6TH DISTRICT</t>
  </si>
  <si>
    <t>FOUNTAIN HILL</t>
  </si>
  <si>
    <t>FOUNTAIN HILL 1ST DIST</t>
  </si>
  <si>
    <t>FOUNTAIN HILL 2ND DIST</t>
  </si>
  <si>
    <t>FOUNTAIN HILL 3RD DIST</t>
  </si>
  <si>
    <t>HANOVER</t>
  </si>
  <si>
    <t>HEIDELBERG</t>
  </si>
  <si>
    <t>LOWER MACUNGIE</t>
  </si>
  <si>
    <t>LOWER MACUNGIE 10TH DISTRICT</t>
  </si>
  <si>
    <t>LOWER MACUNGIE 1ST DISTRICT</t>
  </si>
  <si>
    <t>LOWER MACUNGIE 2ND DISTRICT</t>
  </si>
  <si>
    <t>LOWER MACUNGIE 3RD DISTRICT</t>
  </si>
  <si>
    <t>LOWER MACUNGIE 4TH DISTRICT</t>
  </si>
  <si>
    <t>LOWER MACUNGIE 5TH DISTRICT</t>
  </si>
  <si>
    <t>LOWER MACUNGIE 6TH DISTRICT</t>
  </si>
  <si>
    <t>LOWER MACUNGIE 7TH DISTRICT</t>
  </si>
  <si>
    <t>LOWER MACUNGIE 8TH DISTRICT</t>
  </si>
  <si>
    <t>LOWER MACUNGIE 9TH DISTRICT</t>
  </si>
  <si>
    <t>LOWER MILFORD</t>
  </si>
  <si>
    <t>LOWHILL</t>
  </si>
  <si>
    <t>LYNN</t>
  </si>
  <si>
    <t>LYNN JACKSONVILLE DISTRICT</t>
  </si>
  <si>
    <t>LYNN LYNNVILLE DISTRICT</t>
  </si>
  <si>
    <t>LYNN NEW TRIPOLI DISTRICT</t>
  </si>
  <si>
    <t>MACUNGIE</t>
  </si>
  <si>
    <t>NORTH WHITEHALL</t>
  </si>
  <si>
    <t>NORTH WHITEHALL 1ST DISTRICT</t>
  </si>
  <si>
    <t>NORTH WHITEHALL 2ND DISTRICT</t>
  </si>
  <si>
    <t>NORTH WHITEHALL 3RD DISTRICT</t>
  </si>
  <si>
    <t>NORTH WHITEHALL 4TH DISTRICT</t>
  </si>
  <si>
    <t>NORTH WHITEHALL 5TH DISTRICT</t>
  </si>
  <si>
    <t>NORTH WHITEHALL 6TH DISTRICT</t>
  </si>
  <si>
    <t>SALISBURY</t>
  </si>
  <si>
    <t>SALISBURY 1ST WARD</t>
  </si>
  <si>
    <t>SALISBURY 2ND WARD</t>
  </si>
  <si>
    <t>SALISBURY 3RD WARD 1ST DIST</t>
  </si>
  <si>
    <t>SALISBURY 3RD WARD 2ND DIST</t>
  </si>
  <si>
    <t>SALISBURY 4TH WARD 1ST DIST</t>
  </si>
  <si>
    <t>SALISBURY 4TH WARD 2ND DIST</t>
  </si>
  <si>
    <t>SALISBURY 5TH WARD 1ST DIST</t>
  </si>
  <si>
    <t>SALISBURY 5TH WARD 2ND DIST</t>
  </si>
  <si>
    <t>SLATINGTON</t>
  </si>
  <si>
    <t>SLATINGTON 1ST DIST</t>
  </si>
  <si>
    <t>SLATINGTON 2ND DIST</t>
  </si>
  <si>
    <t>SLATINGTON 3RD DIST</t>
  </si>
  <si>
    <t>SOUTH WHITEHALL</t>
  </si>
  <si>
    <t>SOUTH WHITEHALL 1ST DISTRICT</t>
  </si>
  <si>
    <t>SOUTH WHITEHALL 2ND DISTRICT</t>
  </si>
  <si>
    <t>SOUTH WHITEHALL 3RD DISTRICT</t>
  </si>
  <si>
    <t>SOUTH WHITEHALL 4TH DISTRICT</t>
  </si>
  <si>
    <t>SOUTH WHITEHALL 5TH DISTRICT</t>
  </si>
  <si>
    <t>SOUTH WHITEHALL 6TH DISTRICT</t>
  </si>
  <si>
    <t>SOUTH WHITEHALL 7TH DISTRICT</t>
  </si>
  <si>
    <t>SOUTH WHITEHALL 8TH DISTRICT</t>
  </si>
  <si>
    <t>UPPER MACUNGIE</t>
  </si>
  <si>
    <t>UPPER MACUNGIE 1ST DISTRICT</t>
  </si>
  <si>
    <t>UPPER MACUNGIE 2ND DISTRICT</t>
  </si>
  <si>
    <t>UPPER MACUNGIE 3RD DISTRICT</t>
  </si>
  <si>
    <t>UPPER MACUNGIE 4TH DISTRICT</t>
  </si>
  <si>
    <t>UPPER MACUNGIE 5TH DISTRICT</t>
  </si>
  <si>
    <t>UPPER MACUNGIE 6TH DISTRICT</t>
  </si>
  <si>
    <t>UPPER MACUNGIE 7TH DISTRICT</t>
  </si>
  <si>
    <t>UPPER MACUNGIE 8TH DISTRICT</t>
  </si>
  <si>
    <t>UPPER MILFORD</t>
  </si>
  <si>
    <t>UPPER MILFORD EASTERN DISTRICT</t>
  </si>
  <si>
    <t>UPPER MILFORD WESTERN DISTRICT</t>
  </si>
  <si>
    <t>UPPER SAUCON</t>
  </si>
  <si>
    <t>UPPER SAUCON 1ST DISTRICT</t>
  </si>
  <si>
    <t>UPPER SAUCON 2ND DISTRICT</t>
  </si>
  <si>
    <t>UPPER SAUCON 3RD DISTRICT</t>
  </si>
  <si>
    <t>UPPER SAUCON 4TH DISTRICT</t>
  </si>
  <si>
    <t>UPPER SAUCON 5TH DISTRICT</t>
  </si>
  <si>
    <t>UPPER SAUCON 6TH DISTRICT</t>
  </si>
  <si>
    <t>WASHINGTON</t>
  </si>
  <si>
    <t>WASHINGTON EASTERN DISTRICT</t>
  </si>
  <si>
    <t>WASHINGTON SOUTHERN DISTRICT</t>
  </si>
  <si>
    <t>WASHINGTON WESTERN DISTRICT</t>
  </si>
  <si>
    <t>WEISENBERG</t>
  </si>
  <si>
    <t>WHITEHALL</t>
  </si>
  <si>
    <t>WHITEHALL 10TH DISTRICT</t>
  </si>
  <si>
    <t>WHITEHALL 11TH DISTRICT</t>
  </si>
  <si>
    <t>WHITEHALL 12TH DISTRICT</t>
  </si>
  <si>
    <t>WHITEHALL 1ST DISTRICT</t>
  </si>
  <si>
    <t>WHITEHALL 2ND DISTRICT</t>
  </si>
  <si>
    <t>WHITEHALL 3RD DISTRICT</t>
  </si>
  <si>
    <t>WHITEHALL 4TH DISTRICT</t>
  </si>
  <si>
    <t>WHITEHALL 5TH DISTRICT</t>
  </si>
  <si>
    <t>WHITEHALL 6TH DISTRICT</t>
  </si>
  <si>
    <t>WHITEHALL 7TH DISTRICT</t>
  </si>
  <si>
    <t>WHITEHALL 8TH DISTRICT</t>
  </si>
  <si>
    <t>WHITEHALL 9TH DISTRICT</t>
  </si>
  <si>
    <t>Monroe</t>
  </si>
  <si>
    <t>ELDRED TOWNSHIP</t>
  </si>
  <si>
    <t>ELDRED</t>
  </si>
  <si>
    <t>POLK TOWNSHIP</t>
  </si>
  <si>
    <t>POLK</t>
  </si>
  <si>
    <t>ROSS TOWNSHIP</t>
  </si>
  <si>
    <t>ROSS ONE</t>
  </si>
  <si>
    <t>Northampton</t>
  </si>
  <si>
    <t>ALLEN TWSP</t>
  </si>
  <si>
    <t>ALLEN TWSP - NORTH</t>
  </si>
  <si>
    <t>ALLEN TWSP - SOUTH</t>
  </si>
  <si>
    <t>BANGOR BORO</t>
  </si>
  <si>
    <t>BANGOR BORO NORTH</t>
  </si>
  <si>
    <t>BANGOR BORO SOUTH</t>
  </si>
  <si>
    <t>BATH BORO</t>
  </si>
  <si>
    <t>BETHLEHEM 14TH WARD 1ST DISTRICT</t>
  </si>
  <si>
    <t>BETHLEHEM 14TH WARD 2ND DISTRICT</t>
  </si>
  <si>
    <t>BETHLEHEM 14TH WARD 3RD DISTRICT</t>
  </si>
  <si>
    <t>BETHLEHEM 14TH WARD 4TH DISTRICT</t>
  </si>
  <si>
    <t>BETHLEHEM 14TH WARD 5TH DISTRICT</t>
  </si>
  <si>
    <t>BETHLEHEM 14TH WARD 6TH DISTRICT</t>
  </si>
  <si>
    <t>BETHLEHEM 14TH WARD 7TH DISTRICT</t>
  </si>
  <si>
    <t>BETHLEHEM 14TH WARD 8TH DISTRICT</t>
  </si>
  <si>
    <t>BETHLEHEM 15TH WARD 1ST DISTRICT</t>
  </si>
  <si>
    <t>BETHLEHEM 15TH WARD 2ND DISTRICT</t>
  </si>
  <si>
    <t>BETHLEHEM 15TH WARD 3RD DISTRICT</t>
  </si>
  <si>
    <t>BETHLEHEM 16TH WARD</t>
  </si>
  <si>
    <t>BETHLEHEM 17TH WARD</t>
  </si>
  <si>
    <t>BETHLEHEM 1ST WARD - NORTHERN</t>
  </si>
  <si>
    <t>BETHLEHEM 1ST WARD - SOUTHERN</t>
  </si>
  <si>
    <t>BETHLEHEM 2ND WARD</t>
  </si>
  <si>
    <t>BETHLEHEM 3RD WARD</t>
  </si>
  <si>
    <t>BETHLEHEM 4TH WARD</t>
  </si>
  <si>
    <t>BETHLEHEM 5TH WARD</t>
  </si>
  <si>
    <t>BETHLEHEM 6TH WARD</t>
  </si>
  <si>
    <t>BETHLEHEM 7TH WARD</t>
  </si>
  <si>
    <t>BETHLEHEM 8TH WARD</t>
  </si>
  <si>
    <t>BETHLEHEM 9TH WARD EAST</t>
  </si>
  <si>
    <t>BETHLEHEM 9TH WARD WEST</t>
  </si>
  <si>
    <t>BETHLEHEM TWSP</t>
  </si>
  <si>
    <t>BETHLEHEM TWSP 1ST WARD 1ST DISTRICT</t>
  </si>
  <si>
    <t>BETHLEHEM TWSP 1ST WARD 2ND DISTRICT</t>
  </si>
  <si>
    <t>BETHLEHEM TWSP 1ST WARD 3RD DISTRICT</t>
  </si>
  <si>
    <t>BETHLEHEM TWSP 1ST WARD 4TH DISTRICT</t>
  </si>
  <si>
    <t>BETHLEHEM TWSP 2ND WARD 1ST DISTRICT</t>
  </si>
  <si>
    <t>BETHLEHEM TWSP 2ND WARD 2ND DISTRICT</t>
  </si>
  <si>
    <t>BETHLEHEM TWSP 2ND WARD 3RD DISTRICT</t>
  </si>
  <si>
    <t>BETHLEHEM TWSP 2ND WARD 4TH DISTRICT</t>
  </si>
  <si>
    <t>BETHLEHEM TWSP 3RD WARD 1ST DISTRICT</t>
  </si>
  <si>
    <t>BETHLEHEM TWSP 3RD WARD 2ND DISTRICT</t>
  </si>
  <si>
    <t>BETHLEHEM TWSP 3RD WARD 3RD DISTRICT</t>
  </si>
  <si>
    <t>BETHLEHEM TWSP 3RD WARD 4TH DISTRICT</t>
  </si>
  <si>
    <t>BETHLEHEM TWSP 3RD WARD 5TH DISTRICT</t>
  </si>
  <si>
    <t>BETHLEHEM TWSP 4TH WARD 1ST DISTRICT</t>
  </si>
  <si>
    <t>BETHLEHEM TWSP 4TH WARD 2ND DISTRICT</t>
  </si>
  <si>
    <t>BETHLEHEM TWSP 4TH WARD 3RD DISTRICT</t>
  </si>
  <si>
    <t>BETHLEHEM TWSP 4TH WARD 4TH DISTRICT</t>
  </si>
  <si>
    <t>BUSHKILL TWSP</t>
  </si>
  <si>
    <t>BUSHKILL TWSP - BUSHKILL CENTER</t>
  </si>
  <si>
    <t>BUSHKILL TWSP - CHERRY HILL</t>
  </si>
  <si>
    <t>BUSHKILL TWSP - CLEARFIELD</t>
  </si>
  <si>
    <t>CHAPMAN</t>
  </si>
  <si>
    <t>EAST ALLEN TWSP</t>
  </si>
  <si>
    <t>EAST ALLEN TWSP - EASTERN</t>
  </si>
  <si>
    <t>EAST ALLEN TWSP - WESTERN</t>
  </si>
  <si>
    <t>EAST BANGOR</t>
  </si>
  <si>
    <t>EASTON</t>
  </si>
  <si>
    <t>EASTON 10TH WARD</t>
  </si>
  <si>
    <t>EASTON 11TH WARD</t>
  </si>
  <si>
    <t>EASTON 2ND WARD</t>
  </si>
  <si>
    <t>EASTON 3RD WARD 2ND DISTRICT</t>
  </si>
  <si>
    <t>EASTON 3RD WARD 3RD DISTRICT</t>
  </si>
  <si>
    <t>EASTON 3RD WARD 4TH DISTRICT</t>
  </si>
  <si>
    <t>EASTON 4TH WARD</t>
  </si>
  <si>
    <t>EASTON 5TH WARD</t>
  </si>
  <si>
    <t>EASTON 6TH WARD</t>
  </si>
  <si>
    <t>EASTON 7TH WARD</t>
  </si>
  <si>
    <t>EASTON 8TH WARD</t>
  </si>
  <si>
    <t>EASTON 9TH WARD</t>
  </si>
  <si>
    <t>FORKS</t>
  </si>
  <si>
    <t>FORKS TWSP EAST</t>
  </si>
  <si>
    <t>FORKS TWSP NORTH</t>
  </si>
  <si>
    <t>FORKS TWSP NORTHWEST</t>
  </si>
  <si>
    <t>FORKS TWSP SOUTH</t>
  </si>
  <si>
    <t>FORKS TWSP SOUTHEAST</t>
  </si>
  <si>
    <t>FORKS TWSP SOUTHWEST</t>
  </si>
  <si>
    <t>FORKS TWSP WEST</t>
  </si>
  <si>
    <t>FREEMANSBURG</t>
  </si>
  <si>
    <t>GLENDON</t>
  </si>
  <si>
    <t>HANOVER #1</t>
  </si>
  <si>
    <t>HANOVER #2</t>
  </si>
  <si>
    <t>HANOVER #3</t>
  </si>
  <si>
    <t>HANOVER #4</t>
  </si>
  <si>
    <t>HANOVER #5</t>
  </si>
  <si>
    <t>HANOVER #6</t>
  </si>
  <si>
    <t>HELLERTOWN BORO</t>
  </si>
  <si>
    <t>HELLERTOWN BORO 1ST WARD</t>
  </si>
  <si>
    <t>HELLERTOWN BORO 2ND WARD</t>
  </si>
  <si>
    <t>HELLERTOWN BORO 3RD WARD</t>
  </si>
  <si>
    <t>LEHIGH TWSP</t>
  </si>
  <si>
    <t>LEHIGH TWSP - CENTRAL</t>
  </si>
  <si>
    <t>LEHIGH TWSP - DANIELSVILLE</t>
  </si>
  <si>
    <t>LEHIGH TWSP - NORTHWESTERN</t>
  </si>
  <si>
    <t>LEHIGH TWSP - PENNSVILLE</t>
  </si>
  <si>
    <t>LEHIGH TWSP - TREICHLERS</t>
  </si>
  <si>
    <t>LOWER MT BETHEL</t>
  </si>
  <si>
    <t>LOWER MT BETHEL - LOWER</t>
  </si>
  <si>
    <t>LOWER MT BETHEL - UPPER</t>
  </si>
  <si>
    <t>LOWER NAZARETH</t>
  </si>
  <si>
    <t>LOWER NAZARETH EAST</t>
  </si>
  <si>
    <t>LOWER NAZARETH NORTH</t>
  </si>
  <si>
    <t>LOWER NAZARETH SOUTH</t>
  </si>
  <si>
    <t>LOWER NAZARETH WEST</t>
  </si>
  <si>
    <t>LOWER SAUCON TWSP</t>
  </si>
  <si>
    <t>LOWER SAUCON TWSP - 1</t>
  </si>
  <si>
    <t>LOWER SAUCON TWSP - 2</t>
  </si>
  <si>
    <t>LOWER SAUCON TWSP - 3</t>
  </si>
  <si>
    <t>LOWER SAUCON TWSP - 4</t>
  </si>
  <si>
    <t>LOWER SAUCON TWSP - 6</t>
  </si>
  <si>
    <t>LOWER SAUCON TWSP - 7</t>
  </si>
  <si>
    <t>MOORE TWSP</t>
  </si>
  <si>
    <t>MOORE TWSP - BEERSVILLE</t>
  </si>
  <si>
    <t>MOORE TWSP - EASTERN</t>
  </si>
  <si>
    <t>MOORE TWSP - KLECKNERSVILLE</t>
  </si>
  <si>
    <t>MOORE TWSP - POINT PHILLIPS</t>
  </si>
  <si>
    <t>NAZARETH BORO</t>
  </si>
  <si>
    <t>NAZARETH BORO 1ST WARD</t>
  </si>
  <si>
    <t>NAZARETH BORO 2ND WARD</t>
  </si>
  <si>
    <t>NAZARETH BORO 3RD WARD</t>
  </si>
  <si>
    <t>NORTH CATASAUQUA</t>
  </si>
  <si>
    <t>NORTH CATASAUQUA 1ST WARD</t>
  </si>
  <si>
    <t>NORTH CATASAUQUA 2ND WARD</t>
  </si>
  <si>
    <t>NORTHAMPTON BORO</t>
  </si>
  <si>
    <t>NORTHAMPTON BORO 1ST WARD</t>
  </si>
  <si>
    <t>NORTHAMPTON BORO 2ND WARD</t>
  </si>
  <si>
    <t>NORTHAMPTON BORO 3RD WARD</t>
  </si>
  <si>
    <t>NORTHAMPTON BORO 4TH WARD</t>
  </si>
  <si>
    <t>PALMER</t>
  </si>
  <si>
    <t>PALMER - CENTRAL</t>
  </si>
  <si>
    <t>PALMER - EAST</t>
  </si>
  <si>
    <t>PALMER - NORTH</t>
  </si>
  <si>
    <t>PALMER - NORTHEAST</t>
  </si>
  <si>
    <t>PALMER - NORTHWEST</t>
  </si>
  <si>
    <t>PALMER - SOUTH</t>
  </si>
  <si>
    <t>PALMER - SOUTHEAST</t>
  </si>
  <si>
    <t>PALMER - SOUTHWEST</t>
  </si>
  <si>
    <t>PALMER - WEST</t>
  </si>
  <si>
    <t>PEN ARGYL BORO</t>
  </si>
  <si>
    <t>PEN ARGYL BORO 1ST WARD</t>
  </si>
  <si>
    <t>PEN ARGYL BORO 2ND WARD</t>
  </si>
  <si>
    <t>PEN ARGYL BORO 3RD WARD</t>
  </si>
  <si>
    <t>PEN ARGYL BORO 4TH WARD</t>
  </si>
  <si>
    <t>PLAINFIELD TWSP</t>
  </si>
  <si>
    <t>PLAINFIELD TWSP - BELFAST</t>
  </si>
  <si>
    <t>PLAINFIELD TWSP - DELABOLE</t>
  </si>
  <si>
    <t>PLAINFIELD TWSP - KESSLERSVILLE</t>
  </si>
  <si>
    <t>PLAINFIELD TWSP - PLAINFIELD CHURCH</t>
  </si>
  <si>
    <t>PORTLAND BORO</t>
  </si>
  <si>
    <t>ROSETO BORO</t>
  </si>
  <si>
    <t>STOCKERTOWN BORO</t>
  </si>
  <si>
    <t>TATAMY BORO</t>
  </si>
  <si>
    <t>UPPER MT BETHEL TWSP</t>
  </si>
  <si>
    <t>UPPER MT BETHEL TWSP - CENTERVILLE</t>
  </si>
  <si>
    <t>UPPER MT BETHEL TWSP - JOHNSONVILLE</t>
  </si>
  <si>
    <t>UPPER MT BETHEL TWSP - NORTH BANGOR</t>
  </si>
  <si>
    <t>UPPER MT BETHEL TWSP - SLATEFORD</t>
  </si>
  <si>
    <t>UPPER MT BETHEL TWSP - WILLIAMSBURG</t>
  </si>
  <si>
    <t>UPPER NAZARETH</t>
  </si>
  <si>
    <t>UPPER NAZARETH - EAST 1</t>
  </si>
  <si>
    <t>UPPER NAZARETH - EAST 2</t>
  </si>
  <si>
    <t>UPPER NAZARETH - WEST 1</t>
  </si>
  <si>
    <t>UPPER NAZARETH - WEST 2</t>
  </si>
  <si>
    <t>WALNUTPORT BORO</t>
  </si>
  <si>
    <t>WASHINGTON TWSP</t>
  </si>
  <si>
    <t>WASHINGTON TWSP - LOWER</t>
  </si>
  <si>
    <t>WASHINGTON TWSP - UPPER</t>
  </si>
  <si>
    <t>WEST EASTON</t>
  </si>
  <si>
    <t>WILLIAMS TWSP</t>
  </si>
  <si>
    <t>WILLAMS TWSP - EASTERN</t>
  </si>
  <si>
    <t>WILLIAMS TWSP - MIDDLE</t>
  </si>
  <si>
    <t>WILLIAMS TWSP - UPPER</t>
  </si>
  <si>
    <t>WILLIAMS TWSP - WESTERN</t>
  </si>
  <si>
    <t>WILSON BORO</t>
  </si>
  <si>
    <t>WILSON BORO 1ST WARD</t>
  </si>
  <si>
    <t>WILSON BORO 2ND WARD</t>
  </si>
  <si>
    <t>WILSON BORO 3RD WARD</t>
  </si>
  <si>
    <t>WIND GAP BORO</t>
  </si>
  <si>
    <t>WIND GAP</t>
  </si>
  <si>
    <t>Rank</t>
  </si>
  <si>
    <t>Feature</t>
  </si>
  <si>
    <t>Input family</t>
  </si>
  <si>
    <t>Share of model</t>
  </si>
  <si>
    <t>Share within its family</t>
  </si>
  <si>
    <t>SHAP value in votes</t>
  </si>
  <si>
    <t>Used to forecast</t>
  </si>
  <si>
    <t>Significance test result</t>
  </si>
  <si>
    <t>Democratic percent of the two-party House vote, 2024 (certified precinct results), above or below the district's middle precinct</t>
  </si>
  <si>
    <t>Historical voter data</t>
  </si>
  <si>
    <t>Democratic percent of the two-party vote</t>
  </si>
  <si>
    <t>Beat all 10 random comparison columns in 20 of 20 refits (Democratic percent forest).</t>
  </si>
  <si>
    <t>Registered Democrats as a percent of everyone who voted, 2024 (voter file), above or below the district's middle precinct</t>
  </si>
  <si>
    <t>Both</t>
  </si>
  <si>
    <t>Beat all 10 random comparison columns in 20 of 20 refits in the Democratic percent forest and in 20 of 20 refits in the votes cast forest.</t>
  </si>
  <si>
    <t>Percent of registered voters who voted, 2024 (voter file), above or below the district's middle precinct</t>
  </si>
  <si>
    <t>Percent of registered voters born 1964 or earlier who voted, 2022 (voter file), above or below the district's middle precinct</t>
  </si>
  <si>
    <t>Number of votes cast</t>
  </si>
  <si>
    <t>Beat all 10 random comparison columns in 20 of 20 refits (votes cast forest).</t>
  </si>
  <si>
    <t>Registered Democrats as a percent of everyone who voted, 2022 (voter file), above or below the district's middle precinct</t>
  </si>
  <si>
    <t>Change in the Democratic percent of the two-party House vote from 2022 to 2024, in percentage points (certified precinct results), above or below the district's middle precinct</t>
  </si>
  <si>
    <t>Registered Democrats minus registered Republicans, as a percent of all registered voters, 2026 (voter file), above or below the district's middle precinct</t>
  </si>
  <si>
    <t>Voter registration data</t>
  </si>
  <si>
    <t>Percent of registered voters born 1981 or later who voted, 2022 (voter file), above or below the district's middle precinct</t>
  </si>
  <si>
    <t>Registered Republicans as a percent of everyone who voted, 2022 (voter file), above or below the district's middle precinct</t>
  </si>
  <si>
    <t>Voters born 1981 or later as a percent of everyone who voted, 2022 (voter file), above or below the district's middle precinct</t>
  </si>
  <si>
    <t>Registered voters with no sex recorded, as a percent of all registered voters, 2026 (voter file), above or below the district's middle precinct</t>
  </si>
  <si>
    <t>Registered voters born 1964 or earlier, as a percent of all registered voters, 2026 (voter file), above or below the district's middle precinct</t>
  </si>
  <si>
    <t>Registered voters born 1981 or later, as a percent of all registered voters, 2026 (voter file), above or below the district's middle precinct</t>
  </si>
  <si>
    <t>Women as a percent of registered voters whose sex is recorded, 2026 (voter file), above or below the district's middle precinct</t>
  </si>
  <si>
    <t>Historical voter data, total</t>
  </si>
  <si>
    <t>Voter registration data, total</t>
  </si>
  <si>
    <t>All features, total</t>
  </si>
  <si>
    <t>How to read this table. Each row is one input that the final model uses. Inputs that were tested and failed are not in the model and are not listed.</t>
  </si>
  <si>
    <t>SHAP value: for one place, the number of votes that one input added to or took away from that place's forecast, measured from the model's starting value, which is the average forecast over the places and years it was trained on (SHAP stands for SHapley Additive exPlanations).</t>
  </si>
  <si>
    <t>SHAP value in votes is the average, over the 370 precincts, of the votes the input added to or took away from the forecast, ignoring whether it added or took away. Brooks votes and Mackenzie votes are counted together: an input that adds 10 votes to Brooks and takes the same 10 votes from Mackenzie counts as 20 votes.</t>
  </si>
  <si>
    <t>Share of model is the input's SHAP value in votes divided by the total for all inputs, measured on the 2026 forecast rows. Share within its family divides by the total for its own family instead.</t>
  </si>
  <si>
    <t>Years in the feature names are the years used for the 2026 forecast. The 2024 backtest uses the same features two years earlier (for example, the 2024 House vote becomes the 2022 House vote, and the 2024 President race becomes the 2022 Governor race, the top statewide race of that year).</t>
  </si>
  <si>
    <t>What the model forecasts. One set of random forests forecasts the Democratic percent of the two-party House vote. A second set forecasts the number of House votes cast, as a multiple of the House votes cast in the same place in 2022 (the last midterm). Votes cast = 2022 House votes cast x that multiple. Brooks votes = votes cast x Democratic percent; Mackenzie votes = votes cast minus Brooks votes. A random forest is a few hundred decision trees, each a series of yes or no questions about a place's numbers, and its forecast is the average of the trees' answers. Every input is measured as above or below the district's middle place for the same election (half the places are above it and half below), so an input means the same thing in every year.</t>
  </si>
  <si>
    <t>How the 95% / 5% split is made true. For each of the two forecasts there are two forests: one that uses only historical voter data and one that uses only voter registration data. The final forecast is (1 minus w) x the historical forest's forecast + w x the registration forest's forecast. A SHAP value of such a sum equals the same sum of the two forests' SHAP values, so w sets the registration family's share exactly. w was solved so the registration inputs hold exactly 5.0% of the SHAP value in votes on the 2026 forecast rows: w = 0.0420 for the Democratic percent and w = 0.0844 for votes cast. Each of the two forecasts is split 95.0% / 5.0% on its own, so the total is too.</t>
  </si>
  <si>
    <t>How the inputs were chosen and tested. The model started with 27 candidate inputs across the four forests (the same input can be a candidate in both forecasts). Each forest was refit 20 times with a different random seed, each time with 10 extra columns of random numbers added (5 that change from row to row and 5 that keep one value for each place in every year). An input was kept only if its average absolute SHAP value on the 2026 forecast rows was larger than that of every random column in at least 19 of the 20 refits, and if it held at least 5% of its own forest's SHAP total. Inputs that failed were dropped, the test was run again on the rest, and this was repeated until every remaining input passed. Registration inputs were tested inside the registration forests, so a registration input had to beat the random columns in its own forest, not the historical inputs.</t>
  </si>
  <si>
    <t>Historical voter data: past election vote counts (any race) and past turnout (how many voted, and which registered parties and age groups voted). Voter registration data: who is on the roll and with which party, the number of registered voters, their age and sex make-up, and change in registration.</t>
  </si>
  <si>
    <t>Voter file: the county voter rolls as of 31 August 2026, used to work out who was registered and who voted at each past election. It records whether each person voted, never for whom. Its counts for older elections are lower than the real counts because people who have since left the roll are missing, so the model uses its percents rather than its counts. Born 1981 or later means Millennials and Generation Z; born 1964 or earlier means Baby Boomers and older.</t>
  </si>
  <si>
    <t>Precincts whose lines changed. Northampton County redrew precincts in several municipalities after 2024, and a few other precinct codes pair different areas in some years (for example parts of Allentown that were reported inside a neighboring precinct). The model checks every precinct and year by comparing the House votes in the result with the number of people in today's precinct who voted that year. Where they do not match, or where a third or more of a municipality's precincts fail that check, the result is not used for that precinct and year: those rows are not used for training, and for forecasting the precinct's inputs come from its whole municipality (Democratic percent of the municipality, and the municipality's House votes cast divided among its precincts by how many people in each voted).</t>
  </si>
  <si>
    <t>Ross Township: only the Ross One precinct is in the district. The 2018 and 2020 Ross results in the data cover the whole township under a separate code and were not used for Ross One.</t>
  </si>
  <si>
    <t>The precinct ALLENTOWN 19TH WARD 5TH DT SAL has almost no registered voters, so at least one of its percents had nothing to divide by; for that input it was given the median value of all precincts.</t>
  </si>
  <si>
    <t>Comparison with the municipal file. This precinct file's district totals are Brooks 155,550 and Mackenzie 166,572. The municipal file's are Brooks 163,562 and Mackenzie 164,744. The precinct totals are 8,012 lower for Brooks and 1,828 higher for Mackenzie. The two models were built separately from different workbooks, with different rows (370 precincts against 89 municipalities), different training rows and different inputs; no number from one model was used in the other, so their totals are not forced to match. This note is the only place the municipal numbers appear in this file.</t>
  </si>
  <si>
    <t>Predicted Democratic (Wild) votes</t>
  </si>
  <si>
    <t>Actual Democratic votes</t>
  </si>
  <si>
    <t>Error, Democratic votes (predicted minus actual)</t>
  </si>
  <si>
    <t>Predicted Republican (Mackenzie) votes</t>
  </si>
  <si>
    <t>Actual Republican votes</t>
  </si>
  <si>
    <t>Error, Republican votes (predicted minus actual)</t>
  </si>
  <si>
    <t>Predicted Democratic share of the two-party vote</t>
  </si>
  <si>
    <t>Actual Democratic share of the two-party vote</t>
  </si>
  <si>
    <t>Error in Democratic share, percentage points (predicted minus actual)</t>
  </si>
  <si>
    <t>Note</t>
  </si>
  <si>
    <t>No comparable 2024 result in the data: the 2024 result under this code does not match the number of people in this precinct who voted in 2024 (the areas differ). Not counted in the error figures.</t>
  </si>
  <si>
    <t>No comparable 2024 result in the data: no 2024 result is listed for this precinct (its votes were reported inside another precinct or under older precinct lines). Not counted in the error figures.</t>
  </si>
  <si>
    <t>Inputs from municipality totals: this precinct's 2020 or 2022 result is not comparable, so municipality figures were used for those years.</t>
  </si>
  <si>
    <t>No comparable 2024 result in the data: the 2024 result under this code was counted on the precinct lines used before the municipality redrew its precincts, so it covers a different area. Not counted in the error figures.</t>
  </si>
  <si>
    <t>PA-07 District (rows compared)</t>
  </si>
  <si>
    <t>All rows (predicted only)</t>
  </si>
  <si>
    <t>Summary</t>
  </si>
  <si>
    <t>District error, Democratic votes</t>
  </si>
  <si>
    <t>District error, Republican votes</t>
  </si>
  <si>
    <t>District error, Democratic share (percentage points)</t>
  </si>
  <si>
    <t>Average miss per row, Democratic votes (sign removed)</t>
  </si>
  <si>
    <t>Average miss per row, Republican votes (sign removed)</t>
  </si>
  <si>
    <t>Average miss per row, Democratic share (points, sign removed)</t>
  </si>
  <si>
    <t>Rows with a comparable 2024 result</t>
  </si>
  <si>
    <t>Rows in the table</t>
  </si>
  <si>
    <t>What this tab is: the same model, run as if it were the week before the 2024 general election, compared with the actual 2024 House results.</t>
  </si>
  <si>
    <t>Every 2024 election result and all 2024 turnout were removed from the data before any step of the backtest ran. Registration as of the 2024 election was kept.</t>
  </si>
  <si>
    <t>The backtest's Democratic percent forests were trained on the 2020 and 2022 elections. Its votes cast forests were trained on 2022 only, the one earlier election with an election of the same kind four years before it.</t>
  </si>
  <si>
    <t>Its inputs were chosen with the same random-column test, and its 95% / 5% split was solved on the 2024 rows.</t>
  </si>
  <si>
    <t>The forecast of 2024 used 2022 and 2020 results as inputs: the same features as the 2026 forecast, taken two years earlier.</t>
  </si>
  <si>
    <t>The backtest's votes cast forests learned from one change only (2018 to 2022, a rise of about 13%), so the backtest overstates 2024 votes cast. The 2026 votes cast forests learned from two changes (2018 to 2022 and 2020 to 2024).</t>
  </si>
  <si>
    <t>Two design changes were made after an earlier run of this backtest: the Democratic percent forests were given more training elections, and every input was measured against the district's middle place for the same election. Both changes fixed a known problem (too few training elections; inputs whose level changed from year to year) rather than adjusting a setting to fit 2024.</t>
  </si>
  <si>
    <t>Actual votes are the 2024 House results for the precinct exactly as given in the data. Error = predicted minus actual. Shares are of the two-party vote (Democratic plus Republican).</t>
  </si>
  <si>
    <t>The district row 'PA-07 District (rows compared)' adds only the rows that have a comparable 2024 result. The row 'All rows (predicted only)' adds the predicted votes of every row. The summary figures are in the Democratic error column.</t>
  </si>
  <si>
    <t>Wild was the 2024 Democratic candidate and Mackenzie the 2024 Republican candidate.</t>
  </si>
  <si>
    <t>Rows marked 'No comparable 2024 result' are left out of the district total row and the error figures. All 2024 House result lines in the precinct data add up to Democratic 199,370 and Republican 203,376.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</si>
</sst>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
    <numFmt numFmtId="167" formatCode="#,##0.0"/>
  </numFmts>
  <fonts count="10" x14ac:knownFonts="1">
    <font>
      <sz val="11"/>
      <color theme="1"/>
      <name val="Calibri"/>
      <scheme val="minor"/>
    </font>
    <font>
      <b/>
      <sz val="14"/>
      <color rgb="FF1F4E79"/>
      <name val="Calibri"/>
      <family val="2"/>
    </font>
    <font>
      <sz val="11"/>
      <color theme="1"/>
      <name val="Calibri"/>
      <family val="2"/>
      <scheme val="minor"/>
    </font>
    <font>
      <i/>
      <sz val="10"/>
      <color rgb="FF666666"/>
      <name val="Calibri"/>
      <family val="2"/>
    </font>
    <font>
      <b/>
      <sz val="11"/>
      <color theme="1"/>
      <name val="Calibri"/>
      <family val="2"/>
    </font>
    <font>
      <sz val="11"/>
      <name val="Calibri"/>
      <family val="2"/>
    </font>
    <font>
      <b/>
      <sz val="11"/>
      <color rgb="FFFFFFFF"/>
      <name val="Calibri"/>
      <family val="2"/>
    </font>
    <font>
      <sz val="11"/>
      <color theme="1"/>
      <name val="Calibri"/>
      <family val="2"/>
    </font>
    <font>
      <sz val="11"/>
      <color theme="1"/>
      <name val="Arial"/>
      <family val="2"/>
    </font>
    <font>
      <b/>
      <sz val="11"/>
      <name val="Calibri"/>
      <family val="2"/>
    </font>
  </fonts>
  <fills count="5">
    <fill>
      <patternFill patternType="none"/>
    </fill>
    <fill>
      <patternFill patternType="gray125"/>
    </fill>
    <fill>
      <patternFill patternType="solid">
        <fgColor rgb="FFD6E3F0"/>
        <bgColor rgb="FFD6E3F0"/>
      </patternFill>
    </fill>
    <fill>
      <patternFill patternType="solid">
        <fgColor rgb="FF1F4E79"/>
        <bgColor rgb="FF1F4E79"/>
      </patternFill>
    </fill>
    <fill>
      <patternFill patternType="solid">
        <fgColor rgb="FFFFF2CC"/>
        <bgColor rgb="FFFFF2CC"/>
      </patternFill>
    </fill>
  </fills>
  <borders count="3">
    <border>
      <left/>
      <right/>
      <top/>
      <bottom/>
      <diagonal/>
    </border>
    <border>
      <left style="thin">
        <color rgb="FFB0B0B0"/>
      </left>
      <right style="thin">
        <color rgb="FFB0B0B0"/>
      </right>
      <top style="thin">
        <color rgb="FFB0B0B0"/>
      </top>
      <bottom style="thin">
        <color rgb="FFB0B0B0"/>
      </bottom>
      <diagonal/>
    </border>
    <border>
      <left/>
      <right/>
      <top/>
      <bottom/>
      <diagonal/>
    </border>
  </borders>
  <cellStyleXfs count="1">
    <xf numFmtId="0" fontId="0" fillId="0" borderId="0"/>
  </cellStyleXfs>
  <cellXfs count="27">
    <xf numFmtId="0" fontId="0" fillId="0" borderId="0" xfId="0"/>
    <xf numFmtId="0" fontId="2" fillId="0" borderId="0" xfId="0" applyFont="1"/>
    <xf numFmtId="0" fontId="6" fillId="3" borderId="1" xfId="0" applyFont="1" applyFill="1" applyBorder="1" applyAlignment="1">
      <alignment horizontal="center" vertical="center" wrapText="1"/>
    </xf>
    <xf numFmtId="0" fontId="4" fillId="4" borderId="1" xfId="0" applyFont="1" applyFill="1" applyBorder="1"/>
    <xf numFmtId="3" fontId="4" fillId="4" borderId="1" xfId="0" applyNumberFormat="1" applyFont="1" applyFill="1" applyBorder="1"/>
    <xf numFmtId="164" fontId="4" fillId="4" borderId="1" xfId="0" applyNumberFormat="1" applyFont="1" applyFill="1" applyBorder="1"/>
    <xf numFmtId="0" fontId="7" fillId="0" borderId="1" xfId="0" applyFont="1" applyBorder="1"/>
    <xf numFmtId="3" fontId="7" fillId="0" borderId="1" xfId="0" applyNumberFormat="1" applyFont="1" applyBorder="1"/>
    <xf numFmtId="164" fontId="7" fillId="0" borderId="1" xfId="0" applyNumberFormat="1" applyFont="1" applyBorder="1"/>
    <xf numFmtId="0" fontId="8" fillId="0" borderId="0" xfId="0" applyFont="1" applyAlignment="1">
      <alignment wrapText="1"/>
    </xf>
    <xf numFmtId="165" fontId="0" fillId="0" borderId="0" xfId="0" applyNumberFormat="1"/>
    <xf numFmtId="0" fontId="9" fillId="0" borderId="0" xfId="0" applyFont="1" applyAlignment="1">
      <alignment vertical="top" wrapText="1"/>
    </xf>
    <xf numFmtId="0" fontId="0" fillId="0" borderId="0" xfId="0" applyAlignment="1">
      <alignment vertical="top" wrapText="1"/>
    </xf>
    <xf numFmtId="164" fontId="0" fillId="0" borderId="0" xfId="0" applyNumberFormat="1" applyAlignment="1">
      <alignment vertical="top" wrapText="1"/>
    </xf>
    <xf numFmtId="3" fontId="0" fillId="0" borderId="0" xfId="0" applyNumberFormat="1" applyAlignment="1">
      <alignment vertical="top" wrapText="1"/>
    </xf>
    <xf numFmtId="0" fontId="9" fillId="0" borderId="0" xfId="0" applyFont="1"/>
    <xf numFmtId="164" fontId="0" fillId="0" borderId="0" xfId="0" applyNumberFormat="1"/>
    <xf numFmtId="3" fontId="0" fillId="0" borderId="0" xfId="0" applyNumberFormat="1"/>
    <xf numFmtId="166" fontId="0" fillId="0" borderId="0" xfId="0" applyNumberFormat="1"/>
    <xf numFmtId="0" fontId="5" fillId="0" borderId="0" xfId="0" applyFont="1"/>
    <xf numFmtId="167" fontId="0" fillId="0" borderId="0" xfId="0" applyNumberFormat="1"/>
    <xf numFmtId="2" fontId="0" fillId="0" borderId="0" xfId="0" applyNumberFormat="1"/>
    <xf numFmtId="1" fontId="0" fillId="0" borderId="0" xfId="0" applyNumberFormat="1"/>
    <xf numFmtId="0" fontId="4" fillId="2" borderId="2" xfId="0" applyFont="1" applyFill="1" applyBorder="1"/>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abSelected="1" workbookViewId="0">
      <selection sqref="A1:I1"/>
    </sheetView>
  </sheetViews>
  <sheetFormatPr baseColWidth="10" defaultColWidth="14.5" defaultRowHeight="15" customHeight="1" x14ac:dyDescent="0.2"/>
  <cols>
    <col min="1" max="1" width="12" customWidth="1"/>
    <col min="2" max="2" width="26" customWidth="1"/>
    <col min="3" max="3" width="40.33203125" customWidth="1"/>
    <col min="4" max="4" width="14" customWidth="1"/>
    <col min="5" max="5" width="16" customWidth="1"/>
    <col min="6" max="6" width="12" customWidth="1"/>
    <col min="7" max="7" width="13" customWidth="1"/>
    <col min="8" max="8" width="15" customWidth="1"/>
    <col min="9" max="9" width="37.1640625" customWidth="1"/>
    <col min="10" max="26" width="8.6640625" customWidth="1"/>
  </cols>
  <sheetData>
    <row r="1" spans="1:9" ht="14.25" customHeight="1" x14ac:dyDescent="0.25">
      <c r="A1" s="25" t="s">
        <v>0</v>
      </c>
      <c r="B1" s="24"/>
      <c r="C1" s="24"/>
      <c r="D1" s="24"/>
      <c r="E1" s="24"/>
      <c r="F1" s="24"/>
      <c r="G1" s="24"/>
      <c r="H1" s="24"/>
      <c r="I1" s="24"/>
    </row>
    <row r="2" spans="1:9" ht="14.25" customHeight="1" x14ac:dyDescent="0.2">
      <c r="A2" s="1" t="s">
        <v>1</v>
      </c>
    </row>
    <row r="3" spans="1:9" ht="14.25" customHeight="1" x14ac:dyDescent="0.2">
      <c r="A3" s="26" t="s">
        <v>2</v>
      </c>
      <c r="B3" s="24"/>
      <c r="C3" s="24"/>
      <c r="D3" s="24"/>
      <c r="E3" s="24"/>
      <c r="F3" s="24"/>
      <c r="G3" s="24"/>
      <c r="H3" s="24"/>
      <c r="I3" s="24"/>
    </row>
    <row r="4" spans="1:9" ht="14.25" customHeight="1" x14ac:dyDescent="0.2">
      <c r="A4" s="1" t="s">
        <v>3</v>
      </c>
      <c r="B4" t="s">
        <v>4</v>
      </c>
      <c r="C4" s="1" t="s">
        <v>5</v>
      </c>
      <c r="D4" s="10">
        <v>46299</v>
      </c>
      <c r="E4" s="1" t="s">
        <v>6</v>
      </c>
      <c r="F4" s="1" t="s">
        <v>7</v>
      </c>
      <c r="G4" s="1" t="s">
        <v>8</v>
      </c>
    </row>
    <row r="5" spans="1:9" ht="14.25" customHeight="1" x14ac:dyDescent="0.2"/>
    <row r="6" spans="1:9" ht="14.25" customHeight="1" x14ac:dyDescent="0.2">
      <c r="A6" s="23" t="s">
        <v>9</v>
      </c>
      <c r="B6" s="24"/>
      <c r="C6" s="24"/>
      <c r="D6" s="24"/>
      <c r="E6" s="24"/>
      <c r="F6" s="24"/>
      <c r="G6" s="24"/>
      <c r="H6" s="24"/>
      <c r="I6" s="24"/>
    </row>
    <row r="7" spans="1:9" ht="14.25" customHeight="1" x14ac:dyDescent="0.2">
      <c r="A7" s="2" t="s">
        <v>10</v>
      </c>
      <c r="B7" s="2" t="s">
        <v>11</v>
      </c>
      <c r="C7" s="2" t="s">
        <v>12</v>
      </c>
      <c r="D7" s="2" t="s">
        <v>13</v>
      </c>
      <c r="E7" s="2" t="s">
        <v>14</v>
      </c>
      <c r="F7" s="2" t="s">
        <v>15</v>
      </c>
      <c r="G7" s="2" t="s">
        <v>16</v>
      </c>
      <c r="H7" s="2" t="s">
        <v>17</v>
      </c>
      <c r="I7" s="2" t="s">
        <v>18</v>
      </c>
    </row>
    <row r="8" spans="1:9" ht="14.25" customHeight="1" x14ac:dyDescent="0.2">
      <c r="A8" s="3" t="s">
        <v>19</v>
      </c>
      <c r="B8" s="3" t="s">
        <v>20</v>
      </c>
      <c r="C8" s="3"/>
      <c r="D8" s="4">
        <f>SUM(D12:D381)</f>
        <v>155550</v>
      </c>
      <c r="E8" s="4">
        <f>SUM(E12:E381)</f>
        <v>166572</v>
      </c>
      <c r="F8" s="4">
        <f>D8+E8</f>
        <v>322122</v>
      </c>
      <c r="G8" s="5">
        <f>IF(F8=0,"",D8/F8)</f>
        <v>0.48289157524167864</v>
      </c>
      <c r="H8" s="5">
        <f>IF(F8=0,"",E8/F8)</f>
        <v>0.51710842475832142</v>
      </c>
      <c r="I8" s="3" t="s">
        <v>21</v>
      </c>
    </row>
    <row r="9" spans="1:9" ht="14.25" customHeight="1" x14ac:dyDescent="0.2">
      <c r="A9" s="26" t="s">
        <v>22</v>
      </c>
      <c r="B9" s="24"/>
      <c r="C9" s="24"/>
      <c r="D9" s="24"/>
      <c r="E9" s="24"/>
      <c r="F9" s="24"/>
      <c r="G9" s="24"/>
      <c r="H9" s="24"/>
      <c r="I9" s="24"/>
    </row>
    <row r="10" spans="1:9" ht="14.25" customHeight="1" x14ac:dyDescent="0.2">
      <c r="A10" s="23" t="s">
        <v>23</v>
      </c>
      <c r="B10" s="24"/>
      <c r="C10" s="24"/>
      <c r="D10" s="24"/>
      <c r="E10" s="24"/>
      <c r="F10" s="24"/>
      <c r="G10" s="24"/>
      <c r="H10" s="24"/>
      <c r="I10" s="24"/>
    </row>
    <row r="11" spans="1:9" ht="31.5" customHeight="1" x14ac:dyDescent="0.2">
      <c r="A11" s="2" t="s">
        <v>24</v>
      </c>
      <c r="B11" s="2" t="s">
        <v>25</v>
      </c>
      <c r="C11" s="2" t="s">
        <v>26</v>
      </c>
      <c r="D11" s="2" t="s">
        <v>13</v>
      </c>
      <c r="E11" s="2" t="s">
        <v>14</v>
      </c>
      <c r="F11" s="2" t="s">
        <v>15</v>
      </c>
      <c r="G11" s="2" t="s">
        <v>16</v>
      </c>
      <c r="H11" s="2" t="s">
        <v>17</v>
      </c>
      <c r="I11" s="2" t="s">
        <v>27</v>
      </c>
    </row>
    <row r="12" spans="1:9" ht="14.25" customHeight="1" x14ac:dyDescent="0.2">
      <c r="A12" s="6" t="s">
        <v>28</v>
      </c>
      <c r="B12" s="6" t="s">
        <v>29</v>
      </c>
      <c r="C12" s="6" t="s">
        <v>29</v>
      </c>
      <c r="D12" s="7">
        <v>177</v>
      </c>
      <c r="E12" s="7">
        <v>246</v>
      </c>
      <c r="F12" s="7">
        <f t="shared" ref="F12:F75" si="0">IF(COUNTA(D12:E12)=0,"",SUM(D12:E12))</f>
        <v>423</v>
      </c>
      <c r="G12" s="8">
        <f t="shared" ref="G12:G75" si="1">IF(OR(F12="",F12=0),"",D12/F12)</f>
        <v>0.41843971631205673</v>
      </c>
      <c r="H12" s="8">
        <f t="shared" ref="H12:H75" si="2">IF(OR(F12="",F12=0),"",E12/F12)</f>
        <v>0.58156028368794321</v>
      </c>
      <c r="I12" s="6" t="s">
        <v>30</v>
      </c>
    </row>
    <row r="13" spans="1:9" ht="14.25" customHeight="1" x14ac:dyDescent="0.2">
      <c r="A13" s="6" t="s">
        <v>28</v>
      </c>
      <c r="B13" s="6" t="s">
        <v>31</v>
      </c>
      <c r="C13" s="6" t="s">
        <v>31</v>
      </c>
      <c r="D13" s="7">
        <v>111</v>
      </c>
      <c r="E13" s="7">
        <v>243</v>
      </c>
      <c r="F13" s="7">
        <f t="shared" si="0"/>
        <v>354</v>
      </c>
      <c r="G13" s="8">
        <f t="shared" si="1"/>
        <v>0.3135593220338983</v>
      </c>
      <c r="H13" s="8">
        <f t="shared" si="2"/>
        <v>0.68644067796610164</v>
      </c>
      <c r="I13" s="6" t="s">
        <v>30</v>
      </c>
    </row>
    <row r="14" spans="1:9" ht="14.25" customHeight="1" x14ac:dyDescent="0.2">
      <c r="A14" s="6" t="s">
        <v>28</v>
      </c>
      <c r="B14" s="6" t="s">
        <v>32</v>
      </c>
      <c r="C14" s="6" t="s">
        <v>32</v>
      </c>
      <c r="D14" s="7">
        <v>125</v>
      </c>
      <c r="E14" s="7">
        <v>252</v>
      </c>
      <c r="F14" s="7">
        <f t="shared" si="0"/>
        <v>377</v>
      </c>
      <c r="G14" s="8">
        <f t="shared" si="1"/>
        <v>0.33156498673740054</v>
      </c>
      <c r="H14" s="8">
        <f t="shared" si="2"/>
        <v>0.66843501326259946</v>
      </c>
      <c r="I14" s="6" t="s">
        <v>30</v>
      </c>
    </row>
    <row r="15" spans="1:9" ht="14.25" customHeight="1" x14ac:dyDescent="0.2">
      <c r="A15" s="6" t="s">
        <v>28</v>
      </c>
      <c r="B15" s="6" t="s">
        <v>33</v>
      </c>
      <c r="C15" s="6" t="s">
        <v>34</v>
      </c>
      <c r="D15" s="7">
        <v>206</v>
      </c>
      <c r="E15" s="7">
        <v>558</v>
      </c>
      <c r="F15" s="7">
        <f t="shared" si="0"/>
        <v>764</v>
      </c>
      <c r="G15" s="8">
        <f t="shared" si="1"/>
        <v>0.26963350785340312</v>
      </c>
      <c r="H15" s="8">
        <f t="shared" si="2"/>
        <v>0.73036649214659688</v>
      </c>
      <c r="I15" s="6" t="s">
        <v>30</v>
      </c>
    </row>
    <row r="16" spans="1:9" ht="14.25" customHeight="1" x14ac:dyDescent="0.2">
      <c r="A16" s="6" t="s">
        <v>28</v>
      </c>
      <c r="B16" s="6" t="s">
        <v>33</v>
      </c>
      <c r="C16" s="6" t="s">
        <v>35</v>
      </c>
      <c r="D16" s="7">
        <v>194</v>
      </c>
      <c r="E16" s="7">
        <v>466</v>
      </c>
      <c r="F16" s="7">
        <f t="shared" si="0"/>
        <v>660</v>
      </c>
      <c r="G16" s="8">
        <f t="shared" si="1"/>
        <v>0.29393939393939394</v>
      </c>
      <c r="H16" s="8">
        <f t="shared" si="2"/>
        <v>0.70606060606060606</v>
      </c>
      <c r="I16" s="6" t="s">
        <v>30</v>
      </c>
    </row>
    <row r="17" spans="1:9" ht="14.25" customHeight="1" x14ac:dyDescent="0.2">
      <c r="A17" s="6" t="s">
        <v>28</v>
      </c>
      <c r="B17" s="6" t="s">
        <v>36</v>
      </c>
      <c r="C17" s="6" t="s">
        <v>36</v>
      </c>
      <c r="D17" s="7">
        <v>34</v>
      </c>
      <c r="E17" s="7">
        <v>65</v>
      </c>
      <c r="F17" s="7">
        <f t="shared" si="0"/>
        <v>99</v>
      </c>
      <c r="G17" s="8">
        <f t="shared" si="1"/>
        <v>0.34343434343434343</v>
      </c>
      <c r="H17" s="8">
        <f t="shared" si="2"/>
        <v>0.65656565656565657</v>
      </c>
      <c r="I17" s="6" t="s">
        <v>30</v>
      </c>
    </row>
    <row r="18" spans="1:9" ht="14.25" customHeight="1" x14ac:dyDescent="0.2">
      <c r="A18" s="6" t="s">
        <v>28</v>
      </c>
      <c r="B18" s="6" t="s">
        <v>37</v>
      </c>
      <c r="C18" s="6" t="s">
        <v>38</v>
      </c>
      <c r="D18" s="7">
        <v>273</v>
      </c>
      <c r="E18" s="7">
        <v>649</v>
      </c>
      <c r="F18" s="7">
        <f t="shared" si="0"/>
        <v>922</v>
      </c>
      <c r="G18" s="8">
        <f t="shared" si="1"/>
        <v>0.29609544468546639</v>
      </c>
      <c r="H18" s="8">
        <f t="shared" si="2"/>
        <v>0.70390455531453366</v>
      </c>
      <c r="I18" s="6" t="s">
        <v>30</v>
      </c>
    </row>
    <row r="19" spans="1:9" ht="14.25" customHeight="1" x14ac:dyDescent="0.2">
      <c r="A19" s="6" t="s">
        <v>28</v>
      </c>
      <c r="B19" s="6" t="s">
        <v>37</v>
      </c>
      <c r="C19" s="6" t="s">
        <v>39</v>
      </c>
      <c r="D19" s="7">
        <v>140</v>
      </c>
      <c r="E19" s="7">
        <v>348</v>
      </c>
      <c r="F19" s="7">
        <f t="shared" si="0"/>
        <v>488</v>
      </c>
      <c r="G19" s="8">
        <f t="shared" si="1"/>
        <v>0.28688524590163933</v>
      </c>
      <c r="H19" s="8">
        <f t="shared" si="2"/>
        <v>0.71311475409836067</v>
      </c>
      <c r="I19" s="6" t="s">
        <v>30</v>
      </c>
    </row>
    <row r="20" spans="1:9" ht="14.25" customHeight="1" x14ac:dyDescent="0.2">
      <c r="A20" s="6" t="s">
        <v>28</v>
      </c>
      <c r="B20" s="6" t="s">
        <v>37</v>
      </c>
      <c r="C20" s="6" t="s">
        <v>40</v>
      </c>
      <c r="D20" s="7">
        <v>218</v>
      </c>
      <c r="E20" s="7">
        <v>541</v>
      </c>
      <c r="F20" s="7">
        <f t="shared" si="0"/>
        <v>759</v>
      </c>
      <c r="G20" s="8">
        <f t="shared" si="1"/>
        <v>0.28722002635046112</v>
      </c>
      <c r="H20" s="8">
        <f t="shared" si="2"/>
        <v>0.71277997364953882</v>
      </c>
      <c r="I20" s="6" t="s">
        <v>30</v>
      </c>
    </row>
    <row r="21" spans="1:9" ht="14.25" customHeight="1" x14ac:dyDescent="0.2">
      <c r="A21" s="6" t="s">
        <v>28</v>
      </c>
      <c r="B21" s="6" t="s">
        <v>41</v>
      </c>
      <c r="C21" s="6" t="s">
        <v>42</v>
      </c>
      <c r="D21" s="7">
        <v>205</v>
      </c>
      <c r="E21" s="7">
        <v>258</v>
      </c>
      <c r="F21" s="7">
        <f t="shared" si="0"/>
        <v>463</v>
      </c>
      <c r="G21" s="8">
        <f t="shared" si="1"/>
        <v>0.4427645788336933</v>
      </c>
      <c r="H21" s="8">
        <f t="shared" si="2"/>
        <v>0.55723542116630664</v>
      </c>
      <c r="I21" s="6" t="s">
        <v>30</v>
      </c>
    </row>
    <row r="22" spans="1:9" ht="14.25" customHeight="1" x14ac:dyDescent="0.2">
      <c r="A22" s="6" t="s">
        <v>28</v>
      </c>
      <c r="B22" s="6" t="s">
        <v>41</v>
      </c>
      <c r="C22" s="6" t="s">
        <v>43</v>
      </c>
      <c r="D22" s="7">
        <v>140</v>
      </c>
      <c r="E22" s="7">
        <v>186</v>
      </c>
      <c r="F22" s="7">
        <f t="shared" si="0"/>
        <v>326</v>
      </c>
      <c r="G22" s="8">
        <f t="shared" si="1"/>
        <v>0.42944785276073622</v>
      </c>
      <c r="H22" s="8">
        <f t="shared" si="2"/>
        <v>0.57055214723926384</v>
      </c>
      <c r="I22" s="6" t="s">
        <v>30</v>
      </c>
    </row>
    <row r="23" spans="1:9" ht="14.25" customHeight="1" x14ac:dyDescent="0.2">
      <c r="A23" s="6" t="s">
        <v>28</v>
      </c>
      <c r="B23" s="6" t="s">
        <v>41</v>
      </c>
      <c r="C23" s="6" t="s">
        <v>44</v>
      </c>
      <c r="D23" s="7">
        <v>281</v>
      </c>
      <c r="E23" s="7">
        <v>401</v>
      </c>
      <c r="F23" s="7">
        <f t="shared" si="0"/>
        <v>682</v>
      </c>
      <c r="G23" s="8">
        <f t="shared" si="1"/>
        <v>0.41202346041055721</v>
      </c>
      <c r="H23" s="8">
        <f t="shared" si="2"/>
        <v>0.58797653958944285</v>
      </c>
      <c r="I23" s="6" t="s">
        <v>30</v>
      </c>
    </row>
    <row r="24" spans="1:9" ht="14.25" customHeight="1" x14ac:dyDescent="0.2">
      <c r="A24" s="6" t="s">
        <v>28</v>
      </c>
      <c r="B24" s="6" t="s">
        <v>41</v>
      </c>
      <c r="C24" s="6" t="s">
        <v>45</v>
      </c>
      <c r="D24" s="7">
        <v>136</v>
      </c>
      <c r="E24" s="7">
        <v>129</v>
      </c>
      <c r="F24" s="7">
        <f t="shared" si="0"/>
        <v>265</v>
      </c>
      <c r="G24" s="8">
        <f t="shared" si="1"/>
        <v>0.51320754716981132</v>
      </c>
      <c r="H24" s="8">
        <f t="shared" si="2"/>
        <v>0.48679245283018868</v>
      </c>
      <c r="I24" s="6" t="s">
        <v>30</v>
      </c>
    </row>
    <row r="25" spans="1:9" ht="14.25" customHeight="1" x14ac:dyDescent="0.2">
      <c r="A25" s="6" t="s">
        <v>28</v>
      </c>
      <c r="B25" s="6" t="s">
        <v>41</v>
      </c>
      <c r="C25" s="6" t="s">
        <v>46</v>
      </c>
      <c r="D25" s="7">
        <v>247</v>
      </c>
      <c r="E25" s="7">
        <v>308</v>
      </c>
      <c r="F25" s="7">
        <f t="shared" si="0"/>
        <v>555</v>
      </c>
      <c r="G25" s="8">
        <f t="shared" si="1"/>
        <v>0.44504504504504505</v>
      </c>
      <c r="H25" s="8">
        <f t="shared" si="2"/>
        <v>0.55495495495495495</v>
      </c>
      <c r="I25" s="6" t="s">
        <v>30</v>
      </c>
    </row>
    <row r="26" spans="1:9" ht="14.25" customHeight="1" x14ac:dyDescent="0.2">
      <c r="A26" s="6" t="s">
        <v>28</v>
      </c>
      <c r="B26" s="6" t="s">
        <v>47</v>
      </c>
      <c r="C26" s="6" t="s">
        <v>48</v>
      </c>
      <c r="D26" s="7">
        <v>106</v>
      </c>
      <c r="E26" s="7">
        <v>181</v>
      </c>
      <c r="F26" s="7">
        <f t="shared" si="0"/>
        <v>287</v>
      </c>
      <c r="G26" s="8">
        <f t="shared" si="1"/>
        <v>0.36933797909407667</v>
      </c>
      <c r="H26" s="8">
        <f t="shared" si="2"/>
        <v>0.63066202090592338</v>
      </c>
      <c r="I26" s="6" t="s">
        <v>30</v>
      </c>
    </row>
    <row r="27" spans="1:9" ht="14.25" customHeight="1" x14ac:dyDescent="0.2">
      <c r="A27" s="6" t="s">
        <v>28</v>
      </c>
      <c r="B27" s="6" t="s">
        <v>47</v>
      </c>
      <c r="C27" s="6" t="s">
        <v>49</v>
      </c>
      <c r="D27" s="7">
        <v>200</v>
      </c>
      <c r="E27" s="7">
        <v>444</v>
      </c>
      <c r="F27" s="7">
        <f t="shared" si="0"/>
        <v>644</v>
      </c>
      <c r="G27" s="8">
        <f t="shared" si="1"/>
        <v>0.3105590062111801</v>
      </c>
      <c r="H27" s="8">
        <f t="shared" si="2"/>
        <v>0.68944099378881984</v>
      </c>
      <c r="I27" s="6" t="s">
        <v>30</v>
      </c>
    </row>
    <row r="28" spans="1:9" ht="14.25" customHeight="1" x14ac:dyDescent="0.2">
      <c r="A28" s="6" t="s">
        <v>28</v>
      </c>
      <c r="B28" s="6" t="s">
        <v>50</v>
      </c>
      <c r="C28" s="6" t="s">
        <v>51</v>
      </c>
      <c r="D28" s="7">
        <v>229</v>
      </c>
      <c r="E28" s="7">
        <v>275</v>
      </c>
      <c r="F28" s="7">
        <f t="shared" si="0"/>
        <v>504</v>
      </c>
      <c r="G28" s="8">
        <f t="shared" si="1"/>
        <v>0.45436507936507936</v>
      </c>
      <c r="H28" s="8">
        <f t="shared" si="2"/>
        <v>0.54563492063492058</v>
      </c>
      <c r="I28" s="6" t="s">
        <v>30</v>
      </c>
    </row>
    <row r="29" spans="1:9" ht="14.25" customHeight="1" x14ac:dyDescent="0.2">
      <c r="A29" s="6" t="s">
        <v>28</v>
      </c>
      <c r="B29" s="6" t="s">
        <v>50</v>
      </c>
      <c r="C29" s="6" t="s">
        <v>52</v>
      </c>
      <c r="D29" s="7">
        <v>135</v>
      </c>
      <c r="E29" s="7">
        <v>166</v>
      </c>
      <c r="F29" s="7">
        <f t="shared" si="0"/>
        <v>301</v>
      </c>
      <c r="G29" s="8">
        <f t="shared" si="1"/>
        <v>0.44850498338870431</v>
      </c>
      <c r="H29" s="8">
        <f t="shared" si="2"/>
        <v>0.55149501661129563</v>
      </c>
      <c r="I29" s="6" t="s">
        <v>30</v>
      </c>
    </row>
    <row r="30" spans="1:9" ht="14.25" customHeight="1" x14ac:dyDescent="0.2">
      <c r="A30" s="6" t="s">
        <v>28</v>
      </c>
      <c r="B30" s="6" t="s">
        <v>50</v>
      </c>
      <c r="C30" s="6" t="s">
        <v>53</v>
      </c>
      <c r="D30" s="7">
        <v>114</v>
      </c>
      <c r="E30" s="7">
        <v>134</v>
      </c>
      <c r="F30" s="7">
        <f t="shared" si="0"/>
        <v>248</v>
      </c>
      <c r="G30" s="8">
        <f t="shared" si="1"/>
        <v>0.45967741935483869</v>
      </c>
      <c r="H30" s="8">
        <f t="shared" si="2"/>
        <v>0.54032258064516125</v>
      </c>
      <c r="I30" s="6" t="s">
        <v>30</v>
      </c>
    </row>
    <row r="31" spans="1:9" ht="14.25" customHeight="1" x14ac:dyDescent="0.2">
      <c r="A31" s="6" t="s">
        <v>28</v>
      </c>
      <c r="B31" s="6" t="s">
        <v>54</v>
      </c>
      <c r="C31" s="6" t="s">
        <v>54</v>
      </c>
      <c r="D31" s="7">
        <v>36</v>
      </c>
      <c r="E31" s="7">
        <v>94</v>
      </c>
      <c r="F31" s="7">
        <f t="shared" si="0"/>
        <v>130</v>
      </c>
      <c r="G31" s="8">
        <f t="shared" si="1"/>
        <v>0.27692307692307694</v>
      </c>
      <c r="H31" s="8">
        <f t="shared" si="2"/>
        <v>0.72307692307692306</v>
      </c>
      <c r="I31" s="6" t="s">
        <v>30</v>
      </c>
    </row>
    <row r="32" spans="1:9" ht="14.25" customHeight="1" x14ac:dyDescent="0.2">
      <c r="A32" s="6" t="s">
        <v>28</v>
      </c>
      <c r="B32" s="6" t="s">
        <v>55</v>
      </c>
      <c r="C32" s="6" t="s">
        <v>55</v>
      </c>
      <c r="D32" s="7">
        <v>68</v>
      </c>
      <c r="E32" s="7">
        <v>203</v>
      </c>
      <c r="F32" s="7">
        <f t="shared" si="0"/>
        <v>271</v>
      </c>
      <c r="G32" s="8">
        <f t="shared" si="1"/>
        <v>0.25092250922509224</v>
      </c>
      <c r="H32" s="8">
        <f t="shared" si="2"/>
        <v>0.74907749077490771</v>
      </c>
      <c r="I32" s="6" t="s">
        <v>30</v>
      </c>
    </row>
    <row r="33" spans="1:9" ht="14.25" customHeight="1" x14ac:dyDescent="0.2">
      <c r="A33" s="6" t="s">
        <v>28</v>
      </c>
      <c r="B33" s="6" t="s">
        <v>56</v>
      </c>
      <c r="C33" s="6" t="s">
        <v>57</v>
      </c>
      <c r="D33" s="7">
        <v>253</v>
      </c>
      <c r="E33" s="7">
        <v>374</v>
      </c>
      <c r="F33" s="7">
        <f t="shared" si="0"/>
        <v>627</v>
      </c>
      <c r="G33" s="8">
        <f t="shared" si="1"/>
        <v>0.40350877192982454</v>
      </c>
      <c r="H33" s="8">
        <f t="shared" si="2"/>
        <v>0.59649122807017541</v>
      </c>
      <c r="I33" s="6" t="s">
        <v>30</v>
      </c>
    </row>
    <row r="34" spans="1:9" ht="14.25" customHeight="1" x14ac:dyDescent="0.2">
      <c r="A34" s="6" t="s">
        <v>28</v>
      </c>
      <c r="B34" s="6" t="s">
        <v>56</v>
      </c>
      <c r="C34" s="6" t="s">
        <v>58</v>
      </c>
      <c r="D34" s="7">
        <v>228</v>
      </c>
      <c r="E34" s="7">
        <v>356</v>
      </c>
      <c r="F34" s="7">
        <f t="shared" si="0"/>
        <v>584</v>
      </c>
      <c r="G34" s="8">
        <f t="shared" si="1"/>
        <v>0.3904109589041096</v>
      </c>
      <c r="H34" s="8">
        <f t="shared" si="2"/>
        <v>0.6095890410958904</v>
      </c>
      <c r="I34" s="6" t="s">
        <v>30</v>
      </c>
    </row>
    <row r="35" spans="1:9" ht="14.25" customHeight="1" x14ac:dyDescent="0.2">
      <c r="A35" s="6" t="s">
        <v>28</v>
      </c>
      <c r="B35" s="6" t="s">
        <v>56</v>
      </c>
      <c r="C35" s="6" t="s">
        <v>59</v>
      </c>
      <c r="D35" s="7">
        <v>259</v>
      </c>
      <c r="E35" s="7">
        <v>388</v>
      </c>
      <c r="F35" s="7">
        <f t="shared" si="0"/>
        <v>647</v>
      </c>
      <c r="G35" s="8">
        <f t="shared" si="1"/>
        <v>0.40030911901081917</v>
      </c>
      <c r="H35" s="8">
        <f t="shared" si="2"/>
        <v>0.59969088098918089</v>
      </c>
      <c r="I35" s="6" t="s">
        <v>30</v>
      </c>
    </row>
    <row r="36" spans="1:9" ht="14.25" customHeight="1" x14ac:dyDescent="0.2">
      <c r="A36" s="6" t="s">
        <v>28</v>
      </c>
      <c r="B36" s="6" t="s">
        <v>60</v>
      </c>
      <c r="C36" s="6" t="s">
        <v>61</v>
      </c>
      <c r="D36" s="7">
        <v>269</v>
      </c>
      <c r="E36" s="7">
        <v>611</v>
      </c>
      <c r="F36" s="7">
        <f t="shared" si="0"/>
        <v>880</v>
      </c>
      <c r="G36" s="8">
        <f t="shared" si="1"/>
        <v>0.30568181818181817</v>
      </c>
      <c r="H36" s="8">
        <f t="shared" si="2"/>
        <v>0.69431818181818183</v>
      </c>
      <c r="I36" s="6" t="s">
        <v>30</v>
      </c>
    </row>
    <row r="37" spans="1:9" ht="14.25" customHeight="1" x14ac:dyDescent="0.2">
      <c r="A37" s="6" t="s">
        <v>28</v>
      </c>
      <c r="B37" s="6" t="s">
        <v>60</v>
      </c>
      <c r="C37" s="6" t="s">
        <v>62</v>
      </c>
      <c r="D37" s="7">
        <v>179</v>
      </c>
      <c r="E37" s="7">
        <v>428</v>
      </c>
      <c r="F37" s="7">
        <f t="shared" si="0"/>
        <v>607</v>
      </c>
      <c r="G37" s="8">
        <f t="shared" si="1"/>
        <v>0.29489291598023065</v>
      </c>
      <c r="H37" s="8">
        <f t="shared" si="2"/>
        <v>0.7051070840197694</v>
      </c>
      <c r="I37" s="6" t="s">
        <v>30</v>
      </c>
    </row>
    <row r="38" spans="1:9" ht="14.25" customHeight="1" x14ac:dyDescent="0.2">
      <c r="A38" s="6" t="s">
        <v>28</v>
      </c>
      <c r="B38" s="6" t="s">
        <v>63</v>
      </c>
      <c r="C38" s="6" t="s">
        <v>64</v>
      </c>
      <c r="D38" s="7">
        <v>122</v>
      </c>
      <c r="E38" s="7">
        <v>321</v>
      </c>
      <c r="F38" s="7">
        <f t="shared" si="0"/>
        <v>443</v>
      </c>
      <c r="G38" s="8">
        <f t="shared" si="1"/>
        <v>0.27539503386004516</v>
      </c>
      <c r="H38" s="8">
        <f t="shared" si="2"/>
        <v>0.72460496613995484</v>
      </c>
      <c r="I38" s="6" t="s">
        <v>30</v>
      </c>
    </row>
    <row r="39" spans="1:9" ht="14.25" customHeight="1" x14ac:dyDescent="0.2">
      <c r="A39" s="6" t="s">
        <v>28</v>
      </c>
      <c r="B39" s="6" t="s">
        <v>63</v>
      </c>
      <c r="C39" s="6" t="s">
        <v>65</v>
      </c>
      <c r="D39" s="7">
        <v>108</v>
      </c>
      <c r="E39" s="7">
        <v>247</v>
      </c>
      <c r="F39" s="7">
        <f t="shared" si="0"/>
        <v>355</v>
      </c>
      <c r="G39" s="8">
        <f t="shared" si="1"/>
        <v>0.30422535211267604</v>
      </c>
      <c r="H39" s="8">
        <f t="shared" si="2"/>
        <v>0.6957746478873239</v>
      </c>
      <c r="I39" s="6" t="s">
        <v>30</v>
      </c>
    </row>
    <row r="40" spans="1:9" ht="14.25" customHeight="1" x14ac:dyDescent="0.2">
      <c r="A40" s="6" t="s">
        <v>28</v>
      </c>
      <c r="B40" s="6" t="s">
        <v>63</v>
      </c>
      <c r="C40" s="6" t="s">
        <v>66</v>
      </c>
      <c r="D40" s="7">
        <v>350</v>
      </c>
      <c r="E40" s="7">
        <v>822</v>
      </c>
      <c r="F40" s="7">
        <f t="shared" si="0"/>
        <v>1172</v>
      </c>
      <c r="G40" s="8">
        <f t="shared" si="1"/>
        <v>0.29863481228668942</v>
      </c>
      <c r="H40" s="8">
        <f t="shared" si="2"/>
        <v>0.70136518771331058</v>
      </c>
      <c r="I40" s="6" t="s">
        <v>30</v>
      </c>
    </row>
    <row r="41" spans="1:9" ht="14.25" customHeight="1" x14ac:dyDescent="0.2">
      <c r="A41" s="6" t="s">
        <v>28</v>
      </c>
      <c r="B41" s="6" t="s">
        <v>67</v>
      </c>
      <c r="C41" s="6" t="s">
        <v>68</v>
      </c>
      <c r="D41" s="7">
        <v>251</v>
      </c>
      <c r="E41" s="7">
        <v>352</v>
      </c>
      <c r="F41" s="7">
        <f t="shared" si="0"/>
        <v>603</v>
      </c>
      <c r="G41" s="8">
        <f t="shared" si="1"/>
        <v>0.41625207296849087</v>
      </c>
      <c r="H41" s="8">
        <f t="shared" si="2"/>
        <v>0.58374792703150913</v>
      </c>
      <c r="I41" s="6" t="s">
        <v>30</v>
      </c>
    </row>
    <row r="42" spans="1:9" ht="14.25" customHeight="1" x14ac:dyDescent="0.2">
      <c r="A42" s="6" t="s">
        <v>28</v>
      </c>
      <c r="B42" s="6" t="s">
        <v>67</v>
      </c>
      <c r="C42" s="6" t="s">
        <v>69</v>
      </c>
      <c r="D42" s="7">
        <v>282</v>
      </c>
      <c r="E42" s="7">
        <v>402</v>
      </c>
      <c r="F42" s="7">
        <f t="shared" si="0"/>
        <v>684</v>
      </c>
      <c r="G42" s="8">
        <f t="shared" si="1"/>
        <v>0.41228070175438597</v>
      </c>
      <c r="H42" s="8">
        <f t="shared" si="2"/>
        <v>0.58771929824561409</v>
      </c>
      <c r="I42" s="6" t="s">
        <v>30</v>
      </c>
    </row>
    <row r="43" spans="1:9" ht="14.25" customHeight="1" x14ac:dyDescent="0.2">
      <c r="A43" s="6" t="s">
        <v>28</v>
      </c>
      <c r="B43" s="6" t="s">
        <v>70</v>
      </c>
      <c r="C43" s="6" t="s">
        <v>70</v>
      </c>
      <c r="D43" s="7">
        <v>157</v>
      </c>
      <c r="E43" s="7">
        <v>461</v>
      </c>
      <c r="F43" s="7">
        <f t="shared" si="0"/>
        <v>618</v>
      </c>
      <c r="G43" s="8">
        <f t="shared" si="1"/>
        <v>0.25404530744336568</v>
      </c>
      <c r="H43" s="8">
        <f t="shared" si="2"/>
        <v>0.74595469255663427</v>
      </c>
      <c r="I43" s="6" t="s">
        <v>30</v>
      </c>
    </row>
    <row r="44" spans="1:9" ht="14.25" customHeight="1" x14ac:dyDescent="0.2">
      <c r="A44" s="6" t="s">
        <v>28</v>
      </c>
      <c r="B44" s="6" t="s">
        <v>71</v>
      </c>
      <c r="C44" s="6" t="s">
        <v>72</v>
      </c>
      <c r="D44" s="7">
        <v>255</v>
      </c>
      <c r="E44" s="7">
        <v>501</v>
      </c>
      <c r="F44" s="7">
        <f t="shared" si="0"/>
        <v>756</v>
      </c>
      <c r="G44" s="8">
        <f t="shared" si="1"/>
        <v>0.33730158730158732</v>
      </c>
      <c r="H44" s="8">
        <f t="shared" si="2"/>
        <v>0.66269841269841268</v>
      </c>
      <c r="I44" s="6" t="s">
        <v>30</v>
      </c>
    </row>
    <row r="45" spans="1:9" ht="14.25" customHeight="1" x14ac:dyDescent="0.2">
      <c r="A45" s="6" t="s">
        <v>28</v>
      </c>
      <c r="B45" s="6" t="s">
        <v>71</v>
      </c>
      <c r="C45" s="6" t="s">
        <v>73</v>
      </c>
      <c r="D45" s="7">
        <v>430</v>
      </c>
      <c r="E45" s="7">
        <v>641</v>
      </c>
      <c r="F45" s="7">
        <f t="shared" si="0"/>
        <v>1071</v>
      </c>
      <c r="G45" s="8">
        <f t="shared" si="1"/>
        <v>0.40149393090569563</v>
      </c>
      <c r="H45" s="8">
        <f t="shared" si="2"/>
        <v>0.59850606909430437</v>
      </c>
      <c r="I45" s="6" t="s">
        <v>30</v>
      </c>
    </row>
    <row r="46" spans="1:9" ht="14.25" customHeight="1" x14ac:dyDescent="0.2">
      <c r="A46" s="6" t="s">
        <v>28</v>
      </c>
      <c r="B46" s="6" t="s">
        <v>71</v>
      </c>
      <c r="C46" s="6" t="s">
        <v>74</v>
      </c>
      <c r="D46" s="7">
        <v>117</v>
      </c>
      <c r="E46" s="7">
        <v>215</v>
      </c>
      <c r="F46" s="7">
        <f t="shared" si="0"/>
        <v>332</v>
      </c>
      <c r="G46" s="8">
        <f t="shared" si="1"/>
        <v>0.35240963855421686</v>
      </c>
      <c r="H46" s="8">
        <f t="shared" si="2"/>
        <v>0.64759036144578308</v>
      </c>
      <c r="I46" s="6" t="s">
        <v>30</v>
      </c>
    </row>
    <row r="47" spans="1:9" ht="14.25" customHeight="1" x14ac:dyDescent="0.2">
      <c r="A47" s="6" t="s">
        <v>28</v>
      </c>
      <c r="B47" s="6" t="s">
        <v>75</v>
      </c>
      <c r="C47" s="6" t="s">
        <v>75</v>
      </c>
      <c r="D47" s="7">
        <v>70</v>
      </c>
      <c r="E47" s="7">
        <v>144</v>
      </c>
      <c r="F47" s="7">
        <f t="shared" si="0"/>
        <v>214</v>
      </c>
      <c r="G47" s="8">
        <f t="shared" si="1"/>
        <v>0.32710280373831774</v>
      </c>
      <c r="H47" s="8">
        <f t="shared" si="2"/>
        <v>0.67289719626168221</v>
      </c>
      <c r="I47" s="6" t="s">
        <v>30</v>
      </c>
    </row>
    <row r="48" spans="1:9" ht="14.25" customHeight="1" x14ac:dyDescent="0.2">
      <c r="A48" s="6" t="s">
        <v>28</v>
      </c>
      <c r="B48" s="6" t="s">
        <v>76</v>
      </c>
      <c r="C48" s="6" t="s">
        <v>77</v>
      </c>
      <c r="D48" s="7">
        <v>361</v>
      </c>
      <c r="E48" s="7">
        <v>571</v>
      </c>
      <c r="F48" s="7">
        <f t="shared" si="0"/>
        <v>932</v>
      </c>
      <c r="G48" s="8">
        <f t="shared" si="1"/>
        <v>0.38733905579399142</v>
      </c>
      <c r="H48" s="8">
        <f t="shared" si="2"/>
        <v>0.61266094420600858</v>
      </c>
      <c r="I48" s="6" t="s">
        <v>30</v>
      </c>
    </row>
    <row r="49" spans="1:9" ht="14.25" customHeight="1" x14ac:dyDescent="0.2">
      <c r="A49" s="6" t="s">
        <v>28</v>
      </c>
      <c r="B49" s="6" t="s">
        <v>76</v>
      </c>
      <c r="C49" s="6" t="s">
        <v>78</v>
      </c>
      <c r="D49" s="7">
        <v>246</v>
      </c>
      <c r="E49" s="7">
        <v>452</v>
      </c>
      <c r="F49" s="7">
        <f t="shared" si="0"/>
        <v>698</v>
      </c>
      <c r="G49" s="8">
        <f t="shared" si="1"/>
        <v>0.3524355300859599</v>
      </c>
      <c r="H49" s="8">
        <f t="shared" si="2"/>
        <v>0.64756446991404015</v>
      </c>
      <c r="I49" s="6" t="s">
        <v>30</v>
      </c>
    </row>
    <row r="50" spans="1:9" ht="14.25" customHeight="1" x14ac:dyDescent="0.2">
      <c r="A50" s="6" t="s">
        <v>28</v>
      </c>
      <c r="B50" s="6" t="s">
        <v>76</v>
      </c>
      <c r="C50" s="6" t="s">
        <v>79</v>
      </c>
      <c r="D50" s="7">
        <v>410</v>
      </c>
      <c r="E50" s="7">
        <v>672</v>
      </c>
      <c r="F50" s="7">
        <f t="shared" si="0"/>
        <v>1082</v>
      </c>
      <c r="G50" s="8">
        <f t="shared" si="1"/>
        <v>0.37892791127541592</v>
      </c>
      <c r="H50" s="8">
        <f t="shared" si="2"/>
        <v>0.62107208872458408</v>
      </c>
      <c r="I50" s="6" t="s">
        <v>30</v>
      </c>
    </row>
    <row r="51" spans="1:9" ht="14.25" customHeight="1" x14ac:dyDescent="0.2">
      <c r="A51" s="6" t="s">
        <v>28</v>
      </c>
      <c r="B51" s="6" t="s">
        <v>76</v>
      </c>
      <c r="C51" s="6" t="s">
        <v>80</v>
      </c>
      <c r="D51" s="7">
        <v>350</v>
      </c>
      <c r="E51" s="7">
        <v>831</v>
      </c>
      <c r="F51" s="7">
        <f t="shared" si="0"/>
        <v>1181</v>
      </c>
      <c r="G51" s="8">
        <f t="shared" si="1"/>
        <v>0.29635901778154106</v>
      </c>
      <c r="H51" s="8">
        <f t="shared" si="2"/>
        <v>0.70364098221845894</v>
      </c>
      <c r="I51" s="6" t="s">
        <v>30</v>
      </c>
    </row>
    <row r="52" spans="1:9" ht="14.25" customHeight="1" x14ac:dyDescent="0.2">
      <c r="A52" s="6" t="s">
        <v>28</v>
      </c>
      <c r="B52" s="6" t="s">
        <v>76</v>
      </c>
      <c r="C52" s="6" t="s">
        <v>81</v>
      </c>
      <c r="D52" s="7">
        <v>364</v>
      </c>
      <c r="E52" s="7">
        <v>655</v>
      </c>
      <c r="F52" s="7">
        <f t="shared" si="0"/>
        <v>1019</v>
      </c>
      <c r="G52" s="8">
        <f t="shared" si="1"/>
        <v>0.35721295387634938</v>
      </c>
      <c r="H52" s="8">
        <f t="shared" si="2"/>
        <v>0.64278704612365067</v>
      </c>
      <c r="I52" s="6" t="s">
        <v>30</v>
      </c>
    </row>
    <row r="53" spans="1:9" ht="14.25" customHeight="1" x14ac:dyDescent="0.2">
      <c r="A53" s="6" t="s">
        <v>28</v>
      </c>
      <c r="B53" s="6" t="s">
        <v>82</v>
      </c>
      <c r="C53" s="6" t="s">
        <v>83</v>
      </c>
      <c r="D53" s="7">
        <v>146</v>
      </c>
      <c r="E53" s="7">
        <v>156</v>
      </c>
      <c r="F53" s="7">
        <f t="shared" si="0"/>
        <v>302</v>
      </c>
      <c r="G53" s="8">
        <f t="shared" si="1"/>
        <v>0.48344370860927155</v>
      </c>
      <c r="H53" s="8">
        <f t="shared" si="2"/>
        <v>0.51655629139072845</v>
      </c>
      <c r="I53" s="6" t="s">
        <v>30</v>
      </c>
    </row>
    <row r="54" spans="1:9" ht="14.25" customHeight="1" x14ac:dyDescent="0.2">
      <c r="A54" s="6" t="s">
        <v>28</v>
      </c>
      <c r="B54" s="6" t="s">
        <v>82</v>
      </c>
      <c r="C54" s="6" t="s">
        <v>84</v>
      </c>
      <c r="D54" s="7">
        <v>154</v>
      </c>
      <c r="E54" s="7">
        <v>170</v>
      </c>
      <c r="F54" s="7">
        <f t="shared" si="0"/>
        <v>324</v>
      </c>
      <c r="G54" s="8">
        <f t="shared" si="1"/>
        <v>0.47530864197530864</v>
      </c>
      <c r="H54" s="8">
        <f t="shared" si="2"/>
        <v>0.52469135802469136</v>
      </c>
      <c r="I54" s="6" t="s">
        <v>30</v>
      </c>
    </row>
    <row r="55" spans="1:9" ht="14.25" customHeight="1" x14ac:dyDescent="0.2">
      <c r="A55" s="6" t="s">
        <v>28</v>
      </c>
      <c r="B55" s="6" t="s">
        <v>82</v>
      </c>
      <c r="C55" s="6" t="s">
        <v>85</v>
      </c>
      <c r="D55" s="7">
        <v>102</v>
      </c>
      <c r="E55" s="7">
        <v>166</v>
      </c>
      <c r="F55" s="7">
        <f t="shared" si="0"/>
        <v>268</v>
      </c>
      <c r="G55" s="8">
        <f t="shared" si="1"/>
        <v>0.38059701492537312</v>
      </c>
      <c r="H55" s="8">
        <f t="shared" si="2"/>
        <v>0.61940298507462688</v>
      </c>
      <c r="I55" s="6" t="s">
        <v>30</v>
      </c>
    </row>
    <row r="56" spans="1:9" ht="14.25" customHeight="1" x14ac:dyDescent="0.2">
      <c r="A56" s="6" t="s">
        <v>28</v>
      </c>
      <c r="B56" s="6" t="s">
        <v>82</v>
      </c>
      <c r="C56" s="6" t="s">
        <v>86</v>
      </c>
      <c r="D56" s="7">
        <v>169</v>
      </c>
      <c r="E56" s="7">
        <v>233</v>
      </c>
      <c r="F56" s="7">
        <f t="shared" si="0"/>
        <v>402</v>
      </c>
      <c r="G56" s="8">
        <f t="shared" si="1"/>
        <v>0.42039800995024873</v>
      </c>
      <c r="H56" s="8">
        <f t="shared" si="2"/>
        <v>0.57960199004975121</v>
      </c>
      <c r="I56" s="6" t="s">
        <v>30</v>
      </c>
    </row>
    <row r="57" spans="1:9" ht="14.25" customHeight="1" x14ac:dyDescent="0.2">
      <c r="A57" s="6" t="s">
        <v>28</v>
      </c>
      <c r="B57" s="6" t="s">
        <v>87</v>
      </c>
      <c r="C57" s="6" t="s">
        <v>88</v>
      </c>
      <c r="D57" s="7">
        <v>249</v>
      </c>
      <c r="E57" s="7">
        <v>588</v>
      </c>
      <c r="F57" s="7">
        <f t="shared" si="0"/>
        <v>837</v>
      </c>
      <c r="G57" s="8">
        <f t="shared" si="1"/>
        <v>0.29749103942652327</v>
      </c>
      <c r="H57" s="8">
        <f t="shared" si="2"/>
        <v>0.70250896057347667</v>
      </c>
      <c r="I57" s="6" t="s">
        <v>30</v>
      </c>
    </row>
    <row r="58" spans="1:9" ht="14.25" customHeight="1" x14ac:dyDescent="0.2">
      <c r="A58" s="6" t="s">
        <v>28</v>
      </c>
      <c r="B58" s="6" t="s">
        <v>87</v>
      </c>
      <c r="C58" s="6" t="s">
        <v>89</v>
      </c>
      <c r="D58" s="7">
        <v>227</v>
      </c>
      <c r="E58" s="7">
        <v>586</v>
      </c>
      <c r="F58" s="7">
        <f t="shared" si="0"/>
        <v>813</v>
      </c>
      <c r="G58" s="8">
        <f t="shared" si="1"/>
        <v>0.27921279212792127</v>
      </c>
      <c r="H58" s="8">
        <f t="shared" si="2"/>
        <v>0.72078720787207873</v>
      </c>
      <c r="I58" s="6" t="s">
        <v>30</v>
      </c>
    </row>
    <row r="59" spans="1:9" ht="14.25" customHeight="1" x14ac:dyDescent="0.2">
      <c r="A59" s="6" t="s">
        <v>28</v>
      </c>
      <c r="B59" s="6" t="s">
        <v>87</v>
      </c>
      <c r="C59" s="6" t="s">
        <v>90</v>
      </c>
      <c r="D59" s="7">
        <v>214</v>
      </c>
      <c r="E59" s="7">
        <v>519</v>
      </c>
      <c r="F59" s="7">
        <f t="shared" si="0"/>
        <v>733</v>
      </c>
      <c r="G59" s="8">
        <f t="shared" si="1"/>
        <v>0.29195088676671216</v>
      </c>
      <c r="H59" s="8">
        <f t="shared" si="2"/>
        <v>0.7080491132332879</v>
      </c>
      <c r="I59" s="6" t="s">
        <v>30</v>
      </c>
    </row>
    <row r="60" spans="1:9" ht="14.25" customHeight="1" x14ac:dyDescent="0.2">
      <c r="A60" s="6" t="s">
        <v>28</v>
      </c>
      <c r="B60" s="6" t="s">
        <v>91</v>
      </c>
      <c r="C60" s="6" t="s">
        <v>92</v>
      </c>
      <c r="D60" s="7">
        <v>209</v>
      </c>
      <c r="E60" s="7">
        <v>489</v>
      </c>
      <c r="F60" s="7">
        <f t="shared" si="0"/>
        <v>698</v>
      </c>
      <c r="G60" s="8">
        <f t="shared" si="1"/>
        <v>0.29942693409742122</v>
      </c>
      <c r="H60" s="8">
        <f t="shared" si="2"/>
        <v>0.70057306590257884</v>
      </c>
      <c r="I60" s="6" t="s">
        <v>30</v>
      </c>
    </row>
    <row r="61" spans="1:9" ht="14.25" customHeight="1" x14ac:dyDescent="0.2">
      <c r="A61" s="6" t="s">
        <v>28</v>
      </c>
      <c r="B61" s="6" t="s">
        <v>91</v>
      </c>
      <c r="C61" s="6" t="s">
        <v>93</v>
      </c>
      <c r="D61" s="7">
        <v>101</v>
      </c>
      <c r="E61" s="7">
        <v>239</v>
      </c>
      <c r="F61" s="7">
        <f t="shared" si="0"/>
        <v>340</v>
      </c>
      <c r="G61" s="8">
        <f t="shared" si="1"/>
        <v>0.29705882352941176</v>
      </c>
      <c r="H61" s="8">
        <f t="shared" si="2"/>
        <v>0.70294117647058818</v>
      </c>
      <c r="I61" s="6" t="s">
        <v>30</v>
      </c>
    </row>
    <row r="62" spans="1:9" ht="14.25" customHeight="1" x14ac:dyDescent="0.2">
      <c r="A62" s="6" t="s">
        <v>28</v>
      </c>
      <c r="B62" s="6" t="s">
        <v>94</v>
      </c>
      <c r="C62" s="6" t="s">
        <v>94</v>
      </c>
      <c r="D62" s="7">
        <v>37</v>
      </c>
      <c r="E62" s="7">
        <v>71</v>
      </c>
      <c r="F62" s="7">
        <f t="shared" si="0"/>
        <v>108</v>
      </c>
      <c r="G62" s="8">
        <f t="shared" si="1"/>
        <v>0.34259259259259262</v>
      </c>
      <c r="H62" s="8">
        <f t="shared" si="2"/>
        <v>0.65740740740740744</v>
      </c>
      <c r="I62" s="6" t="s">
        <v>30</v>
      </c>
    </row>
    <row r="63" spans="1:9" ht="14.25" customHeight="1" x14ac:dyDescent="0.2">
      <c r="A63" s="6" t="s">
        <v>95</v>
      </c>
      <c r="B63" s="6" t="s">
        <v>96</v>
      </c>
      <c r="C63" s="6" t="s">
        <v>96</v>
      </c>
      <c r="D63" s="7">
        <v>503</v>
      </c>
      <c r="E63" s="7">
        <v>604</v>
      </c>
      <c r="F63" s="7">
        <f t="shared" si="0"/>
        <v>1107</v>
      </c>
      <c r="G63" s="8">
        <f t="shared" si="1"/>
        <v>0.45438121047877145</v>
      </c>
      <c r="H63" s="8">
        <f t="shared" si="2"/>
        <v>0.54561878952122855</v>
      </c>
      <c r="I63" s="6" t="s">
        <v>30</v>
      </c>
    </row>
    <row r="64" spans="1:9" ht="14.25" customHeight="1" x14ac:dyDescent="0.2">
      <c r="A64" s="6" t="s">
        <v>95</v>
      </c>
      <c r="B64" s="6" t="s">
        <v>97</v>
      </c>
      <c r="C64" s="6" t="s">
        <v>98</v>
      </c>
      <c r="D64" s="7">
        <v>225</v>
      </c>
      <c r="E64" s="7">
        <v>97</v>
      </c>
      <c r="F64" s="7">
        <f t="shared" si="0"/>
        <v>322</v>
      </c>
      <c r="G64" s="8">
        <f t="shared" si="1"/>
        <v>0.69875776397515532</v>
      </c>
      <c r="H64" s="8">
        <f t="shared" si="2"/>
        <v>0.30124223602484473</v>
      </c>
      <c r="I64" s="6" t="s">
        <v>30</v>
      </c>
    </row>
    <row r="65" spans="1:9" ht="14.25" customHeight="1" x14ac:dyDescent="0.2">
      <c r="A65" s="6" t="s">
        <v>95</v>
      </c>
      <c r="B65" s="6" t="s">
        <v>97</v>
      </c>
      <c r="C65" s="6" t="s">
        <v>99</v>
      </c>
      <c r="D65" s="7">
        <v>136</v>
      </c>
      <c r="E65" s="7">
        <v>70</v>
      </c>
      <c r="F65" s="7">
        <f t="shared" si="0"/>
        <v>206</v>
      </c>
      <c r="G65" s="8">
        <f t="shared" si="1"/>
        <v>0.66019417475728159</v>
      </c>
      <c r="H65" s="8">
        <f t="shared" si="2"/>
        <v>0.33980582524271846</v>
      </c>
      <c r="I65" s="6" t="s">
        <v>30</v>
      </c>
    </row>
    <row r="66" spans="1:9" ht="14.25" customHeight="1" x14ac:dyDescent="0.2">
      <c r="A66" s="6" t="s">
        <v>95</v>
      </c>
      <c r="B66" s="6" t="s">
        <v>97</v>
      </c>
      <c r="C66" s="6" t="s">
        <v>100</v>
      </c>
      <c r="D66" s="7">
        <v>154</v>
      </c>
      <c r="E66" s="7">
        <v>69</v>
      </c>
      <c r="F66" s="7">
        <f t="shared" si="0"/>
        <v>223</v>
      </c>
      <c r="G66" s="8">
        <f t="shared" si="1"/>
        <v>0.6905829596412556</v>
      </c>
      <c r="H66" s="8">
        <f t="shared" si="2"/>
        <v>0.3094170403587444</v>
      </c>
      <c r="I66" s="6" t="s">
        <v>30</v>
      </c>
    </row>
    <row r="67" spans="1:9" ht="14.25" customHeight="1" x14ac:dyDescent="0.2">
      <c r="A67" s="6" t="s">
        <v>95</v>
      </c>
      <c r="B67" s="6" t="s">
        <v>97</v>
      </c>
      <c r="C67" s="6" t="s">
        <v>101</v>
      </c>
      <c r="D67" s="7">
        <v>155</v>
      </c>
      <c r="E67" s="7">
        <v>84</v>
      </c>
      <c r="F67" s="7">
        <f t="shared" si="0"/>
        <v>239</v>
      </c>
      <c r="G67" s="8">
        <f t="shared" si="1"/>
        <v>0.64853556485355646</v>
      </c>
      <c r="H67" s="8">
        <f t="shared" si="2"/>
        <v>0.35146443514644349</v>
      </c>
      <c r="I67" s="6" t="s">
        <v>30</v>
      </c>
    </row>
    <row r="68" spans="1:9" ht="14.25" customHeight="1" x14ac:dyDescent="0.2">
      <c r="A68" s="6" t="s">
        <v>95</v>
      </c>
      <c r="B68" s="6" t="s">
        <v>97</v>
      </c>
      <c r="C68" s="6" t="s">
        <v>102</v>
      </c>
      <c r="D68" s="7">
        <v>157</v>
      </c>
      <c r="E68" s="7">
        <v>63</v>
      </c>
      <c r="F68" s="7">
        <f t="shared" si="0"/>
        <v>220</v>
      </c>
      <c r="G68" s="8">
        <f t="shared" si="1"/>
        <v>0.71363636363636362</v>
      </c>
      <c r="H68" s="8">
        <f t="shared" si="2"/>
        <v>0.28636363636363638</v>
      </c>
      <c r="I68" s="6" t="s">
        <v>30</v>
      </c>
    </row>
    <row r="69" spans="1:9" ht="14.25" customHeight="1" x14ac:dyDescent="0.2">
      <c r="A69" s="6" t="s">
        <v>95</v>
      </c>
      <c r="B69" s="6" t="s">
        <v>97</v>
      </c>
      <c r="C69" s="6" t="s">
        <v>103</v>
      </c>
      <c r="D69" s="7">
        <v>228</v>
      </c>
      <c r="E69" s="7">
        <v>116</v>
      </c>
      <c r="F69" s="7">
        <f t="shared" si="0"/>
        <v>344</v>
      </c>
      <c r="G69" s="8">
        <f t="shared" si="1"/>
        <v>0.66279069767441856</v>
      </c>
      <c r="H69" s="8">
        <f t="shared" si="2"/>
        <v>0.33720930232558138</v>
      </c>
      <c r="I69" s="6" t="s">
        <v>30</v>
      </c>
    </row>
    <row r="70" spans="1:9" ht="14.25" customHeight="1" x14ac:dyDescent="0.2">
      <c r="A70" s="6" t="s">
        <v>95</v>
      </c>
      <c r="B70" s="6" t="s">
        <v>97</v>
      </c>
      <c r="C70" s="6" t="s">
        <v>104</v>
      </c>
      <c r="D70" s="7">
        <v>656</v>
      </c>
      <c r="E70" s="7">
        <v>187</v>
      </c>
      <c r="F70" s="7">
        <f t="shared" si="0"/>
        <v>843</v>
      </c>
      <c r="G70" s="8">
        <f t="shared" si="1"/>
        <v>0.77817319098457893</v>
      </c>
      <c r="H70" s="8">
        <f t="shared" si="2"/>
        <v>0.22182680901542112</v>
      </c>
      <c r="I70" s="6" t="s">
        <v>30</v>
      </c>
    </row>
    <row r="71" spans="1:9" ht="14.25" customHeight="1" x14ac:dyDescent="0.2">
      <c r="A71" s="6" t="s">
        <v>95</v>
      </c>
      <c r="B71" s="6" t="s">
        <v>97</v>
      </c>
      <c r="C71" s="6" t="s">
        <v>105</v>
      </c>
      <c r="D71" s="7">
        <v>262</v>
      </c>
      <c r="E71" s="7">
        <v>141</v>
      </c>
      <c r="F71" s="7">
        <f t="shared" si="0"/>
        <v>403</v>
      </c>
      <c r="G71" s="8">
        <f t="shared" si="1"/>
        <v>0.65012406947890822</v>
      </c>
      <c r="H71" s="8">
        <f t="shared" si="2"/>
        <v>0.34987593052109184</v>
      </c>
      <c r="I71" s="6" t="s">
        <v>30</v>
      </c>
    </row>
    <row r="72" spans="1:9" ht="14.25" customHeight="1" x14ac:dyDescent="0.2">
      <c r="A72" s="6" t="s">
        <v>95</v>
      </c>
      <c r="B72" s="6" t="s">
        <v>97</v>
      </c>
      <c r="C72" s="6" t="s">
        <v>106</v>
      </c>
      <c r="D72" s="7">
        <v>434</v>
      </c>
      <c r="E72" s="7">
        <v>278</v>
      </c>
      <c r="F72" s="7">
        <f t="shared" si="0"/>
        <v>712</v>
      </c>
      <c r="G72" s="8">
        <f t="shared" si="1"/>
        <v>0.6095505617977528</v>
      </c>
      <c r="H72" s="8">
        <f t="shared" si="2"/>
        <v>0.3904494382022472</v>
      </c>
      <c r="I72" s="6" t="s">
        <v>30</v>
      </c>
    </row>
    <row r="73" spans="1:9" ht="14.25" customHeight="1" x14ac:dyDescent="0.2">
      <c r="A73" s="6" t="s">
        <v>95</v>
      </c>
      <c r="B73" s="6" t="s">
        <v>97</v>
      </c>
      <c r="C73" s="6" t="s">
        <v>107</v>
      </c>
      <c r="D73" s="7">
        <v>347</v>
      </c>
      <c r="E73" s="7">
        <v>209</v>
      </c>
      <c r="F73" s="7">
        <f t="shared" si="0"/>
        <v>556</v>
      </c>
      <c r="G73" s="8">
        <f t="shared" si="1"/>
        <v>0.62410071942446044</v>
      </c>
      <c r="H73" s="8">
        <f t="shared" si="2"/>
        <v>0.37589928057553956</v>
      </c>
      <c r="I73" s="6" t="s">
        <v>30</v>
      </c>
    </row>
    <row r="74" spans="1:9" ht="14.25" customHeight="1" x14ac:dyDescent="0.2">
      <c r="A74" s="6" t="s">
        <v>95</v>
      </c>
      <c r="B74" s="6" t="s">
        <v>97</v>
      </c>
      <c r="C74" s="6" t="s">
        <v>108</v>
      </c>
      <c r="D74" s="7">
        <v>265</v>
      </c>
      <c r="E74" s="7">
        <v>131</v>
      </c>
      <c r="F74" s="7">
        <f t="shared" si="0"/>
        <v>396</v>
      </c>
      <c r="G74" s="8">
        <f t="shared" si="1"/>
        <v>0.66919191919191923</v>
      </c>
      <c r="H74" s="8">
        <f t="shared" si="2"/>
        <v>0.33080808080808083</v>
      </c>
      <c r="I74" s="6" t="s">
        <v>30</v>
      </c>
    </row>
    <row r="75" spans="1:9" ht="14.25" customHeight="1" x14ac:dyDescent="0.2">
      <c r="A75" s="6" t="s">
        <v>95</v>
      </c>
      <c r="B75" s="6" t="s">
        <v>97</v>
      </c>
      <c r="C75" s="6" t="s">
        <v>109</v>
      </c>
      <c r="D75" s="7">
        <v>312</v>
      </c>
      <c r="E75" s="7">
        <v>178</v>
      </c>
      <c r="F75" s="7">
        <f t="shared" si="0"/>
        <v>490</v>
      </c>
      <c r="G75" s="8">
        <f t="shared" si="1"/>
        <v>0.63673469387755099</v>
      </c>
      <c r="H75" s="8">
        <f t="shared" si="2"/>
        <v>0.36326530612244901</v>
      </c>
      <c r="I75" s="6" t="s">
        <v>30</v>
      </c>
    </row>
    <row r="76" spans="1:9" ht="14.25" customHeight="1" x14ac:dyDescent="0.2">
      <c r="A76" s="6" t="s">
        <v>95</v>
      </c>
      <c r="B76" s="6" t="s">
        <v>97</v>
      </c>
      <c r="C76" s="6" t="s">
        <v>110</v>
      </c>
      <c r="D76" s="7">
        <v>322</v>
      </c>
      <c r="E76" s="7">
        <v>197</v>
      </c>
      <c r="F76" s="7">
        <f t="shared" ref="F76:F139" si="3">IF(COUNTA(D76:E76)=0,"",SUM(D76:E76))</f>
        <v>519</v>
      </c>
      <c r="G76" s="8">
        <f t="shared" ref="G76:G139" si="4">IF(OR(F76="",F76=0),"",D76/F76)</f>
        <v>0.62042389210019266</v>
      </c>
      <c r="H76" s="8">
        <f t="shared" ref="H76:H139" si="5">IF(OR(F76="",F76=0),"",E76/F76)</f>
        <v>0.37957610789980734</v>
      </c>
      <c r="I76" s="6" t="s">
        <v>30</v>
      </c>
    </row>
    <row r="77" spans="1:9" ht="14.25" customHeight="1" x14ac:dyDescent="0.2">
      <c r="A77" s="6" t="s">
        <v>95</v>
      </c>
      <c r="B77" s="6" t="s">
        <v>97</v>
      </c>
      <c r="C77" s="6" t="s">
        <v>111</v>
      </c>
      <c r="D77" s="7">
        <v>346</v>
      </c>
      <c r="E77" s="7">
        <v>283</v>
      </c>
      <c r="F77" s="7">
        <f t="shared" si="3"/>
        <v>629</v>
      </c>
      <c r="G77" s="8">
        <f t="shared" si="4"/>
        <v>0.55007949125596189</v>
      </c>
      <c r="H77" s="8">
        <f t="shared" si="5"/>
        <v>0.44992050874403816</v>
      </c>
      <c r="I77" s="6" t="s">
        <v>30</v>
      </c>
    </row>
    <row r="78" spans="1:9" ht="14.25" customHeight="1" x14ac:dyDescent="0.2">
      <c r="A78" s="6" t="s">
        <v>95</v>
      </c>
      <c r="B78" s="6" t="s">
        <v>97</v>
      </c>
      <c r="C78" s="6" t="s">
        <v>112</v>
      </c>
      <c r="D78" s="7">
        <v>256</v>
      </c>
      <c r="E78" s="7">
        <v>164</v>
      </c>
      <c r="F78" s="7">
        <f t="shared" si="3"/>
        <v>420</v>
      </c>
      <c r="G78" s="8">
        <f t="shared" si="4"/>
        <v>0.60952380952380958</v>
      </c>
      <c r="H78" s="8">
        <f t="shared" si="5"/>
        <v>0.39047619047619048</v>
      </c>
      <c r="I78" s="6" t="s">
        <v>30</v>
      </c>
    </row>
    <row r="79" spans="1:9" ht="14.25" customHeight="1" x14ac:dyDescent="0.2">
      <c r="A79" s="6" t="s">
        <v>95</v>
      </c>
      <c r="B79" s="6" t="s">
        <v>97</v>
      </c>
      <c r="C79" s="6" t="s">
        <v>113</v>
      </c>
      <c r="D79" s="7">
        <v>219</v>
      </c>
      <c r="E79" s="7">
        <v>105</v>
      </c>
      <c r="F79" s="7">
        <f t="shared" si="3"/>
        <v>324</v>
      </c>
      <c r="G79" s="8">
        <f t="shared" si="4"/>
        <v>0.67592592592592593</v>
      </c>
      <c r="H79" s="8">
        <f t="shared" si="5"/>
        <v>0.32407407407407407</v>
      </c>
      <c r="I79" s="6" t="s">
        <v>30</v>
      </c>
    </row>
    <row r="80" spans="1:9" ht="14.25" customHeight="1" x14ac:dyDescent="0.2">
      <c r="A80" s="6" t="s">
        <v>95</v>
      </c>
      <c r="B80" s="6" t="s">
        <v>97</v>
      </c>
      <c r="C80" s="6" t="s">
        <v>114</v>
      </c>
      <c r="D80" s="7">
        <v>190</v>
      </c>
      <c r="E80" s="7">
        <v>102</v>
      </c>
      <c r="F80" s="7">
        <f t="shared" si="3"/>
        <v>292</v>
      </c>
      <c r="G80" s="8">
        <f t="shared" si="4"/>
        <v>0.65068493150684936</v>
      </c>
      <c r="H80" s="8">
        <f t="shared" si="5"/>
        <v>0.34931506849315069</v>
      </c>
      <c r="I80" s="6" t="s">
        <v>30</v>
      </c>
    </row>
    <row r="81" spans="1:9" ht="14.25" customHeight="1" x14ac:dyDescent="0.2">
      <c r="A81" s="6" t="s">
        <v>95</v>
      </c>
      <c r="B81" s="6" t="s">
        <v>97</v>
      </c>
      <c r="C81" s="6" t="s">
        <v>115</v>
      </c>
      <c r="D81" s="7">
        <v>243</v>
      </c>
      <c r="E81" s="7">
        <v>134</v>
      </c>
      <c r="F81" s="7">
        <f t="shared" si="3"/>
        <v>377</v>
      </c>
      <c r="G81" s="8">
        <f t="shared" si="4"/>
        <v>0.64456233421750664</v>
      </c>
      <c r="H81" s="8">
        <f t="shared" si="5"/>
        <v>0.35543766578249336</v>
      </c>
      <c r="I81" s="6" t="s">
        <v>30</v>
      </c>
    </row>
    <row r="82" spans="1:9" ht="14.25" customHeight="1" x14ac:dyDescent="0.2">
      <c r="A82" s="6" t="s">
        <v>95</v>
      </c>
      <c r="B82" s="6" t="s">
        <v>97</v>
      </c>
      <c r="C82" s="6" t="s">
        <v>116</v>
      </c>
      <c r="D82" s="7">
        <v>182</v>
      </c>
      <c r="E82" s="7">
        <v>88</v>
      </c>
      <c r="F82" s="7">
        <f t="shared" si="3"/>
        <v>270</v>
      </c>
      <c r="G82" s="8">
        <f t="shared" si="4"/>
        <v>0.67407407407407405</v>
      </c>
      <c r="H82" s="8">
        <f t="shared" si="5"/>
        <v>0.32592592592592595</v>
      </c>
      <c r="I82" s="6" t="s">
        <v>30</v>
      </c>
    </row>
    <row r="83" spans="1:9" ht="14.25" customHeight="1" x14ac:dyDescent="0.2">
      <c r="A83" s="6" t="s">
        <v>95</v>
      </c>
      <c r="B83" s="6" t="s">
        <v>97</v>
      </c>
      <c r="C83" s="6" t="s">
        <v>117</v>
      </c>
      <c r="D83" s="7">
        <v>365</v>
      </c>
      <c r="E83" s="7">
        <v>214</v>
      </c>
      <c r="F83" s="7">
        <f t="shared" si="3"/>
        <v>579</v>
      </c>
      <c r="G83" s="8">
        <f t="shared" si="4"/>
        <v>0.63039723661485314</v>
      </c>
      <c r="H83" s="8">
        <f t="shared" si="5"/>
        <v>0.3696027633851468</v>
      </c>
      <c r="I83" s="6" t="s">
        <v>30</v>
      </c>
    </row>
    <row r="84" spans="1:9" ht="14.25" customHeight="1" x14ac:dyDescent="0.2">
      <c r="A84" s="6" t="s">
        <v>95</v>
      </c>
      <c r="B84" s="6" t="s">
        <v>97</v>
      </c>
      <c r="C84" s="6" t="s">
        <v>118</v>
      </c>
      <c r="D84" s="7">
        <v>350</v>
      </c>
      <c r="E84" s="7">
        <v>185</v>
      </c>
      <c r="F84" s="7">
        <f t="shared" si="3"/>
        <v>535</v>
      </c>
      <c r="G84" s="8">
        <f t="shared" si="4"/>
        <v>0.65420560747663548</v>
      </c>
      <c r="H84" s="8">
        <f t="shared" si="5"/>
        <v>0.34579439252336447</v>
      </c>
      <c r="I84" s="6" t="s">
        <v>30</v>
      </c>
    </row>
    <row r="85" spans="1:9" ht="14.25" customHeight="1" x14ac:dyDescent="0.2">
      <c r="A85" s="6" t="s">
        <v>95</v>
      </c>
      <c r="B85" s="6" t="s">
        <v>97</v>
      </c>
      <c r="C85" s="6" t="s">
        <v>119</v>
      </c>
      <c r="D85" s="7">
        <v>291</v>
      </c>
      <c r="E85" s="7">
        <v>241</v>
      </c>
      <c r="F85" s="7">
        <f t="shared" si="3"/>
        <v>532</v>
      </c>
      <c r="G85" s="8">
        <f t="shared" si="4"/>
        <v>0.54699248120300747</v>
      </c>
      <c r="H85" s="8">
        <f t="shared" si="5"/>
        <v>0.45300751879699247</v>
      </c>
      <c r="I85" s="6" t="s">
        <v>30</v>
      </c>
    </row>
    <row r="86" spans="1:9" ht="14.25" customHeight="1" x14ac:dyDescent="0.2">
      <c r="A86" s="6" t="s">
        <v>95</v>
      </c>
      <c r="B86" s="6" t="s">
        <v>97</v>
      </c>
      <c r="C86" s="6" t="s">
        <v>120</v>
      </c>
      <c r="D86" s="7">
        <v>386</v>
      </c>
      <c r="E86" s="7">
        <v>234</v>
      </c>
      <c r="F86" s="7">
        <f t="shared" si="3"/>
        <v>620</v>
      </c>
      <c r="G86" s="8">
        <f t="shared" si="4"/>
        <v>0.6225806451612903</v>
      </c>
      <c r="H86" s="8">
        <f t="shared" si="5"/>
        <v>0.3774193548387097</v>
      </c>
      <c r="I86" s="6" t="s">
        <v>30</v>
      </c>
    </row>
    <row r="87" spans="1:9" ht="14.25" customHeight="1" x14ac:dyDescent="0.2">
      <c r="A87" s="6" t="s">
        <v>95</v>
      </c>
      <c r="B87" s="6" t="s">
        <v>97</v>
      </c>
      <c r="C87" s="6" t="s">
        <v>121</v>
      </c>
      <c r="D87" s="7">
        <v>418</v>
      </c>
      <c r="E87" s="7">
        <v>255</v>
      </c>
      <c r="F87" s="7">
        <f t="shared" si="3"/>
        <v>673</v>
      </c>
      <c r="G87" s="8">
        <f t="shared" si="4"/>
        <v>0.6210995542347697</v>
      </c>
      <c r="H87" s="8">
        <f t="shared" si="5"/>
        <v>0.3789004457652303</v>
      </c>
      <c r="I87" s="6" t="s">
        <v>30</v>
      </c>
    </row>
    <row r="88" spans="1:9" ht="14.25" customHeight="1" x14ac:dyDescent="0.2">
      <c r="A88" s="6" t="s">
        <v>95</v>
      </c>
      <c r="B88" s="6" t="s">
        <v>97</v>
      </c>
      <c r="C88" s="6" t="s">
        <v>122</v>
      </c>
      <c r="D88" s="7">
        <v>276</v>
      </c>
      <c r="E88" s="7">
        <v>199</v>
      </c>
      <c r="F88" s="7">
        <f t="shared" si="3"/>
        <v>475</v>
      </c>
      <c r="G88" s="8">
        <f t="shared" si="4"/>
        <v>0.58105263157894738</v>
      </c>
      <c r="H88" s="8">
        <f t="shared" si="5"/>
        <v>0.41894736842105262</v>
      </c>
      <c r="I88" s="6" t="s">
        <v>30</v>
      </c>
    </row>
    <row r="89" spans="1:9" ht="14.25" customHeight="1" x14ac:dyDescent="0.2">
      <c r="A89" s="6" t="s">
        <v>95</v>
      </c>
      <c r="B89" s="6" t="s">
        <v>97</v>
      </c>
      <c r="C89" s="6" t="s">
        <v>123</v>
      </c>
      <c r="D89" s="7">
        <v>280</v>
      </c>
      <c r="E89" s="7">
        <v>164</v>
      </c>
      <c r="F89" s="7">
        <f t="shared" si="3"/>
        <v>444</v>
      </c>
      <c r="G89" s="8">
        <f t="shared" si="4"/>
        <v>0.63063063063063063</v>
      </c>
      <c r="H89" s="8">
        <f t="shared" si="5"/>
        <v>0.36936936936936937</v>
      </c>
      <c r="I89" s="6" t="s">
        <v>30</v>
      </c>
    </row>
    <row r="90" spans="1:9" ht="14.25" customHeight="1" x14ac:dyDescent="0.2">
      <c r="A90" s="6" t="s">
        <v>95</v>
      </c>
      <c r="B90" s="6" t="s">
        <v>97</v>
      </c>
      <c r="C90" s="6" t="s">
        <v>124</v>
      </c>
      <c r="D90" s="7">
        <v>473</v>
      </c>
      <c r="E90" s="7">
        <v>314</v>
      </c>
      <c r="F90" s="7">
        <f t="shared" si="3"/>
        <v>787</v>
      </c>
      <c r="G90" s="8">
        <f t="shared" si="4"/>
        <v>0.60101651842439641</v>
      </c>
      <c r="H90" s="8">
        <f t="shared" si="5"/>
        <v>0.39898348157560354</v>
      </c>
      <c r="I90" s="6" t="s">
        <v>30</v>
      </c>
    </row>
    <row r="91" spans="1:9" ht="14.25" customHeight="1" x14ac:dyDescent="0.2">
      <c r="A91" s="6" t="s">
        <v>95</v>
      </c>
      <c r="B91" s="6" t="s">
        <v>97</v>
      </c>
      <c r="C91" s="6" t="s">
        <v>125</v>
      </c>
      <c r="D91" s="7">
        <v>321</v>
      </c>
      <c r="E91" s="7">
        <v>168</v>
      </c>
      <c r="F91" s="7">
        <f t="shared" si="3"/>
        <v>489</v>
      </c>
      <c r="G91" s="8">
        <f t="shared" si="4"/>
        <v>0.65644171779141103</v>
      </c>
      <c r="H91" s="8">
        <f t="shared" si="5"/>
        <v>0.34355828220858897</v>
      </c>
      <c r="I91" s="6" t="s">
        <v>30</v>
      </c>
    </row>
    <row r="92" spans="1:9" ht="14.25" customHeight="1" x14ac:dyDescent="0.2">
      <c r="A92" s="6" t="s">
        <v>95</v>
      </c>
      <c r="B92" s="6" t="s">
        <v>97</v>
      </c>
      <c r="C92" s="6" t="s">
        <v>126</v>
      </c>
      <c r="D92" s="7">
        <v>410</v>
      </c>
      <c r="E92" s="7">
        <v>239</v>
      </c>
      <c r="F92" s="7">
        <f t="shared" si="3"/>
        <v>649</v>
      </c>
      <c r="G92" s="8">
        <f t="shared" si="4"/>
        <v>0.63174114021571648</v>
      </c>
      <c r="H92" s="8">
        <f t="shared" si="5"/>
        <v>0.36825885978428352</v>
      </c>
      <c r="I92" s="6" t="s">
        <v>30</v>
      </c>
    </row>
    <row r="93" spans="1:9" ht="14.25" customHeight="1" x14ac:dyDescent="0.2">
      <c r="A93" s="6" t="s">
        <v>95</v>
      </c>
      <c r="B93" s="6" t="s">
        <v>97</v>
      </c>
      <c r="C93" s="6" t="s">
        <v>127</v>
      </c>
      <c r="D93" s="7">
        <v>451</v>
      </c>
      <c r="E93" s="7">
        <v>271</v>
      </c>
      <c r="F93" s="7">
        <f t="shared" si="3"/>
        <v>722</v>
      </c>
      <c r="G93" s="8">
        <f t="shared" si="4"/>
        <v>0.6246537396121884</v>
      </c>
      <c r="H93" s="8">
        <f t="shared" si="5"/>
        <v>0.37534626038781166</v>
      </c>
      <c r="I93" s="6" t="s">
        <v>30</v>
      </c>
    </row>
    <row r="94" spans="1:9" ht="14.25" customHeight="1" x14ac:dyDescent="0.2">
      <c r="A94" s="6" t="s">
        <v>95</v>
      </c>
      <c r="B94" s="6" t="s">
        <v>97</v>
      </c>
      <c r="C94" s="6" t="s">
        <v>128</v>
      </c>
      <c r="D94" s="7">
        <v>311</v>
      </c>
      <c r="E94" s="7">
        <v>230</v>
      </c>
      <c r="F94" s="7">
        <f t="shared" si="3"/>
        <v>541</v>
      </c>
      <c r="G94" s="8">
        <f t="shared" si="4"/>
        <v>0.57486136783733821</v>
      </c>
      <c r="H94" s="8">
        <f t="shared" si="5"/>
        <v>0.42513863216266173</v>
      </c>
      <c r="I94" s="6" t="s">
        <v>30</v>
      </c>
    </row>
    <row r="95" spans="1:9" ht="14.25" customHeight="1" x14ac:dyDescent="0.2">
      <c r="A95" s="6" t="s">
        <v>95</v>
      </c>
      <c r="B95" s="6" t="s">
        <v>97</v>
      </c>
      <c r="C95" s="6" t="s">
        <v>129</v>
      </c>
      <c r="D95" s="7">
        <v>701</v>
      </c>
      <c r="E95" s="7">
        <v>579</v>
      </c>
      <c r="F95" s="7">
        <f t="shared" si="3"/>
        <v>1280</v>
      </c>
      <c r="G95" s="8">
        <f t="shared" si="4"/>
        <v>0.54765624999999996</v>
      </c>
      <c r="H95" s="8">
        <f t="shared" si="5"/>
        <v>0.45234374999999999</v>
      </c>
      <c r="I95" s="6" t="s">
        <v>30</v>
      </c>
    </row>
    <row r="96" spans="1:9" ht="14.25" customHeight="1" x14ac:dyDescent="0.2">
      <c r="A96" s="6" t="s">
        <v>95</v>
      </c>
      <c r="B96" s="6" t="s">
        <v>97</v>
      </c>
      <c r="C96" s="6" t="s">
        <v>130</v>
      </c>
      <c r="D96" s="7">
        <v>384</v>
      </c>
      <c r="E96" s="7">
        <v>201</v>
      </c>
      <c r="F96" s="7">
        <f t="shared" si="3"/>
        <v>585</v>
      </c>
      <c r="G96" s="8">
        <f t="shared" si="4"/>
        <v>0.65641025641025641</v>
      </c>
      <c r="H96" s="8">
        <f t="shared" si="5"/>
        <v>0.34358974358974359</v>
      </c>
      <c r="I96" s="6" t="s">
        <v>30</v>
      </c>
    </row>
    <row r="97" spans="1:9" ht="14.25" customHeight="1" x14ac:dyDescent="0.2">
      <c r="A97" s="6" t="s">
        <v>95</v>
      </c>
      <c r="B97" s="6" t="s">
        <v>97</v>
      </c>
      <c r="C97" s="6" t="s">
        <v>131</v>
      </c>
      <c r="D97" s="7">
        <v>474</v>
      </c>
      <c r="E97" s="7">
        <v>305</v>
      </c>
      <c r="F97" s="7">
        <f t="shared" si="3"/>
        <v>779</v>
      </c>
      <c r="G97" s="8">
        <f t="shared" si="4"/>
        <v>0.60847240051347884</v>
      </c>
      <c r="H97" s="8">
        <f t="shared" si="5"/>
        <v>0.39152759948652116</v>
      </c>
      <c r="I97" s="6" t="s">
        <v>30</v>
      </c>
    </row>
    <row r="98" spans="1:9" ht="14.25" customHeight="1" x14ac:dyDescent="0.2">
      <c r="A98" s="6" t="s">
        <v>95</v>
      </c>
      <c r="B98" s="6" t="s">
        <v>97</v>
      </c>
      <c r="C98" s="6" t="s">
        <v>132</v>
      </c>
      <c r="D98" s="7">
        <v>13</v>
      </c>
      <c r="E98" s="7">
        <v>13</v>
      </c>
      <c r="F98" s="7">
        <f t="shared" si="3"/>
        <v>26</v>
      </c>
      <c r="G98" s="8">
        <f t="shared" si="4"/>
        <v>0.5</v>
      </c>
      <c r="H98" s="8">
        <f t="shared" si="5"/>
        <v>0.5</v>
      </c>
      <c r="I98" s="6" t="s">
        <v>30</v>
      </c>
    </row>
    <row r="99" spans="1:9" ht="14.25" customHeight="1" x14ac:dyDescent="0.2">
      <c r="A99" s="6" t="s">
        <v>95</v>
      </c>
      <c r="B99" s="6" t="s">
        <v>97</v>
      </c>
      <c r="C99" s="6" t="s">
        <v>133</v>
      </c>
      <c r="D99" s="7">
        <v>212</v>
      </c>
      <c r="E99" s="7">
        <v>167</v>
      </c>
      <c r="F99" s="7">
        <f t="shared" si="3"/>
        <v>379</v>
      </c>
      <c r="G99" s="8">
        <f t="shared" si="4"/>
        <v>0.55936675461741425</v>
      </c>
      <c r="H99" s="8">
        <f t="shared" si="5"/>
        <v>0.44063324538258575</v>
      </c>
      <c r="I99" s="6" t="s">
        <v>30</v>
      </c>
    </row>
    <row r="100" spans="1:9" ht="14.25" customHeight="1" x14ac:dyDescent="0.2">
      <c r="A100" s="6" t="s">
        <v>95</v>
      </c>
      <c r="B100" s="6" t="s">
        <v>97</v>
      </c>
      <c r="C100" s="6" t="s">
        <v>134</v>
      </c>
      <c r="D100" s="7">
        <v>352</v>
      </c>
      <c r="E100" s="7">
        <v>196</v>
      </c>
      <c r="F100" s="7">
        <f t="shared" si="3"/>
        <v>548</v>
      </c>
      <c r="G100" s="8">
        <f t="shared" si="4"/>
        <v>0.64233576642335766</v>
      </c>
      <c r="H100" s="8">
        <f t="shared" si="5"/>
        <v>0.35766423357664234</v>
      </c>
      <c r="I100" s="6" t="s">
        <v>30</v>
      </c>
    </row>
    <row r="101" spans="1:9" ht="14.25" customHeight="1" x14ac:dyDescent="0.2">
      <c r="A101" s="6" t="s">
        <v>95</v>
      </c>
      <c r="B101" s="6" t="s">
        <v>97</v>
      </c>
      <c r="C101" s="6" t="s">
        <v>135</v>
      </c>
      <c r="D101" s="7">
        <v>265</v>
      </c>
      <c r="E101" s="7">
        <v>184</v>
      </c>
      <c r="F101" s="7">
        <f t="shared" si="3"/>
        <v>449</v>
      </c>
      <c r="G101" s="8">
        <f t="shared" si="4"/>
        <v>0.59020044543429839</v>
      </c>
      <c r="H101" s="8">
        <f t="shared" si="5"/>
        <v>0.40979955456570155</v>
      </c>
      <c r="I101" s="6" t="s">
        <v>30</v>
      </c>
    </row>
    <row r="102" spans="1:9" ht="14.25" customHeight="1" x14ac:dyDescent="0.2">
      <c r="A102" s="6" t="s">
        <v>95</v>
      </c>
      <c r="B102" s="6" t="s">
        <v>97</v>
      </c>
      <c r="C102" s="6" t="s">
        <v>136</v>
      </c>
      <c r="D102" s="7">
        <v>245</v>
      </c>
      <c r="E102" s="7">
        <v>145</v>
      </c>
      <c r="F102" s="7">
        <f t="shared" si="3"/>
        <v>390</v>
      </c>
      <c r="G102" s="8">
        <f t="shared" si="4"/>
        <v>0.62820512820512819</v>
      </c>
      <c r="H102" s="8">
        <f t="shared" si="5"/>
        <v>0.37179487179487181</v>
      </c>
      <c r="I102" s="6" t="s">
        <v>30</v>
      </c>
    </row>
    <row r="103" spans="1:9" ht="14.25" customHeight="1" x14ac:dyDescent="0.2">
      <c r="A103" s="6" t="s">
        <v>95</v>
      </c>
      <c r="B103" s="6" t="s">
        <v>97</v>
      </c>
      <c r="C103" s="6" t="s">
        <v>137</v>
      </c>
      <c r="D103" s="7">
        <v>384</v>
      </c>
      <c r="E103" s="7">
        <v>255</v>
      </c>
      <c r="F103" s="7">
        <f t="shared" si="3"/>
        <v>639</v>
      </c>
      <c r="G103" s="8">
        <f t="shared" si="4"/>
        <v>0.60093896713615025</v>
      </c>
      <c r="H103" s="8">
        <f t="shared" si="5"/>
        <v>0.39906103286384975</v>
      </c>
      <c r="I103" s="6" t="s">
        <v>30</v>
      </c>
    </row>
    <row r="104" spans="1:9" ht="14.25" customHeight="1" x14ac:dyDescent="0.2">
      <c r="A104" s="6" t="s">
        <v>95</v>
      </c>
      <c r="B104" s="6" t="s">
        <v>97</v>
      </c>
      <c r="C104" s="6" t="s">
        <v>138</v>
      </c>
      <c r="D104" s="7">
        <v>1</v>
      </c>
      <c r="E104" s="7">
        <v>1</v>
      </c>
      <c r="F104" s="7">
        <f t="shared" si="3"/>
        <v>2</v>
      </c>
      <c r="G104" s="8">
        <f t="shared" si="4"/>
        <v>0.5</v>
      </c>
      <c r="H104" s="8">
        <f t="shared" si="5"/>
        <v>0.5</v>
      </c>
      <c r="I104" s="6" t="s">
        <v>30</v>
      </c>
    </row>
    <row r="105" spans="1:9" ht="14.25" customHeight="1" x14ac:dyDescent="0.2">
      <c r="A105" s="6" t="s">
        <v>95</v>
      </c>
      <c r="B105" s="6" t="s">
        <v>97</v>
      </c>
      <c r="C105" s="6" t="s">
        <v>139</v>
      </c>
      <c r="D105" s="7">
        <v>491</v>
      </c>
      <c r="E105" s="7">
        <v>309</v>
      </c>
      <c r="F105" s="7">
        <f t="shared" si="3"/>
        <v>800</v>
      </c>
      <c r="G105" s="8">
        <f t="shared" si="4"/>
        <v>0.61375000000000002</v>
      </c>
      <c r="H105" s="8">
        <f t="shared" si="5"/>
        <v>0.38624999999999998</v>
      </c>
      <c r="I105" s="6" t="s">
        <v>30</v>
      </c>
    </row>
    <row r="106" spans="1:9" ht="14.25" customHeight="1" x14ac:dyDescent="0.2">
      <c r="A106" s="6" t="s">
        <v>95</v>
      </c>
      <c r="B106" s="6" t="s">
        <v>97</v>
      </c>
      <c r="C106" s="6" t="s">
        <v>140</v>
      </c>
      <c r="D106" s="7">
        <v>186</v>
      </c>
      <c r="E106" s="7">
        <v>78</v>
      </c>
      <c r="F106" s="7">
        <f t="shared" si="3"/>
        <v>264</v>
      </c>
      <c r="G106" s="8">
        <f t="shared" si="4"/>
        <v>0.70454545454545459</v>
      </c>
      <c r="H106" s="8">
        <f t="shared" si="5"/>
        <v>0.29545454545454547</v>
      </c>
      <c r="I106" s="6" t="s">
        <v>30</v>
      </c>
    </row>
    <row r="107" spans="1:9" ht="14.25" customHeight="1" x14ac:dyDescent="0.2">
      <c r="A107" s="6" t="s">
        <v>95</v>
      </c>
      <c r="B107" s="6" t="s">
        <v>97</v>
      </c>
      <c r="C107" s="6" t="s">
        <v>141</v>
      </c>
      <c r="D107" s="7">
        <v>208</v>
      </c>
      <c r="E107" s="7">
        <v>102</v>
      </c>
      <c r="F107" s="7">
        <f t="shared" si="3"/>
        <v>310</v>
      </c>
      <c r="G107" s="8">
        <f t="shared" si="4"/>
        <v>0.67096774193548392</v>
      </c>
      <c r="H107" s="8">
        <f t="shared" si="5"/>
        <v>0.32903225806451614</v>
      </c>
      <c r="I107" s="6" t="s">
        <v>30</v>
      </c>
    </row>
    <row r="108" spans="1:9" ht="14.25" customHeight="1" x14ac:dyDescent="0.2">
      <c r="A108" s="6" t="s">
        <v>95</v>
      </c>
      <c r="B108" s="6" t="s">
        <v>97</v>
      </c>
      <c r="C108" s="6" t="s">
        <v>142</v>
      </c>
      <c r="D108" s="7">
        <v>299</v>
      </c>
      <c r="E108" s="7">
        <v>129</v>
      </c>
      <c r="F108" s="7">
        <f t="shared" si="3"/>
        <v>428</v>
      </c>
      <c r="G108" s="8">
        <f t="shared" si="4"/>
        <v>0.69859813084112155</v>
      </c>
      <c r="H108" s="8">
        <f t="shared" si="5"/>
        <v>0.30140186915887851</v>
      </c>
      <c r="I108" s="6" t="s">
        <v>30</v>
      </c>
    </row>
    <row r="109" spans="1:9" ht="14.25" customHeight="1" x14ac:dyDescent="0.2">
      <c r="A109" s="6" t="s">
        <v>95</v>
      </c>
      <c r="B109" s="6" t="s">
        <v>97</v>
      </c>
      <c r="C109" s="6" t="s">
        <v>143</v>
      </c>
      <c r="D109" s="7">
        <v>153</v>
      </c>
      <c r="E109" s="7">
        <v>83</v>
      </c>
      <c r="F109" s="7">
        <f t="shared" si="3"/>
        <v>236</v>
      </c>
      <c r="G109" s="8">
        <f t="shared" si="4"/>
        <v>0.64830508474576276</v>
      </c>
      <c r="H109" s="8">
        <f t="shared" si="5"/>
        <v>0.35169491525423729</v>
      </c>
      <c r="I109" s="6" t="s">
        <v>30</v>
      </c>
    </row>
    <row r="110" spans="1:9" ht="14.25" customHeight="1" x14ac:dyDescent="0.2">
      <c r="A110" s="6" t="s">
        <v>95</v>
      </c>
      <c r="B110" s="6" t="s">
        <v>97</v>
      </c>
      <c r="C110" s="6" t="s">
        <v>144</v>
      </c>
      <c r="D110" s="7">
        <v>200</v>
      </c>
      <c r="E110" s="7">
        <v>83</v>
      </c>
      <c r="F110" s="7">
        <f t="shared" si="3"/>
        <v>283</v>
      </c>
      <c r="G110" s="8">
        <f t="shared" si="4"/>
        <v>0.70671378091872794</v>
      </c>
      <c r="H110" s="8">
        <f t="shared" si="5"/>
        <v>0.29328621908127206</v>
      </c>
      <c r="I110" s="6" t="s">
        <v>30</v>
      </c>
    </row>
    <row r="111" spans="1:9" ht="14.25" customHeight="1" x14ac:dyDescent="0.2">
      <c r="A111" s="6" t="s">
        <v>95</v>
      </c>
      <c r="B111" s="6" t="s">
        <v>97</v>
      </c>
      <c r="C111" s="6" t="s">
        <v>145</v>
      </c>
      <c r="D111" s="7">
        <v>70</v>
      </c>
      <c r="E111" s="7">
        <v>38</v>
      </c>
      <c r="F111" s="7">
        <f t="shared" si="3"/>
        <v>108</v>
      </c>
      <c r="G111" s="8">
        <f t="shared" si="4"/>
        <v>0.64814814814814814</v>
      </c>
      <c r="H111" s="8">
        <f t="shared" si="5"/>
        <v>0.35185185185185186</v>
      </c>
      <c r="I111" s="6" t="s">
        <v>30</v>
      </c>
    </row>
    <row r="112" spans="1:9" ht="14.25" customHeight="1" x14ac:dyDescent="0.2">
      <c r="A112" s="6" t="s">
        <v>95</v>
      </c>
      <c r="B112" s="6" t="s">
        <v>97</v>
      </c>
      <c r="C112" s="6" t="s">
        <v>146</v>
      </c>
      <c r="D112" s="7">
        <v>182</v>
      </c>
      <c r="E112" s="7">
        <v>110</v>
      </c>
      <c r="F112" s="7">
        <f t="shared" si="3"/>
        <v>292</v>
      </c>
      <c r="G112" s="8">
        <f t="shared" si="4"/>
        <v>0.62328767123287676</v>
      </c>
      <c r="H112" s="8">
        <f t="shared" si="5"/>
        <v>0.37671232876712329</v>
      </c>
      <c r="I112" s="6" t="s">
        <v>30</v>
      </c>
    </row>
    <row r="113" spans="1:9" ht="14.25" customHeight="1" x14ac:dyDescent="0.2">
      <c r="A113" s="6" t="s">
        <v>95</v>
      </c>
      <c r="B113" s="6" t="s">
        <v>97</v>
      </c>
      <c r="C113" s="6" t="s">
        <v>147</v>
      </c>
      <c r="D113" s="7">
        <v>277</v>
      </c>
      <c r="E113" s="7">
        <v>116</v>
      </c>
      <c r="F113" s="7">
        <f t="shared" si="3"/>
        <v>393</v>
      </c>
      <c r="G113" s="8">
        <f t="shared" si="4"/>
        <v>0.7048346055979644</v>
      </c>
      <c r="H113" s="8">
        <f t="shared" si="5"/>
        <v>0.2951653944020356</v>
      </c>
      <c r="I113" s="6" t="s">
        <v>30</v>
      </c>
    </row>
    <row r="114" spans="1:9" ht="14.25" customHeight="1" x14ac:dyDescent="0.2">
      <c r="A114" s="6" t="s">
        <v>95</v>
      </c>
      <c r="B114" s="6" t="s">
        <v>97</v>
      </c>
      <c r="C114" s="6" t="s">
        <v>148</v>
      </c>
      <c r="D114" s="7">
        <v>90</v>
      </c>
      <c r="E114" s="7">
        <v>36</v>
      </c>
      <c r="F114" s="7">
        <f t="shared" si="3"/>
        <v>126</v>
      </c>
      <c r="G114" s="8">
        <f t="shared" si="4"/>
        <v>0.7142857142857143</v>
      </c>
      <c r="H114" s="8">
        <f t="shared" si="5"/>
        <v>0.2857142857142857</v>
      </c>
      <c r="I114" s="6" t="s">
        <v>30</v>
      </c>
    </row>
    <row r="115" spans="1:9" ht="14.25" customHeight="1" x14ac:dyDescent="0.2">
      <c r="A115" s="6" t="s">
        <v>95</v>
      </c>
      <c r="B115" s="6" t="s">
        <v>97</v>
      </c>
      <c r="C115" s="6" t="s">
        <v>149</v>
      </c>
      <c r="D115" s="7">
        <v>104</v>
      </c>
      <c r="E115" s="7">
        <v>45</v>
      </c>
      <c r="F115" s="7">
        <f t="shared" si="3"/>
        <v>149</v>
      </c>
      <c r="G115" s="8">
        <f t="shared" si="4"/>
        <v>0.69798657718120805</v>
      </c>
      <c r="H115" s="8">
        <f t="shared" si="5"/>
        <v>0.30201342281879195</v>
      </c>
      <c r="I115" s="6" t="s">
        <v>30</v>
      </c>
    </row>
    <row r="116" spans="1:9" ht="14.25" customHeight="1" x14ac:dyDescent="0.2">
      <c r="A116" s="6" t="s">
        <v>95</v>
      </c>
      <c r="B116" s="6" t="s">
        <v>97</v>
      </c>
      <c r="C116" s="6" t="s">
        <v>150</v>
      </c>
      <c r="D116" s="7">
        <v>174</v>
      </c>
      <c r="E116" s="7">
        <v>70</v>
      </c>
      <c r="F116" s="7">
        <f t="shared" si="3"/>
        <v>244</v>
      </c>
      <c r="G116" s="8">
        <f t="shared" si="4"/>
        <v>0.71311475409836067</v>
      </c>
      <c r="H116" s="8">
        <f t="shared" si="5"/>
        <v>0.28688524590163933</v>
      </c>
      <c r="I116" s="6" t="s">
        <v>30</v>
      </c>
    </row>
    <row r="117" spans="1:9" ht="14.25" customHeight="1" x14ac:dyDescent="0.2">
      <c r="A117" s="6" t="s">
        <v>95</v>
      </c>
      <c r="B117" s="6" t="s">
        <v>97</v>
      </c>
      <c r="C117" s="6" t="s">
        <v>151</v>
      </c>
      <c r="D117" s="7">
        <v>335</v>
      </c>
      <c r="E117" s="7">
        <v>162</v>
      </c>
      <c r="F117" s="7">
        <f t="shared" si="3"/>
        <v>497</v>
      </c>
      <c r="G117" s="8">
        <f t="shared" si="4"/>
        <v>0.67404426559356134</v>
      </c>
      <c r="H117" s="8">
        <f t="shared" si="5"/>
        <v>0.32595573440643866</v>
      </c>
      <c r="I117" s="6" t="s">
        <v>30</v>
      </c>
    </row>
    <row r="118" spans="1:9" ht="14.25" customHeight="1" x14ac:dyDescent="0.2">
      <c r="A118" s="6" t="s">
        <v>95</v>
      </c>
      <c r="B118" s="6" t="s">
        <v>97</v>
      </c>
      <c r="C118" s="6" t="s">
        <v>152</v>
      </c>
      <c r="D118" s="7">
        <v>139</v>
      </c>
      <c r="E118" s="7">
        <v>72</v>
      </c>
      <c r="F118" s="7">
        <f t="shared" si="3"/>
        <v>211</v>
      </c>
      <c r="G118" s="8">
        <f t="shared" si="4"/>
        <v>0.65876777251184837</v>
      </c>
      <c r="H118" s="8">
        <f t="shared" si="5"/>
        <v>0.34123222748815168</v>
      </c>
      <c r="I118" s="6" t="s">
        <v>30</v>
      </c>
    </row>
    <row r="119" spans="1:9" ht="14.25" customHeight="1" x14ac:dyDescent="0.2">
      <c r="A119" s="6" t="s">
        <v>95</v>
      </c>
      <c r="B119" s="6" t="s">
        <v>97</v>
      </c>
      <c r="C119" s="6" t="s">
        <v>153</v>
      </c>
      <c r="D119" s="7">
        <v>156</v>
      </c>
      <c r="E119" s="7">
        <v>76</v>
      </c>
      <c r="F119" s="7">
        <f t="shared" si="3"/>
        <v>232</v>
      </c>
      <c r="G119" s="8">
        <f t="shared" si="4"/>
        <v>0.67241379310344829</v>
      </c>
      <c r="H119" s="8">
        <f t="shared" si="5"/>
        <v>0.32758620689655171</v>
      </c>
      <c r="I119" s="6" t="s">
        <v>30</v>
      </c>
    </row>
    <row r="120" spans="1:9" ht="14.25" customHeight="1" x14ac:dyDescent="0.2">
      <c r="A120" s="6" t="s">
        <v>95</v>
      </c>
      <c r="B120" s="6" t="s">
        <v>97</v>
      </c>
      <c r="C120" s="6" t="s">
        <v>154</v>
      </c>
      <c r="D120" s="7">
        <v>265</v>
      </c>
      <c r="E120" s="7">
        <v>170</v>
      </c>
      <c r="F120" s="7">
        <f t="shared" si="3"/>
        <v>435</v>
      </c>
      <c r="G120" s="8">
        <f t="shared" si="4"/>
        <v>0.60919540229885061</v>
      </c>
      <c r="H120" s="8">
        <f t="shared" si="5"/>
        <v>0.39080459770114945</v>
      </c>
      <c r="I120" s="6" t="s">
        <v>30</v>
      </c>
    </row>
    <row r="121" spans="1:9" ht="14.25" customHeight="1" x14ac:dyDescent="0.2">
      <c r="A121" s="6" t="s">
        <v>95</v>
      </c>
      <c r="B121" s="6" t="s">
        <v>97</v>
      </c>
      <c r="C121" s="6" t="s">
        <v>155</v>
      </c>
      <c r="D121" s="7">
        <v>199</v>
      </c>
      <c r="E121" s="7">
        <v>93</v>
      </c>
      <c r="F121" s="7">
        <f t="shared" si="3"/>
        <v>292</v>
      </c>
      <c r="G121" s="8">
        <f t="shared" si="4"/>
        <v>0.68150684931506844</v>
      </c>
      <c r="H121" s="8">
        <f t="shared" si="5"/>
        <v>0.3184931506849315</v>
      </c>
      <c r="I121" s="6" t="s">
        <v>30</v>
      </c>
    </row>
    <row r="122" spans="1:9" ht="14.25" customHeight="1" x14ac:dyDescent="0.2">
      <c r="A122" s="6" t="s">
        <v>95</v>
      </c>
      <c r="B122" s="6" t="s">
        <v>156</v>
      </c>
      <c r="C122" s="6" t="s">
        <v>157</v>
      </c>
      <c r="D122" s="7">
        <v>405</v>
      </c>
      <c r="E122" s="7">
        <v>177</v>
      </c>
      <c r="F122" s="7">
        <f t="shared" si="3"/>
        <v>582</v>
      </c>
      <c r="G122" s="8">
        <f t="shared" si="4"/>
        <v>0.69587628865979378</v>
      </c>
      <c r="H122" s="8">
        <f t="shared" si="5"/>
        <v>0.30412371134020616</v>
      </c>
      <c r="I122" s="6" t="s">
        <v>30</v>
      </c>
    </row>
    <row r="123" spans="1:9" ht="14.25" customHeight="1" x14ac:dyDescent="0.2">
      <c r="A123" s="6" t="s">
        <v>95</v>
      </c>
      <c r="B123" s="6" t="s">
        <v>156</v>
      </c>
      <c r="C123" s="6" t="s">
        <v>158</v>
      </c>
      <c r="D123" s="7">
        <v>311</v>
      </c>
      <c r="E123" s="7">
        <v>162</v>
      </c>
      <c r="F123" s="7">
        <f t="shared" si="3"/>
        <v>473</v>
      </c>
      <c r="G123" s="8">
        <f t="shared" si="4"/>
        <v>0.65750528541226216</v>
      </c>
      <c r="H123" s="8">
        <f t="shared" si="5"/>
        <v>0.34249471458773784</v>
      </c>
      <c r="I123" s="6" t="s">
        <v>30</v>
      </c>
    </row>
    <row r="124" spans="1:9" ht="14.25" customHeight="1" x14ac:dyDescent="0.2">
      <c r="A124" s="6" t="s">
        <v>95</v>
      </c>
      <c r="B124" s="6" t="s">
        <v>156</v>
      </c>
      <c r="C124" s="6" t="s">
        <v>159</v>
      </c>
      <c r="D124" s="7">
        <v>328</v>
      </c>
      <c r="E124" s="7">
        <v>138</v>
      </c>
      <c r="F124" s="7">
        <f t="shared" si="3"/>
        <v>466</v>
      </c>
      <c r="G124" s="8">
        <f t="shared" si="4"/>
        <v>0.70386266094420602</v>
      </c>
      <c r="H124" s="8">
        <f t="shared" si="5"/>
        <v>0.29613733905579398</v>
      </c>
      <c r="I124" s="6" t="s">
        <v>30</v>
      </c>
    </row>
    <row r="125" spans="1:9" ht="14.25" customHeight="1" x14ac:dyDescent="0.2">
      <c r="A125" s="6" t="s">
        <v>95</v>
      </c>
      <c r="B125" s="6" t="s">
        <v>156</v>
      </c>
      <c r="C125" s="6" t="s">
        <v>160</v>
      </c>
      <c r="D125" s="7">
        <v>402</v>
      </c>
      <c r="E125" s="7">
        <v>187</v>
      </c>
      <c r="F125" s="7">
        <f t="shared" si="3"/>
        <v>589</v>
      </c>
      <c r="G125" s="8">
        <f t="shared" si="4"/>
        <v>0.68251273344651953</v>
      </c>
      <c r="H125" s="8">
        <f t="shared" si="5"/>
        <v>0.31748726655348047</v>
      </c>
      <c r="I125" s="6" t="s">
        <v>30</v>
      </c>
    </row>
    <row r="126" spans="1:9" ht="14.25" customHeight="1" x14ac:dyDescent="0.2">
      <c r="A126" s="6" t="s">
        <v>95</v>
      </c>
      <c r="B126" s="6" t="s">
        <v>156</v>
      </c>
      <c r="C126" s="6" t="s">
        <v>161</v>
      </c>
      <c r="D126" s="7">
        <v>564</v>
      </c>
      <c r="E126" s="7">
        <v>328</v>
      </c>
      <c r="F126" s="7">
        <f t="shared" si="3"/>
        <v>892</v>
      </c>
      <c r="G126" s="8">
        <f t="shared" si="4"/>
        <v>0.63228699551569512</v>
      </c>
      <c r="H126" s="8">
        <f t="shared" si="5"/>
        <v>0.36771300448430494</v>
      </c>
      <c r="I126" s="6" t="s">
        <v>30</v>
      </c>
    </row>
    <row r="127" spans="1:9" ht="14.25" customHeight="1" x14ac:dyDescent="0.2">
      <c r="A127" s="6" t="s">
        <v>95</v>
      </c>
      <c r="B127" s="6" t="s">
        <v>156</v>
      </c>
      <c r="C127" s="6" t="s">
        <v>162</v>
      </c>
      <c r="D127" s="7">
        <v>382</v>
      </c>
      <c r="E127" s="7">
        <v>243</v>
      </c>
      <c r="F127" s="7">
        <f t="shared" si="3"/>
        <v>625</v>
      </c>
      <c r="G127" s="8">
        <f t="shared" si="4"/>
        <v>0.61119999999999997</v>
      </c>
      <c r="H127" s="8">
        <f t="shared" si="5"/>
        <v>0.38879999999999998</v>
      </c>
      <c r="I127" s="6" t="s">
        <v>30</v>
      </c>
    </row>
    <row r="128" spans="1:9" ht="14.25" customHeight="1" x14ac:dyDescent="0.2">
      <c r="A128" s="6" t="s">
        <v>95</v>
      </c>
      <c r="B128" s="6" t="s">
        <v>156</v>
      </c>
      <c r="C128" s="6" t="s">
        <v>163</v>
      </c>
      <c r="D128" s="7">
        <v>478</v>
      </c>
      <c r="E128" s="7">
        <v>331</v>
      </c>
      <c r="F128" s="7">
        <f t="shared" si="3"/>
        <v>809</v>
      </c>
      <c r="G128" s="8">
        <f t="shared" si="4"/>
        <v>0.59085290482076636</v>
      </c>
      <c r="H128" s="8">
        <f t="shared" si="5"/>
        <v>0.40914709517923364</v>
      </c>
      <c r="I128" s="6" t="s">
        <v>30</v>
      </c>
    </row>
    <row r="129" spans="1:9" ht="14.25" customHeight="1" x14ac:dyDescent="0.2">
      <c r="A129" s="6" t="s">
        <v>95</v>
      </c>
      <c r="B129" s="6" t="s">
        <v>156</v>
      </c>
      <c r="C129" s="6" t="s">
        <v>164</v>
      </c>
      <c r="D129" s="7">
        <v>581</v>
      </c>
      <c r="E129" s="7">
        <v>378</v>
      </c>
      <c r="F129" s="7">
        <f t="shared" si="3"/>
        <v>959</v>
      </c>
      <c r="G129" s="8">
        <f t="shared" si="4"/>
        <v>0.6058394160583942</v>
      </c>
      <c r="H129" s="8">
        <f t="shared" si="5"/>
        <v>0.39416058394160586</v>
      </c>
      <c r="I129" s="6" t="s">
        <v>30</v>
      </c>
    </row>
    <row r="130" spans="1:9" ht="14.25" customHeight="1" x14ac:dyDescent="0.2">
      <c r="A130" s="6" t="s">
        <v>95</v>
      </c>
      <c r="B130" s="6" t="s">
        <v>156</v>
      </c>
      <c r="C130" s="6" t="s">
        <v>165</v>
      </c>
      <c r="D130" s="7">
        <v>407</v>
      </c>
      <c r="E130" s="7">
        <v>270</v>
      </c>
      <c r="F130" s="7">
        <f t="shared" si="3"/>
        <v>677</v>
      </c>
      <c r="G130" s="8">
        <f t="shared" si="4"/>
        <v>0.60118168389955684</v>
      </c>
      <c r="H130" s="8">
        <f t="shared" si="5"/>
        <v>0.3988183161004431</v>
      </c>
      <c r="I130" s="6" t="s">
        <v>30</v>
      </c>
    </row>
    <row r="131" spans="1:9" ht="14.25" customHeight="1" x14ac:dyDescent="0.2">
      <c r="A131" s="6" t="s">
        <v>95</v>
      </c>
      <c r="B131" s="6" t="s">
        <v>156</v>
      </c>
      <c r="C131" s="6" t="s">
        <v>166</v>
      </c>
      <c r="D131" s="7">
        <v>357</v>
      </c>
      <c r="E131" s="7">
        <v>289</v>
      </c>
      <c r="F131" s="7">
        <f t="shared" si="3"/>
        <v>646</v>
      </c>
      <c r="G131" s="8">
        <f t="shared" si="4"/>
        <v>0.55263157894736847</v>
      </c>
      <c r="H131" s="8">
        <f t="shared" si="5"/>
        <v>0.44736842105263158</v>
      </c>
      <c r="I131" s="6" t="s">
        <v>30</v>
      </c>
    </row>
    <row r="132" spans="1:9" ht="14.25" customHeight="1" x14ac:dyDescent="0.2">
      <c r="A132" s="6" t="s">
        <v>95</v>
      </c>
      <c r="B132" s="6" t="s">
        <v>156</v>
      </c>
      <c r="C132" s="6" t="s">
        <v>167</v>
      </c>
      <c r="D132" s="7">
        <v>407</v>
      </c>
      <c r="E132" s="7">
        <v>253</v>
      </c>
      <c r="F132" s="7">
        <f t="shared" si="3"/>
        <v>660</v>
      </c>
      <c r="G132" s="8">
        <f t="shared" si="4"/>
        <v>0.6166666666666667</v>
      </c>
      <c r="H132" s="8">
        <f t="shared" si="5"/>
        <v>0.38333333333333336</v>
      </c>
      <c r="I132" s="6" t="s">
        <v>30</v>
      </c>
    </row>
    <row r="133" spans="1:9" ht="14.25" customHeight="1" x14ac:dyDescent="0.2">
      <c r="A133" s="6" t="s">
        <v>95</v>
      </c>
      <c r="B133" s="6" t="s">
        <v>156</v>
      </c>
      <c r="C133" s="6" t="s">
        <v>168</v>
      </c>
      <c r="D133" s="7">
        <v>434</v>
      </c>
      <c r="E133" s="7">
        <v>302</v>
      </c>
      <c r="F133" s="7">
        <f t="shared" si="3"/>
        <v>736</v>
      </c>
      <c r="G133" s="8">
        <f t="shared" si="4"/>
        <v>0.58967391304347827</v>
      </c>
      <c r="H133" s="8">
        <f t="shared" si="5"/>
        <v>0.41032608695652173</v>
      </c>
      <c r="I133" s="6" t="s">
        <v>30</v>
      </c>
    </row>
    <row r="134" spans="1:9" ht="14.25" customHeight="1" x14ac:dyDescent="0.2">
      <c r="A134" s="6" t="s">
        <v>95</v>
      </c>
      <c r="B134" s="6" t="s">
        <v>169</v>
      </c>
      <c r="C134" s="6" t="s">
        <v>170</v>
      </c>
      <c r="D134" s="7">
        <v>404</v>
      </c>
      <c r="E134" s="7">
        <v>307</v>
      </c>
      <c r="F134" s="7">
        <f t="shared" si="3"/>
        <v>711</v>
      </c>
      <c r="G134" s="8">
        <f t="shared" si="4"/>
        <v>0.5682137834036568</v>
      </c>
      <c r="H134" s="8">
        <f t="shared" si="5"/>
        <v>0.4317862165963432</v>
      </c>
      <c r="I134" s="6" t="s">
        <v>30</v>
      </c>
    </row>
    <row r="135" spans="1:9" ht="14.25" customHeight="1" x14ac:dyDescent="0.2">
      <c r="A135" s="6" t="s">
        <v>95</v>
      </c>
      <c r="B135" s="6" t="s">
        <v>169</v>
      </c>
      <c r="C135" s="6" t="s">
        <v>171</v>
      </c>
      <c r="D135" s="7">
        <v>363</v>
      </c>
      <c r="E135" s="7">
        <v>401</v>
      </c>
      <c r="F135" s="7">
        <f t="shared" si="3"/>
        <v>764</v>
      </c>
      <c r="G135" s="8">
        <f t="shared" si="4"/>
        <v>0.47513089005235604</v>
      </c>
      <c r="H135" s="8">
        <f t="shared" si="5"/>
        <v>0.52486910994764402</v>
      </c>
      <c r="I135" s="6" t="s">
        <v>30</v>
      </c>
    </row>
    <row r="136" spans="1:9" ht="14.25" customHeight="1" x14ac:dyDescent="0.2">
      <c r="A136" s="6" t="s">
        <v>95</v>
      </c>
      <c r="B136" s="6" t="s">
        <v>169</v>
      </c>
      <c r="C136" s="6" t="s">
        <v>172</v>
      </c>
      <c r="D136" s="7">
        <v>442</v>
      </c>
      <c r="E136" s="7">
        <v>431</v>
      </c>
      <c r="F136" s="7">
        <f t="shared" si="3"/>
        <v>873</v>
      </c>
      <c r="G136" s="8">
        <f t="shared" si="4"/>
        <v>0.50630011454753721</v>
      </c>
      <c r="H136" s="8">
        <f t="shared" si="5"/>
        <v>0.49369988545246279</v>
      </c>
      <c r="I136" s="6" t="s">
        <v>30</v>
      </c>
    </row>
    <row r="137" spans="1:9" ht="14.25" customHeight="1" x14ac:dyDescent="0.2">
      <c r="A137" s="6" t="s">
        <v>95</v>
      </c>
      <c r="B137" s="6" t="s">
        <v>173</v>
      </c>
      <c r="C137" s="6" t="s">
        <v>173</v>
      </c>
      <c r="D137" s="7">
        <v>650</v>
      </c>
      <c r="E137" s="7">
        <v>668</v>
      </c>
      <c r="F137" s="7">
        <f t="shared" si="3"/>
        <v>1318</v>
      </c>
      <c r="G137" s="8">
        <f t="shared" si="4"/>
        <v>0.49317147192716237</v>
      </c>
      <c r="H137" s="8">
        <f t="shared" si="5"/>
        <v>0.50682852807283763</v>
      </c>
      <c r="I137" s="6" t="s">
        <v>30</v>
      </c>
    </row>
    <row r="138" spans="1:9" ht="14.25" customHeight="1" x14ac:dyDescent="0.2">
      <c r="A138" s="6" t="s">
        <v>95</v>
      </c>
      <c r="B138" s="6" t="s">
        <v>174</v>
      </c>
      <c r="C138" s="6" t="s">
        <v>175</v>
      </c>
      <c r="D138" s="7">
        <v>289</v>
      </c>
      <c r="E138" s="7">
        <v>286</v>
      </c>
      <c r="F138" s="7">
        <f t="shared" si="3"/>
        <v>575</v>
      </c>
      <c r="G138" s="8">
        <f t="shared" si="4"/>
        <v>0.50260869565217392</v>
      </c>
      <c r="H138" s="8">
        <f t="shared" si="5"/>
        <v>0.49739130434782608</v>
      </c>
      <c r="I138" s="6" t="s">
        <v>30</v>
      </c>
    </row>
    <row r="139" spans="1:9" ht="14.25" customHeight="1" x14ac:dyDescent="0.2">
      <c r="A139" s="6" t="s">
        <v>95</v>
      </c>
      <c r="B139" s="6" t="s">
        <v>174</v>
      </c>
      <c r="C139" s="6" t="s">
        <v>176</v>
      </c>
      <c r="D139" s="7">
        <v>411</v>
      </c>
      <c r="E139" s="7">
        <v>394</v>
      </c>
      <c r="F139" s="7">
        <f t="shared" si="3"/>
        <v>805</v>
      </c>
      <c r="G139" s="8">
        <f t="shared" si="4"/>
        <v>0.51055900621118011</v>
      </c>
      <c r="H139" s="8">
        <f t="shared" si="5"/>
        <v>0.48944099378881989</v>
      </c>
      <c r="I139" s="6" t="s">
        <v>30</v>
      </c>
    </row>
    <row r="140" spans="1:9" ht="14.25" customHeight="1" x14ac:dyDescent="0.2">
      <c r="A140" s="6" t="s">
        <v>95</v>
      </c>
      <c r="B140" s="6" t="s">
        <v>177</v>
      </c>
      <c r="C140" s="6" t="s">
        <v>178</v>
      </c>
      <c r="D140" s="7">
        <v>464</v>
      </c>
      <c r="E140" s="7">
        <v>426</v>
      </c>
      <c r="F140" s="7">
        <f t="shared" ref="F140:F203" si="6">IF(COUNTA(D140:E140)=0,"",SUM(D140:E140))</f>
        <v>890</v>
      </c>
      <c r="G140" s="8">
        <f t="shared" ref="G140:G203" si="7">IF(OR(F140="",F140=0),"",D140/F140)</f>
        <v>0.52134831460674158</v>
      </c>
      <c r="H140" s="8">
        <f t="shared" ref="H140:H203" si="8">IF(OR(F140="",F140=0),"",E140/F140)</f>
        <v>0.47865168539325842</v>
      </c>
      <c r="I140" s="6" t="s">
        <v>30</v>
      </c>
    </row>
    <row r="141" spans="1:9" ht="14.25" customHeight="1" x14ac:dyDescent="0.2">
      <c r="A141" s="6" t="s">
        <v>95</v>
      </c>
      <c r="B141" s="6" t="s">
        <v>177</v>
      </c>
      <c r="C141" s="6" t="s">
        <v>179</v>
      </c>
      <c r="D141" s="7">
        <v>483</v>
      </c>
      <c r="E141" s="7">
        <v>424</v>
      </c>
      <c r="F141" s="7">
        <f t="shared" si="6"/>
        <v>907</v>
      </c>
      <c r="G141" s="8">
        <f t="shared" si="7"/>
        <v>0.53252480705622929</v>
      </c>
      <c r="H141" s="8">
        <f t="shared" si="8"/>
        <v>0.46747519294377066</v>
      </c>
      <c r="I141" s="6" t="s">
        <v>30</v>
      </c>
    </row>
    <row r="142" spans="1:9" ht="14.25" customHeight="1" x14ac:dyDescent="0.2">
      <c r="A142" s="6" t="s">
        <v>95</v>
      </c>
      <c r="B142" s="6" t="s">
        <v>177</v>
      </c>
      <c r="C142" s="6" t="s">
        <v>180</v>
      </c>
      <c r="D142" s="7">
        <v>600</v>
      </c>
      <c r="E142" s="7">
        <v>575</v>
      </c>
      <c r="F142" s="7">
        <f t="shared" si="6"/>
        <v>1175</v>
      </c>
      <c r="G142" s="8">
        <f t="shared" si="7"/>
        <v>0.51063829787234039</v>
      </c>
      <c r="H142" s="8">
        <f t="shared" si="8"/>
        <v>0.48936170212765956</v>
      </c>
      <c r="I142" s="6" t="s">
        <v>30</v>
      </c>
    </row>
    <row r="143" spans="1:9" ht="14.25" customHeight="1" x14ac:dyDescent="0.2">
      <c r="A143" s="6" t="s">
        <v>95</v>
      </c>
      <c r="B143" s="6" t="s">
        <v>177</v>
      </c>
      <c r="C143" s="6" t="s">
        <v>181</v>
      </c>
      <c r="D143" s="7">
        <v>528</v>
      </c>
      <c r="E143" s="7">
        <v>464</v>
      </c>
      <c r="F143" s="7">
        <f t="shared" si="6"/>
        <v>992</v>
      </c>
      <c r="G143" s="8">
        <f t="shared" si="7"/>
        <v>0.532258064516129</v>
      </c>
      <c r="H143" s="8">
        <f t="shared" si="8"/>
        <v>0.46774193548387094</v>
      </c>
      <c r="I143" s="6" t="s">
        <v>30</v>
      </c>
    </row>
    <row r="144" spans="1:9" ht="14.25" customHeight="1" x14ac:dyDescent="0.2">
      <c r="A144" s="6" t="s">
        <v>95</v>
      </c>
      <c r="B144" s="6" t="s">
        <v>177</v>
      </c>
      <c r="C144" s="6" t="s">
        <v>182</v>
      </c>
      <c r="D144" s="7">
        <v>296</v>
      </c>
      <c r="E144" s="7">
        <v>290</v>
      </c>
      <c r="F144" s="7">
        <f t="shared" si="6"/>
        <v>586</v>
      </c>
      <c r="G144" s="8">
        <f t="shared" si="7"/>
        <v>0.50511945392491464</v>
      </c>
      <c r="H144" s="8">
        <f t="shared" si="8"/>
        <v>0.4948805460750853</v>
      </c>
      <c r="I144" s="6" t="s">
        <v>30</v>
      </c>
    </row>
    <row r="145" spans="1:9" ht="14.25" customHeight="1" x14ac:dyDescent="0.2">
      <c r="A145" s="6" t="s">
        <v>95</v>
      </c>
      <c r="B145" s="6" t="s">
        <v>177</v>
      </c>
      <c r="C145" s="6" t="s">
        <v>183</v>
      </c>
      <c r="D145" s="7">
        <v>614</v>
      </c>
      <c r="E145" s="7">
        <v>464</v>
      </c>
      <c r="F145" s="7">
        <f t="shared" si="6"/>
        <v>1078</v>
      </c>
      <c r="G145" s="8">
        <f t="shared" si="7"/>
        <v>0.56957328385899819</v>
      </c>
      <c r="H145" s="8">
        <f t="shared" si="8"/>
        <v>0.43042671614100186</v>
      </c>
      <c r="I145" s="6" t="s">
        <v>30</v>
      </c>
    </row>
    <row r="146" spans="1:9" ht="14.25" customHeight="1" x14ac:dyDescent="0.2">
      <c r="A146" s="6" t="s">
        <v>95</v>
      </c>
      <c r="B146" s="6" t="s">
        <v>184</v>
      </c>
      <c r="C146" s="6" t="s">
        <v>185</v>
      </c>
      <c r="D146" s="7">
        <v>373</v>
      </c>
      <c r="E146" s="7">
        <v>199</v>
      </c>
      <c r="F146" s="7">
        <f t="shared" si="6"/>
        <v>572</v>
      </c>
      <c r="G146" s="8">
        <f t="shared" si="7"/>
        <v>0.65209790209790208</v>
      </c>
      <c r="H146" s="8">
        <f t="shared" si="8"/>
        <v>0.34790209790209792</v>
      </c>
      <c r="I146" s="6" t="s">
        <v>30</v>
      </c>
    </row>
    <row r="147" spans="1:9" ht="14.25" customHeight="1" x14ac:dyDescent="0.2">
      <c r="A147" s="6" t="s">
        <v>95</v>
      </c>
      <c r="B147" s="6" t="s">
        <v>184</v>
      </c>
      <c r="C147" s="6" t="s">
        <v>186</v>
      </c>
      <c r="D147" s="7">
        <v>300</v>
      </c>
      <c r="E147" s="7">
        <v>172</v>
      </c>
      <c r="F147" s="7">
        <f t="shared" si="6"/>
        <v>472</v>
      </c>
      <c r="G147" s="8">
        <f t="shared" si="7"/>
        <v>0.63559322033898302</v>
      </c>
      <c r="H147" s="8">
        <f t="shared" si="8"/>
        <v>0.36440677966101692</v>
      </c>
      <c r="I147" s="6" t="s">
        <v>30</v>
      </c>
    </row>
    <row r="148" spans="1:9" ht="14.25" customHeight="1" x14ac:dyDescent="0.2">
      <c r="A148" s="6" t="s">
        <v>95</v>
      </c>
      <c r="B148" s="6" t="s">
        <v>184</v>
      </c>
      <c r="C148" s="6" t="s">
        <v>187</v>
      </c>
      <c r="D148" s="7">
        <v>318</v>
      </c>
      <c r="E148" s="7">
        <v>195</v>
      </c>
      <c r="F148" s="7">
        <f t="shared" si="6"/>
        <v>513</v>
      </c>
      <c r="G148" s="8">
        <f t="shared" si="7"/>
        <v>0.61988304093567248</v>
      </c>
      <c r="H148" s="8">
        <f t="shared" si="8"/>
        <v>0.38011695906432746</v>
      </c>
      <c r="I148" s="6" t="s">
        <v>30</v>
      </c>
    </row>
    <row r="149" spans="1:9" ht="14.25" customHeight="1" x14ac:dyDescent="0.2">
      <c r="A149" s="6" t="s">
        <v>95</v>
      </c>
      <c r="B149" s="6" t="s">
        <v>188</v>
      </c>
      <c r="C149" s="6" t="s">
        <v>188</v>
      </c>
      <c r="D149" s="7">
        <v>261</v>
      </c>
      <c r="E149" s="7">
        <v>231</v>
      </c>
      <c r="F149" s="7">
        <f t="shared" si="6"/>
        <v>492</v>
      </c>
      <c r="G149" s="8">
        <f t="shared" si="7"/>
        <v>0.53048780487804881</v>
      </c>
      <c r="H149" s="8">
        <f t="shared" si="8"/>
        <v>0.46951219512195119</v>
      </c>
      <c r="I149" s="6" t="s">
        <v>30</v>
      </c>
    </row>
    <row r="150" spans="1:9" ht="14.25" customHeight="1" x14ac:dyDescent="0.2">
      <c r="A150" s="6" t="s">
        <v>95</v>
      </c>
      <c r="B150" s="6" t="s">
        <v>189</v>
      </c>
      <c r="C150" s="6" t="s">
        <v>189</v>
      </c>
      <c r="D150" s="7">
        <v>538</v>
      </c>
      <c r="E150" s="7">
        <v>1212</v>
      </c>
      <c r="F150" s="7">
        <f t="shared" si="6"/>
        <v>1750</v>
      </c>
      <c r="G150" s="8">
        <f t="shared" si="7"/>
        <v>0.30742857142857144</v>
      </c>
      <c r="H150" s="8">
        <f t="shared" si="8"/>
        <v>0.69257142857142862</v>
      </c>
      <c r="I150" s="6" t="s">
        <v>30</v>
      </c>
    </row>
    <row r="151" spans="1:9" ht="14.25" customHeight="1" x14ac:dyDescent="0.2">
      <c r="A151" s="6" t="s">
        <v>95</v>
      </c>
      <c r="B151" s="6" t="s">
        <v>190</v>
      </c>
      <c r="C151" s="6" t="s">
        <v>191</v>
      </c>
      <c r="D151" s="7">
        <v>822</v>
      </c>
      <c r="E151" s="7">
        <v>837</v>
      </c>
      <c r="F151" s="7">
        <f t="shared" si="6"/>
        <v>1659</v>
      </c>
      <c r="G151" s="8">
        <f t="shared" si="7"/>
        <v>0.49547920433996384</v>
      </c>
      <c r="H151" s="8">
        <f t="shared" si="8"/>
        <v>0.50452079566003616</v>
      </c>
      <c r="I151" s="6" t="s">
        <v>30</v>
      </c>
    </row>
    <row r="152" spans="1:9" ht="14.25" customHeight="1" x14ac:dyDescent="0.2">
      <c r="A152" s="6" t="s">
        <v>95</v>
      </c>
      <c r="B152" s="6" t="s">
        <v>190</v>
      </c>
      <c r="C152" s="6" t="s">
        <v>192</v>
      </c>
      <c r="D152" s="7">
        <v>915</v>
      </c>
      <c r="E152" s="7">
        <v>887</v>
      </c>
      <c r="F152" s="7">
        <f t="shared" si="6"/>
        <v>1802</v>
      </c>
      <c r="G152" s="8">
        <f t="shared" si="7"/>
        <v>0.50776914539400664</v>
      </c>
      <c r="H152" s="8">
        <f t="shared" si="8"/>
        <v>0.49223085460599336</v>
      </c>
      <c r="I152" s="6" t="s">
        <v>30</v>
      </c>
    </row>
    <row r="153" spans="1:9" ht="14.25" customHeight="1" x14ac:dyDescent="0.2">
      <c r="A153" s="6" t="s">
        <v>95</v>
      </c>
      <c r="B153" s="6" t="s">
        <v>190</v>
      </c>
      <c r="C153" s="6" t="s">
        <v>193</v>
      </c>
      <c r="D153" s="7">
        <v>1587</v>
      </c>
      <c r="E153" s="7">
        <v>1568</v>
      </c>
      <c r="F153" s="7">
        <f t="shared" si="6"/>
        <v>3155</v>
      </c>
      <c r="G153" s="8">
        <f t="shared" si="7"/>
        <v>0.50301109350237716</v>
      </c>
      <c r="H153" s="8">
        <f t="shared" si="8"/>
        <v>0.49698890649762284</v>
      </c>
      <c r="I153" s="6" t="s">
        <v>30</v>
      </c>
    </row>
    <row r="154" spans="1:9" ht="14.25" customHeight="1" x14ac:dyDescent="0.2">
      <c r="A154" s="6" t="s">
        <v>95</v>
      </c>
      <c r="B154" s="6" t="s">
        <v>190</v>
      </c>
      <c r="C154" s="6" t="s">
        <v>194</v>
      </c>
      <c r="D154" s="7">
        <v>789</v>
      </c>
      <c r="E154" s="7">
        <v>799</v>
      </c>
      <c r="F154" s="7">
        <f t="shared" si="6"/>
        <v>1588</v>
      </c>
      <c r="G154" s="8">
        <f t="shared" si="7"/>
        <v>0.49685138539042822</v>
      </c>
      <c r="H154" s="8">
        <f t="shared" si="8"/>
        <v>0.50314861460957183</v>
      </c>
      <c r="I154" s="6" t="s">
        <v>30</v>
      </c>
    </row>
    <row r="155" spans="1:9" ht="14.25" customHeight="1" x14ac:dyDescent="0.2">
      <c r="A155" s="6" t="s">
        <v>95</v>
      </c>
      <c r="B155" s="6" t="s">
        <v>190</v>
      </c>
      <c r="C155" s="6" t="s">
        <v>195</v>
      </c>
      <c r="D155" s="7">
        <v>713</v>
      </c>
      <c r="E155" s="7">
        <v>743</v>
      </c>
      <c r="F155" s="7">
        <f t="shared" si="6"/>
        <v>1456</v>
      </c>
      <c r="G155" s="8">
        <f t="shared" si="7"/>
        <v>0.48969780219780218</v>
      </c>
      <c r="H155" s="8">
        <f t="shared" si="8"/>
        <v>0.51030219780219777</v>
      </c>
      <c r="I155" s="6" t="s">
        <v>30</v>
      </c>
    </row>
    <row r="156" spans="1:9" ht="14.25" customHeight="1" x14ac:dyDescent="0.2">
      <c r="A156" s="6" t="s">
        <v>95</v>
      </c>
      <c r="B156" s="6" t="s">
        <v>190</v>
      </c>
      <c r="C156" s="6" t="s">
        <v>196</v>
      </c>
      <c r="D156" s="7">
        <v>673</v>
      </c>
      <c r="E156" s="7">
        <v>642</v>
      </c>
      <c r="F156" s="7">
        <f t="shared" si="6"/>
        <v>1315</v>
      </c>
      <c r="G156" s="8">
        <f t="shared" si="7"/>
        <v>0.51178707224334596</v>
      </c>
      <c r="H156" s="8">
        <f t="shared" si="8"/>
        <v>0.48821292775665398</v>
      </c>
      <c r="I156" s="6" t="s">
        <v>30</v>
      </c>
    </row>
    <row r="157" spans="1:9" ht="14.25" customHeight="1" x14ac:dyDescent="0.2">
      <c r="A157" s="6" t="s">
        <v>95</v>
      </c>
      <c r="B157" s="6" t="s">
        <v>190</v>
      </c>
      <c r="C157" s="6" t="s">
        <v>197</v>
      </c>
      <c r="D157" s="7">
        <v>1287</v>
      </c>
      <c r="E157" s="7">
        <v>1317</v>
      </c>
      <c r="F157" s="7">
        <f t="shared" si="6"/>
        <v>2604</v>
      </c>
      <c r="G157" s="8">
        <f t="shared" si="7"/>
        <v>0.49423963133640553</v>
      </c>
      <c r="H157" s="8">
        <f t="shared" si="8"/>
        <v>0.50576036866359442</v>
      </c>
      <c r="I157" s="6" t="s">
        <v>30</v>
      </c>
    </row>
    <row r="158" spans="1:9" ht="14.25" customHeight="1" x14ac:dyDescent="0.2">
      <c r="A158" s="6" t="s">
        <v>95</v>
      </c>
      <c r="B158" s="6" t="s">
        <v>190</v>
      </c>
      <c r="C158" s="6" t="s">
        <v>198</v>
      </c>
      <c r="D158" s="7">
        <v>757</v>
      </c>
      <c r="E158" s="7">
        <v>678</v>
      </c>
      <c r="F158" s="7">
        <f t="shared" si="6"/>
        <v>1435</v>
      </c>
      <c r="G158" s="8">
        <f t="shared" si="7"/>
        <v>0.52752613240418122</v>
      </c>
      <c r="H158" s="8">
        <f t="shared" si="8"/>
        <v>0.47247386759581883</v>
      </c>
      <c r="I158" s="6" t="s">
        <v>30</v>
      </c>
    </row>
    <row r="159" spans="1:9" ht="14.25" customHeight="1" x14ac:dyDescent="0.2">
      <c r="A159" s="6" t="s">
        <v>95</v>
      </c>
      <c r="B159" s="6" t="s">
        <v>190</v>
      </c>
      <c r="C159" s="6" t="s">
        <v>199</v>
      </c>
      <c r="D159" s="7">
        <v>734</v>
      </c>
      <c r="E159" s="7">
        <v>699</v>
      </c>
      <c r="F159" s="7">
        <f t="shared" si="6"/>
        <v>1433</v>
      </c>
      <c r="G159" s="8">
        <f t="shared" si="7"/>
        <v>0.51221214235868806</v>
      </c>
      <c r="H159" s="8">
        <f t="shared" si="8"/>
        <v>0.48778785764131194</v>
      </c>
      <c r="I159" s="6" t="s">
        <v>30</v>
      </c>
    </row>
    <row r="160" spans="1:9" ht="14.25" customHeight="1" x14ac:dyDescent="0.2">
      <c r="A160" s="6" t="s">
        <v>95</v>
      </c>
      <c r="B160" s="6" t="s">
        <v>190</v>
      </c>
      <c r="C160" s="6" t="s">
        <v>200</v>
      </c>
      <c r="D160" s="7">
        <v>492</v>
      </c>
      <c r="E160" s="7">
        <v>478</v>
      </c>
      <c r="F160" s="7">
        <f t="shared" si="6"/>
        <v>970</v>
      </c>
      <c r="G160" s="8">
        <f t="shared" si="7"/>
        <v>0.5072164948453608</v>
      </c>
      <c r="H160" s="8">
        <f t="shared" si="8"/>
        <v>0.4927835051546392</v>
      </c>
      <c r="I160" s="6" t="s">
        <v>30</v>
      </c>
    </row>
    <row r="161" spans="1:9" ht="14.25" customHeight="1" x14ac:dyDescent="0.2">
      <c r="A161" s="6" t="s">
        <v>95</v>
      </c>
      <c r="B161" s="6" t="s">
        <v>201</v>
      </c>
      <c r="C161" s="6" t="s">
        <v>201</v>
      </c>
      <c r="D161" s="7">
        <v>906</v>
      </c>
      <c r="E161" s="7">
        <v>1527</v>
      </c>
      <c r="F161" s="7">
        <f t="shared" si="6"/>
        <v>2433</v>
      </c>
      <c r="G161" s="8">
        <f t="shared" si="7"/>
        <v>0.3723797780517879</v>
      </c>
      <c r="H161" s="8">
        <f t="shared" si="8"/>
        <v>0.6276202219482121</v>
      </c>
      <c r="I161" s="6" t="s">
        <v>30</v>
      </c>
    </row>
    <row r="162" spans="1:9" ht="14.25" customHeight="1" x14ac:dyDescent="0.2">
      <c r="A162" s="6" t="s">
        <v>95</v>
      </c>
      <c r="B162" s="6" t="s">
        <v>202</v>
      </c>
      <c r="C162" s="6" t="s">
        <v>202</v>
      </c>
      <c r="D162" s="7">
        <v>448</v>
      </c>
      <c r="E162" s="7">
        <v>884</v>
      </c>
      <c r="F162" s="7">
        <f t="shared" si="6"/>
        <v>1332</v>
      </c>
      <c r="G162" s="8">
        <f t="shared" si="7"/>
        <v>0.33633633633633636</v>
      </c>
      <c r="H162" s="8">
        <f t="shared" si="8"/>
        <v>0.66366366366366369</v>
      </c>
      <c r="I162" s="6" t="s">
        <v>30</v>
      </c>
    </row>
    <row r="163" spans="1:9" ht="14.25" customHeight="1" x14ac:dyDescent="0.2">
      <c r="A163" s="6" t="s">
        <v>95</v>
      </c>
      <c r="B163" s="6" t="s">
        <v>203</v>
      </c>
      <c r="C163" s="6" t="s">
        <v>204</v>
      </c>
      <c r="D163" s="7">
        <v>164</v>
      </c>
      <c r="E163" s="7">
        <v>417</v>
      </c>
      <c r="F163" s="7">
        <f t="shared" si="6"/>
        <v>581</v>
      </c>
      <c r="G163" s="8">
        <f t="shared" si="7"/>
        <v>0.28227194492254731</v>
      </c>
      <c r="H163" s="8">
        <f t="shared" si="8"/>
        <v>0.71772805507745263</v>
      </c>
      <c r="I163" s="6" t="s">
        <v>30</v>
      </c>
    </row>
    <row r="164" spans="1:9" ht="14.25" customHeight="1" x14ac:dyDescent="0.2">
      <c r="A164" s="6" t="s">
        <v>95</v>
      </c>
      <c r="B164" s="6" t="s">
        <v>203</v>
      </c>
      <c r="C164" s="6" t="s">
        <v>205</v>
      </c>
      <c r="D164" s="7">
        <v>130</v>
      </c>
      <c r="E164" s="7">
        <v>280</v>
      </c>
      <c r="F164" s="7">
        <f t="shared" si="6"/>
        <v>410</v>
      </c>
      <c r="G164" s="8">
        <f t="shared" si="7"/>
        <v>0.31707317073170732</v>
      </c>
      <c r="H164" s="8">
        <f t="shared" si="8"/>
        <v>0.68292682926829273</v>
      </c>
      <c r="I164" s="6" t="s">
        <v>30</v>
      </c>
    </row>
    <row r="165" spans="1:9" ht="14.25" customHeight="1" x14ac:dyDescent="0.2">
      <c r="A165" s="6" t="s">
        <v>95</v>
      </c>
      <c r="B165" s="6" t="s">
        <v>203</v>
      </c>
      <c r="C165" s="6" t="s">
        <v>206</v>
      </c>
      <c r="D165" s="7">
        <v>452</v>
      </c>
      <c r="E165" s="7">
        <v>933</v>
      </c>
      <c r="F165" s="7">
        <f t="shared" si="6"/>
        <v>1385</v>
      </c>
      <c r="G165" s="8">
        <f t="shared" si="7"/>
        <v>0.32635379061371839</v>
      </c>
      <c r="H165" s="8">
        <f t="shared" si="8"/>
        <v>0.67364620938628161</v>
      </c>
      <c r="I165" s="6" t="s">
        <v>30</v>
      </c>
    </row>
    <row r="166" spans="1:9" ht="14.25" customHeight="1" x14ac:dyDescent="0.2">
      <c r="A166" s="6" t="s">
        <v>95</v>
      </c>
      <c r="B166" s="6" t="s">
        <v>207</v>
      </c>
      <c r="C166" s="6" t="s">
        <v>207</v>
      </c>
      <c r="D166" s="7">
        <v>778</v>
      </c>
      <c r="E166" s="7">
        <v>716</v>
      </c>
      <c r="F166" s="7">
        <f t="shared" si="6"/>
        <v>1494</v>
      </c>
      <c r="G166" s="8">
        <f t="shared" si="7"/>
        <v>0.52074966532797862</v>
      </c>
      <c r="H166" s="8">
        <f t="shared" si="8"/>
        <v>0.47925033467202144</v>
      </c>
      <c r="I166" s="6" t="s">
        <v>30</v>
      </c>
    </row>
    <row r="167" spans="1:9" ht="14.25" customHeight="1" x14ac:dyDescent="0.2">
      <c r="A167" s="6" t="s">
        <v>95</v>
      </c>
      <c r="B167" s="6" t="s">
        <v>208</v>
      </c>
      <c r="C167" s="6" t="s">
        <v>209</v>
      </c>
      <c r="D167" s="7">
        <v>845</v>
      </c>
      <c r="E167" s="7">
        <v>1166</v>
      </c>
      <c r="F167" s="7">
        <f t="shared" si="6"/>
        <v>2011</v>
      </c>
      <c r="G167" s="8">
        <f t="shared" si="7"/>
        <v>0.42018896071606165</v>
      </c>
      <c r="H167" s="8">
        <f t="shared" si="8"/>
        <v>0.57981103928393829</v>
      </c>
      <c r="I167" s="6" t="s">
        <v>30</v>
      </c>
    </row>
    <row r="168" spans="1:9" ht="14.25" customHeight="1" x14ac:dyDescent="0.2">
      <c r="A168" s="6" t="s">
        <v>95</v>
      </c>
      <c r="B168" s="6" t="s">
        <v>208</v>
      </c>
      <c r="C168" s="6" t="s">
        <v>210</v>
      </c>
      <c r="D168" s="7">
        <v>729</v>
      </c>
      <c r="E168" s="7">
        <v>1121</v>
      </c>
      <c r="F168" s="7">
        <f t="shared" si="6"/>
        <v>1850</v>
      </c>
      <c r="G168" s="8">
        <f t="shared" si="7"/>
        <v>0.39405405405405408</v>
      </c>
      <c r="H168" s="8">
        <f t="shared" si="8"/>
        <v>0.60594594594594597</v>
      </c>
      <c r="I168" s="6" t="s">
        <v>30</v>
      </c>
    </row>
    <row r="169" spans="1:9" ht="14.25" customHeight="1" x14ac:dyDescent="0.2">
      <c r="A169" s="6" t="s">
        <v>95</v>
      </c>
      <c r="B169" s="6" t="s">
        <v>208</v>
      </c>
      <c r="C169" s="6" t="s">
        <v>211</v>
      </c>
      <c r="D169" s="7">
        <v>401</v>
      </c>
      <c r="E169" s="7">
        <v>613</v>
      </c>
      <c r="F169" s="7">
        <f t="shared" si="6"/>
        <v>1014</v>
      </c>
      <c r="G169" s="8">
        <f t="shared" si="7"/>
        <v>0.39546351084812625</v>
      </c>
      <c r="H169" s="8">
        <f t="shared" si="8"/>
        <v>0.60453648915187375</v>
      </c>
      <c r="I169" s="6" t="s">
        <v>30</v>
      </c>
    </row>
    <row r="170" spans="1:9" ht="14.25" customHeight="1" x14ac:dyDescent="0.2">
      <c r="A170" s="6" t="s">
        <v>95</v>
      </c>
      <c r="B170" s="6" t="s">
        <v>208</v>
      </c>
      <c r="C170" s="6" t="s">
        <v>212</v>
      </c>
      <c r="D170" s="7">
        <v>590</v>
      </c>
      <c r="E170" s="7">
        <v>865</v>
      </c>
      <c r="F170" s="7">
        <f t="shared" si="6"/>
        <v>1455</v>
      </c>
      <c r="G170" s="8">
        <f t="shared" si="7"/>
        <v>0.40549828178694158</v>
      </c>
      <c r="H170" s="8">
        <f t="shared" si="8"/>
        <v>0.59450171821305842</v>
      </c>
      <c r="I170" s="6" t="s">
        <v>30</v>
      </c>
    </row>
    <row r="171" spans="1:9" ht="14.25" customHeight="1" x14ac:dyDescent="0.2">
      <c r="A171" s="6" t="s">
        <v>95</v>
      </c>
      <c r="B171" s="6" t="s">
        <v>208</v>
      </c>
      <c r="C171" s="6" t="s">
        <v>213</v>
      </c>
      <c r="D171" s="7">
        <v>502</v>
      </c>
      <c r="E171" s="7">
        <v>794</v>
      </c>
      <c r="F171" s="7">
        <f t="shared" si="6"/>
        <v>1296</v>
      </c>
      <c r="G171" s="8">
        <f t="shared" si="7"/>
        <v>0.38734567901234568</v>
      </c>
      <c r="H171" s="8">
        <f t="shared" si="8"/>
        <v>0.61265432098765427</v>
      </c>
      <c r="I171" s="6" t="s">
        <v>30</v>
      </c>
    </row>
    <row r="172" spans="1:9" ht="14.25" customHeight="1" x14ac:dyDescent="0.2">
      <c r="A172" s="6" t="s">
        <v>95</v>
      </c>
      <c r="B172" s="6" t="s">
        <v>208</v>
      </c>
      <c r="C172" s="6" t="s">
        <v>214</v>
      </c>
      <c r="D172" s="7">
        <v>379</v>
      </c>
      <c r="E172" s="7">
        <v>532</v>
      </c>
      <c r="F172" s="7">
        <f t="shared" si="6"/>
        <v>911</v>
      </c>
      <c r="G172" s="8">
        <f t="shared" si="7"/>
        <v>0.41602634467618005</v>
      </c>
      <c r="H172" s="8">
        <f t="shared" si="8"/>
        <v>0.58397365532381995</v>
      </c>
      <c r="I172" s="6" t="s">
        <v>30</v>
      </c>
    </row>
    <row r="173" spans="1:9" ht="14.25" customHeight="1" x14ac:dyDescent="0.2">
      <c r="A173" s="6" t="s">
        <v>95</v>
      </c>
      <c r="B173" s="6" t="s">
        <v>215</v>
      </c>
      <c r="C173" s="6" t="s">
        <v>216</v>
      </c>
      <c r="D173" s="7">
        <v>540</v>
      </c>
      <c r="E173" s="7">
        <v>547</v>
      </c>
      <c r="F173" s="7">
        <f t="shared" si="6"/>
        <v>1087</v>
      </c>
      <c r="G173" s="8">
        <f t="shared" si="7"/>
        <v>0.49678012879484823</v>
      </c>
      <c r="H173" s="8">
        <f t="shared" si="8"/>
        <v>0.50321987120515177</v>
      </c>
      <c r="I173" s="6" t="s">
        <v>30</v>
      </c>
    </row>
    <row r="174" spans="1:9" ht="14.25" customHeight="1" x14ac:dyDescent="0.2">
      <c r="A174" s="6" t="s">
        <v>95</v>
      </c>
      <c r="B174" s="6" t="s">
        <v>215</v>
      </c>
      <c r="C174" s="6" t="s">
        <v>217</v>
      </c>
      <c r="D174" s="7">
        <v>638</v>
      </c>
      <c r="E174" s="7">
        <v>638</v>
      </c>
      <c r="F174" s="7">
        <f t="shared" si="6"/>
        <v>1276</v>
      </c>
      <c r="G174" s="8">
        <f t="shared" si="7"/>
        <v>0.5</v>
      </c>
      <c r="H174" s="8">
        <f t="shared" si="8"/>
        <v>0.5</v>
      </c>
      <c r="I174" s="6" t="s">
        <v>30</v>
      </c>
    </row>
    <row r="175" spans="1:9" ht="14.25" customHeight="1" x14ac:dyDescent="0.2">
      <c r="A175" s="6" t="s">
        <v>95</v>
      </c>
      <c r="B175" s="6" t="s">
        <v>215</v>
      </c>
      <c r="C175" s="6" t="s">
        <v>218</v>
      </c>
      <c r="D175" s="7">
        <v>295</v>
      </c>
      <c r="E175" s="7">
        <v>302</v>
      </c>
      <c r="F175" s="7">
        <f t="shared" si="6"/>
        <v>597</v>
      </c>
      <c r="G175" s="8">
        <f t="shared" si="7"/>
        <v>0.49413735343383586</v>
      </c>
      <c r="H175" s="8">
        <f t="shared" si="8"/>
        <v>0.5058626465661642</v>
      </c>
      <c r="I175" s="6" t="s">
        <v>30</v>
      </c>
    </row>
    <row r="176" spans="1:9" ht="14.25" customHeight="1" x14ac:dyDescent="0.2">
      <c r="A176" s="6" t="s">
        <v>95</v>
      </c>
      <c r="B176" s="6" t="s">
        <v>215</v>
      </c>
      <c r="C176" s="6" t="s">
        <v>219</v>
      </c>
      <c r="D176" s="7">
        <v>341</v>
      </c>
      <c r="E176" s="7">
        <v>344</v>
      </c>
      <c r="F176" s="7">
        <f t="shared" si="6"/>
        <v>685</v>
      </c>
      <c r="G176" s="8">
        <f t="shared" si="7"/>
        <v>0.49781021897810218</v>
      </c>
      <c r="H176" s="8">
        <f t="shared" si="8"/>
        <v>0.50218978102189782</v>
      </c>
      <c r="I176" s="6" t="s">
        <v>30</v>
      </c>
    </row>
    <row r="177" spans="1:9" ht="14.25" customHeight="1" x14ac:dyDescent="0.2">
      <c r="A177" s="6" t="s">
        <v>95</v>
      </c>
      <c r="B177" s="6" t="s">
        <v>215</v>
      </c>
      <c r="C177" s="6" t="s">
        <v>220</v>
      </c>
      <c r="D177" s="7">
        <v>464</v>
      </c>
      <c r="E177" s="7">
        <v>476</v>
      </c>
      <c r="F177" s="7">
        <f t="shared" si="6"/>
        <v>940</v>
      </c>
      <c r="G177" s="8">
        <f t="shared" si="7"/>
        <v>0.49361702127659574</v>
      </c>
      <c r="H177" s="8">
        <f t="shared" si="8"/>
        <v>0.50638297872340421</v>
      </c>
      <c r="I177" s="6" t="s">
        <v>30</v>
      </c>
    </row>
    <row r="178" spans="1:9" ht="14.25" customHeight="1" x14ac:dyDescent="0.2">
      <c r="A178" s="6" t="s">
        <v>95</v>
      </c>
      <c r="B178" s="6" t="s">
        <v>215</v>
      </c>
      <c r="C178" s="6" t="s">
        <v>221</v>
      </c>
      <c r="D178" s="7">
        <v>277</v>
      </c>
      <c r="E178" s="7">
        <v>306</v>
      </c>
      <c r="F178" s="7">
        <f t="shared" si="6"/>
        <v>583</v>
      </c>
      <c r="G178" s="8">
        <f t="shared" si="7"/>
        <v>0.47512864493996571</v>
      </c>
      <c r="H178" s="8">
        <f t="shared" si="8"/>
        <v>0.52487135506003435</v>
      </c>
      <c r="I178" s="6" t="s">
        <v>30</v>
      </c>
    </row>
    <row r="179" spans="1:9" ht="14.25" customHeight="1" x14ac:dyDescent="0.2">
      <c r="A179" s="6" t="s">
        <v>95</v>
      </c>
      <c r="B179" s="6" t="s">
        <v>215</v>
      </c>
      <c r="C179" s="6" t="s">
        <v>222</v>
      </c>
      <c r="D179" s="7">
        <v>370</v>
      </c>
      <c r="E179" s="7">
        <v>326</v>
      </c>
      <c r="F179" s="7">
        <f t="shared" si="6"/>
        <v>696</v>
      </c>
      <c r="G179" s="8">
        <f t="shared" si="7"/>
        <v>0.5316091954022989</v>
      </c>
      <c r="H179" s="8">
        <f t="shared" si="8"/>
        <v>0.46839080459770116</v>
      </c>
      <c r="I179" s="6" t="s">
        <v>30</v>
      </c>
    </row>
    <row r="180" spans="1:9" ht="14.25" customHeight="1" x14ac:dyDescent="0.2">
      <c r="A180" s="6" t="s">
        <v>95</v>
      </c>
      <c r="B180" s="6" t="s">
        <v>215</v>
      </c>
      <c r="C180" s="6" t="s">
        <v>223</v>
      </c>
      <c r="D180" s="7">
        <v>514</v>
      </c>
      <c r="E180" s="7">
        <v>492</v>
      </c>
      <c r="F180" s="7">
        <f t="shared" si="6"/>
        <v>1006</v>
      </c>
      <c r="G180" s="8">
        <f t="shared" si="7"/>
        <v>0.51093439363817095</v>
      </c>
      <c r="H180" s="8">
        <f t="shared" si="8"/>
        <v>0.48906560636182905</v>
      </c>
      <c r="I180" s="6" t="s">
        <v>30</v>
      </c>
    </row>
    <row r="181" spans="1:9" ht="14.25" customHeight="1" x14ac:dyDescent="0.2">
      <c r="A181" s="6" t="s">
        <v>95</v>
      </c>
      <c r="B181" s="6" t="s">
        <v>224</v>
      </c>
      <c r="C181" s="6" t="s">
        <v>225</v>
      </c>
      <c r="D181" s="7">
        <v>179</v>
      </c>
      <c r="E181" s="7">
        <v>261</v>
      </c>
      <c r="F181" s="7">
        <f t="shared" si="6"/>
        <v>440</v>
      </c>
      <c r="G181" s="8">
        <f t="shared" si="7"/>
        <v>0.4068181818181818</v>
      </c>
      <c r="H181" s="8">
        <f t="shared" si="8"/>
        <v>0.59318181818181814</v>
      </c>
      <c r="I181" s="6" t="s">
        <v>30</v>
      </c>
    </row>
    <row r="182" spans="1:9" ht="14.25" customHeight="1" x14ac:dyDescent="0.2">
      <c r="A182" s="6" t="s">
        <v>95</v>
      </c>
      <c r="B182" s="6" t="s">
        <v>224</v>
      </c>
      <c r="C182" s="6" t="s">
        <v>226</v>
      </c>
      <c r="D182" s="7">
        <v>137</v>
      </c>
      <c r="E182" s="7">
        <v>205</v>
      </c>
      <c r="F182" s="7">
        <f t="shared" si="6"/>
        <v>342</v>
      </c>
      <c r="G182" s="8">
        <f t="shared" si="7"/>
        <v>0.40058479532163743</v>
      </c>
      <c r="H182" s="8">
        <f t="shared" si="8"/>
        <v>0.59941520467836262</v>
      </c>
      <c r="I182" s="6" t="s">
        <v>30</v>
      </c>
    </row>
    <row r="183" spans="1:9" ht="14.25" customHeight="1" x14ac:dyDescent="0.2">
      <c r="A183" s="6" t="s">
        <v>95</v>
      </c>
      <c r="B183" s="6" t="s">
        <v>224</v>
      </c>
      <c r="C183" s="6" t="s">
        <v>227</v>
      </c>
      <c r="D183" s="7">
        <v>315</v>
      </c>
      <c r="E183" s="7">
        <v>457</v>
      </c>
      <c r="F183" s="7">
        <f t="shared" si="6"/>
        <v>772</v>
      </c>
      <c r="G183" s="8">
        <f t="shared" si="7"/>
        <v>0.40803108808290156</v>
      </c>
      <c r="H183" s="8">
        <f t="shared" si="8"/>
        <v>0.59196891191709844</v>
      </c>
      <c r="I183" s="6" t="s">
        <v>30</v>
      </c>
    </row>
    <row r="184" spans="1:9" ht="14.25" customHeight="1" x14ac:dyDescent="0.2">
      <c r="A184" s="6" t="s">
        <v>95</v>
      </c>
      <c r="B184" s="6" t="s">
        <v>228</v>
      </c>
      <c r="C184" s="6" t="s">
        <v>229</v>
      </c>
      <c r="D184" s="7">
        <v>767</v>
      </c>
      <c r="E184" s="7">
        <v>776</v>
      </c>
      <c r="F184" s="7">
        <f t="shared" si="6"/>
        <v>1543</v>
      </c>
      <c r="G184" s="8">
        <f t="shared" si="7"/>
        <v>0.4970836033700583</v>
      </c>
      <c r="H184" s="8">
        <f t="shared" si="8"/>
        <v>0.5029163966299417</v>
      </c>
      <c r="I184" s="6" t="s">
        <v>30</v>
      </c>
    </row>
    <row r="185" spans="1:9" ht="14.25" customHeight="1" x14ac:dyDescent="0.2">
      <c r="A185" s="6" t="s">
        <v>95</v>
      </c>
      <c r="B185" s="6" t="s">
        <v>228</v>
      </c>
      <c r="C185" s="6" t="s">
        <v>230</v>
      </c>
      <c r="D185" s="7">
        <v>369</v>
      </c>
      <c r="E185" s="7">
        <v>373</v>
      </c>
      <c r="F185" s="7">
        <f t="shared" si="6"/>
        <v>742</v>
      </c>
      <c r="G185" s="8">
        <f t="shared" si="7"/>
        <v>0.4973045822102426</v>
      </c>
      <c r="H185" s="8">
        <f t="shared" si="8"/>
        <v>0.50269541778975746</v>
      </c>
      <c r="I185" s="6" t="s">
        <v>30</v>
      </c>
    </row>
    <row r="186" spans="1:9" ht="14.25" customHeight="1" x14ac:dyDescent="0.2">
      <c r="A186" s="6" t="s">
        <v>95</v>
      </c>
      <c r="B186" s="6" t="s">
        <v>228</v>
      </c>
      <c r="C186" s="6" t="s">
        <v>231</v>
      </c>
      <c r="D186" s="7">
        <v>976</v>
      </c>
      <c r="E186" s="7">
        <v>800</v>
      </c>
      <c r="F186" s="7">
        <f t="shared" si="6"/>
        <v>1776</v>
      </c>
      <c r="G186" s="8">
        <f t="shared" si="7"/>
        <v>0.5495495495495496</v>
      </c>
      <c r="H186" s="8">
        <f t="shared" si="8"/>
        <v>0.45045045045045046</v>
      </c>
      <c r="I186" s="6" t="s">
        <v>30</v>
      </c>
    </row>
    <row r="187" spans="1:9" ht="14.25" customHeight="1" x14ac:dyDescent="0.2">
      <c r="A187" s="6" t="s">
        <v>95</v>
      </c>
      <c r="B187" s="6" t="s">
        <v>228</v>
      </c>
      <c r="C187" s="6" t="s">
        <v>232</v>
      </c>
      <c r="D187" s="7">
        <v>459</v>
      </c>
      <c r="E187" s="7">
        <v>462</v>
      </c>
      <c r="F187" s="7">
        <f t="shared" si="6"/>
        <v>921</v>
      </c>
      <c r="G187" s="8">
        <f t="shared" si="7"/>
        <v>0.49837133550488599</v>
      </c>
      <c r="H187" s="8">
        <f t="shared" si="8"/>
        <v>0.50162866449511401</v>
      </c>
      <c r="I187" s="6" t="s">
        <v>30</v>
      </c>
    </row>
    <row r="188" spans="1:9" ht="14.25" customHeight="1" x14ac:dyDescent="0.2">
      <c r="A188" s="6" t="s">
        <v>95</v>
      </c>
      <c r="B188" s="6" t="s">
        <v>228</v>
      </c>
      <c r="C188" s="6" t="s">
        <v>233</v>
      </c>
      <c r="D188" s="7">
        <v>900</v>
      </c>
      <c r="E188" s="7">
        <v>607</v>
      </c>
      <c r="F188" s="7">
        <f t="shared" si="6"/>
        <v>1507</v>
      </c>
      <c r="G188" s="8">
        <f t="shared" si="7"/>
        <v>0.59721300597213001</v>
      </c>
      <c r="H188" s="8">
        <f t="shared" si="8"/>
        <v>0.40278699402786994</v>
      </c>
      <c r="I188" s="6" t="s">
        <v>30</v>
      </c>
    </row>
    <row r="189" spans="1:9" ht="14.25" customHeight="1" x14ac:dyDescent="0.2">
      <c r="A189" s="6" t="s">
        <v>95</v>
      </c>
      <c r="B189" s="6" t="s">
        <v>228</v>
      </c>
      <c r="C189" s="6" t="s">
        <v>234</v>
      </c>
      <c r="D189" s="7">
        <v>913</v>
      </c>
      <c r="E189" s="7">
        <v>655</v>
      </c>
      <c r="F189" s="7">
        <f t="shared" si="6"/>
        <v>1568</v>
      </c>
      <c r="G189" s="8">
        <f t="shared" si="7"/>
        <v>0.58227040816326525</v>
      </c>
      <c r="H189" s="8">
        <f t="shared" si="8"/>
        <v>0.41772959183673469</v>
      </c>
      <c r="I189" s="6" t="s">
        <v>30</v>
      </c>
    </row>
    <row r="190" spans="1:9" ht="14.25" customHeight="1" x14ac:dyDescent="0.2">
      <c r="A190" s="6" t="s">
        <v>95</v>
      </c>
      <c r="B190" s="6" t="s">
        <v>228</v>
      </c>
      <c r="C190" s="6" t="s">
        <v>235</v>
      </c>
      <c r="D190" s="7">
        <v>419</v>
      </c>
      <c r="E190" s="7">
        <v>395</v>
      </c>
      <c r="F190" s="7">
        <f t="shared" si="6"/>
        <v>814</v>
      </c>
      <c r="G190" s="8">
        <f t="shared" si="7"/>
        <v>0.51474201474201475</v>
      </c>
      <c r="H190" s="8">
        <f t="shared" si="8"/>
        <v>0.48525798525798525</v>
      </c>
      <c r="I190" s="6" t="s">
        <v>30</v>
      </c>
    </row>
    <row r="191" spans="1:9" ht="14.25" customHeight="1" x14ac:dyDescent="0.2">
      <c r="A191" s="6" t="s">
        <v>95</v>
      </c>
      <c r="B191" s="6" t="s">
        <v>228</v>
      </c>
      <c r="C191" s="6" t="s">
        <v>236</v>
      </c>
      <c r="D191" s="7">
        <v>1078</v>
      </c>
      <c r="E191" s="7">
        <v>1064</v>
      </c>
      <c r="F191" s="7">
        <f t="shared" si="6"/>
        <v>2142</v>
      </c>
      <c r="G191" s="8">
        <f t="shared" si="7"/>
        <v>0.50326797385620914</v>
      </c>
      <c r="H191" s="8">
        <f t="shared" si="8"/>
        <v>0.49673202614379086</v>
      </c>
      <c r="I191" s="6" t="s">
        <v>30</v>
      </c>
    </row>
    <row r="192" spans="1:9" ht="14.25" customHeight="1" x14ac:dyDescent="0.2">
      <c r="A192" s="6" t="s">
        <v>95</v>
      </c>
      <c r="B192" s="6" t="s">
        <v>237</v>
      </c>
      <c r="C192" s="6" t="s">
        <v>238</v>
      </c>
      <c r="D192" s="7">
        <v>834</v>
      </c>
      <c r="E192" s="7">
        <v>815</v>
      </c>
      <c r="F192" s="7">
        <f t="shared" si="6"/>
        <v>1649</v>
      </c>
      <c r="G192" s="8">
        <f t="shared" si="7"/>
        <v>0.50576106731352333</v>
      </c>
      <c r="H192" s="8">
        <f t="shared" si="8"/>
        <v>0.49423893268647667</v>
      </c>
      <c r="I192" s="6" t="s">
        <v>30</v>
      </c>
    </row>
    <row r="193" spans="1:9" ht="14.25" customHeight="1" x14ac:dyDescent="0.2">
      <c r="A193" s="6" t="s">
        <v>95</v>
      </c>
      <c r="B193" s="6" t="s">
        <v>237</v>
      </c>
      <c r="C193" s="6" t="s">
        <v>239</v>
      </c>
      <c r="D193" s="7">
        <v>1190</v>
      </c>
      <c r="E193" s="7">
        <v>1142</v>
      </c>
      <c r="F193" s="7">
        <f t="shared" si="6"/>
        <v>2332</v>
      </c>
      <c r="G193" s="8">
        <f t="shared" si="7"/>
        <v>0.51029159519725553</v>
      </c>
      <c r="H193" s="8">
        <f t="shared" si="8"/>
        <v>0.48970840480274441</v>
      </c>
      <c r="I193" s="6" t="s">
        <v>30</v>
      </c>
    </row>
    <row r="194" spans="1:9" ht="14.25" customHeight="1" x14ac:dyDescent="0.2">
      <c r="A194" s="6" t="s">
        <v>95</v>
      </c>
      <c r="B194" s="6" t="s">
        <v>237</v>
      </c>
      <c r="C194" s="6" t="s">
        <v>240</v>
      </c>
      <c r="D194" s="7">
        <v>706</v>
      </c>
      <c r="E194" s="7">
        <v>793</v>
      </c>
      <c r="F194" s="7">
        <f t="shared" si="6"/>
        <v>1499</v>
      </c>
      <c r="G194" s="8">
        <f t="shared" si="7"/>
        <v>0.47098065376917947</v>
      </c>
      <c r="H194" s="8">
        <f t="shared" si="8"/>
        <v>0.52901934623082059</v>
      </c>
      <c r="I194" s="6" t="s">
        <v>30</v>
      </c>
    </row>
    <row r="195" spans="1:9" ht="14.25" customHeight="1" x14ac:dyDescent="0.2">
      <c r="A195" s="6" t="s">
        <v>95</v>
      </c>
      <c r="B195" s="6" t="s">
        <v>237</v>
      </c>
      <c r="C195" s="6" t="s">
        <v>241</v>
      </c>
      <c r="D195" s="7">
        <v>575</v>
      </c>
      <c r="E195" s="7">
        <v>515</v>
      </c>
      <c r="F195" s="7">
        <f t="shared" si="6"/>
        <v>1090</v>
      </c>
      <c r="G195" s="8">
        <f t="shared" si="7"/>
        <v>0.52752293577981646</v>
      </c>
      <c r="H195" s="8">
        <f t="shared" si="8"/>
        <v>0.47247706422018348</v>
      </c>
      <c r="I195" s="6" t="s">
        <v>30</v>
      </c>
    </row>
    <row r="196" spans="1:9" ht="14.25" customHeight="1" x14ac:dyDescent="0.2">
      <c r="A196" s="6" t="s">
        <v>95</v>
      </c>
      <c r="B196" s="6" t="s">
        <v>237</v>
      </c>
      <c r="C196" s="6" t="s">
        <v>242</v>
      </c>
      <c r="D196" s="7">
        <v>1490</v>
      </c>
      <c r="E196" s="7">
        <v>1315</v>
      </c>
      <c r="F196" s="7">
        <f t="shared" si="6"/>
        <v>2805</v>
      </c>
      <c r="G196" s="8">
        <f t="shared" si="7"/>
        <v>0.5311942959001783</v>
      </c>
      <c r="H196" s="8">
        <f t="shared" si="8"/>
        <v>0.46880570409982175</v>
      </c>
      <c r="I196" s="6" t="s">
        <v>30</v>
      </c>
    </row>
    <row r="197" spans="1:9" ht="14.25" customHeight="1" x14ac:dyDescent="0.2">
      <c r="A197" s="6" t="s">
        <v>95</v>
      </c>
      <c r="B197" s="6" t="s">
        <v>237</v>
      </c>
      <c r="C197" s="6" t="s">
        <v>243</v>
      </c>
      <c r="D197" s="7">
        <v>505</v>
      </c>
      <c r="E197" s="7">
        <v>534</v>
      </c>
      <c r="F197" s="7">
        <f t="shared" si="6"/>
        <v>1039</v>
      </c>
      <c r="G197" s="8">
        <f t="shared" si="7"/>
        <v>0.48604427333974976</v>
      </c>
      <c r="H197" s="8">
        <f t="shared" si="8"/>
        <v>0.51395572666025024</v>
      </c>
      <c r="I197" s="6" t="s">
        <v>30</v>
      </c>
    </row>
    <row r="198" spans="1:9" ht="14.25" customHeight="1" x14ac:dyDescent="0.2">
      <c r="A198" s="6" t="s">
        <v>95</v>
      </c>
      <c r="B198" s="6" t="s">
        <v>237</v>
      </c>
      <c r="C198" s="6" t="s">
        <v>244</v>
      </c>
      <c r="D198" s="7">
        <v>536</v>
      </c>
      <c r="E198" s="7">
        <v>468</v>
      </c>
      <c r="F198" s="7">
        <f t="shared" si="6"/>
        <v>1004</v>
      </c>
      <c r="G198" s="8">
        <f t="shared" si="7"/>
        <v>0.53386454183266929</v>
      </c>
      <c r="H198" s="8">
        <f t="shared" si="8"/>
        <v>0.46613545816733065</v>
      </c>
      <c r="I198" s="6" t="s">
        <v>30</v>
      </c>
    </row>
    <row r="199" spans="1:9" ht="14.25" customHeight="1" x14ac:dyDescent="0.2">
      <c r="A199" s="6" t="s">
        <v>95</v>
      </c>
      <c r="B199" s="6" t="s">
        <v>237</v>
      </c>
      <c r="C199" s="6" t="s">
        <v>245</v>
      </c>
      <c r="D199" s="7">
        <v>565</v>
      </c>
      <c r="E199" s="7">
        <v>544</v>
      </c>
      <c r="F199" s="7">
        <f t="shared" si="6"/>
        <v>1109</v>
      </c>
      <c r="G199" s="8">
        <f t="shared" si="7"/>
        <v>0.50946798917944092</v>
      </c>
      <c r="H199" s="8">
        <f t="shared" si="8"/>
        <v>0.49053201082055908</v>
      </c>
      <c r="I199" s="6" t="s">
        <v>30</v>
      </c>
    </row>
    <row r="200" spans="1:9" ht="14.25" customHeight="1" x14ac:dyDescent="0.2">
      <c r="A200" s="6" t="s">
        <v>95</v>
      </c>
      <c r="B200" s="6" t="s">
        <v>246</v>
      </c>
      <c r="C200" s="6" t="s">
        <v>247</v>
      </c>
      <c r="D200" s="7">
        <v>1310</v>
      </c>
      <c r="E200" s="7">
        <v>1455</v>
      </c>
      <c r="F200" s="7">
        <f t="shared" si="6"/>
        <v>2765</v>
      </c>
      <c r="G200" s="8">
        <f t="shared" si="7"/>
        <v>0.47377938517179025</v>
      </c>
      <c r="H200" s="8">
        <f t="shared" si="8"/>
        <v>0.52622061482820981</v>
      </c>
      <c r="I200" s="6" t="s">
        <v>30</v>
      </c>
    </row>
    <row r="201" spans="1:9" ht="14.25" customHeight="1" x14ac:dyDescent="0.2">
      <c r="A201" s="6" t="s">
        <v>95</v>
      </c>
      <c r="B201" s="6" t="s">
        <v>246</v>
      </c>
      <c r="C201" s="6" t="s">
        <v>248</v>
      </c>
      <c r="D201" s="7">
        <v>853</v>
      </c>
      <c r="E201" s="7">
        <v>1331</v>
      </c>
      <c r="F201" s="7">
        <f t="shared" si="6"/>
        <v>2184</v>
      </c>
      <c r="G201" s="8">
        <f t="shared" si="7"/>
        <v>0.39056776556776557</v>
      </c>
      <c r="H201" s="8">
        <f t="shared" si="8"/>
        <v>0.60943223443223449</v>
      </c>
      <c r="I201" s="6" t="s">
        <v>30</v>
      </c>
    </row>
    <row r="202" spans="1:9" ht="14.25" customHeight="1" x14ac:dyDescent="0.2">
      <c r="A202" s="6" t="s">
        <v>95</v>
      </c>
      <c r="B202" s="6" t="s">
        <v>249</v>
      </c>
      <c r="C202" s="6" t="s">
        <v>250</v>
      </c>
      <c r="D202" s="7">
        <v>907</v>
      </c>
      <c r="E202" s="7">
        <v>919</v>
      </c>
      <c r="F202" s="7">
        <f t="shared" si="6"/>
        <v>1826</v>
      </c>
      <c r="G202" s="8">
        <f t="shared" si="7"/>
        <v>0.49671412924424974</v>
      </c>
      <c r="H202" s="8">
        <f t="shared" si="8"/>
        <v>0.50328587075575026</v>
      </c>
      <c r="I202" s="6" t="s">
        <v>30</v>
      </c>
    </row>
    <row r="203" spans="1:9" ht="14.25" customHeight="1" x14ac:dyDescent="0.2">
      <c r="A203" s="6" t="s">
        <v>95</v>
      </c>
      <c r="B203" s="6" t="s">
        <v>249</v>
      </c>
      <c r="C203" s="6" t="s">
        <v>251</v>
      </c>
      <c r="D203" s="7">
        <v>645</v>
      </c>
      <c r="E203" s="7">
        <v>717</v>
      </c>
      <c r="F203" s="7">
        <f t="shared" si="6"/>
        <v>1362</v>
      </c>
      <c r="G203" s="8">
        <f t="shared" si="7"/>
        <v>0.47356828193832601</v>
      </c>
      <c r="H203" s="8">
        <f t="shared" si="8"/>
        <v>0.52643171806167399</v>
      </c>
      <c r="I203" s="6" t="s">
        <v>30</v>
      </c>
    </row>
    <row r="204" spans="1:9" ht="14.25" customHeight="1" x14ac:dyDescent="0.2">
      <c r="A204" s="6" t="s">
        <v>95</v>
      </c>
      <c r="B204" s="6" t="s">
        <v>249</v>
      </c>
      <c r="C204" s="6" t="s">
        <v>252</v>
      </c>
      <c r="D204" s="7">
        <v>574</v>
      </c>
      <c r="E204" s="7">
        <v>609</v>
      </c>
      <c r="F204" s="7">
        <f t="shared" ref="F204:F223" si="9">IF(COUNTA(D204:E204)=0,"",SUM(D204:E204))</f>
        <v>1183</v>
      </c>
      <c r="G204" s="8">
        <f t="shared" ref="G204:G223" si="10">IF(OR(F204="",F204=0),"",D204/F204)</f>
        <v>0.48520710059171596</v>
      </c>
      <c r="H204" s="8">
        <f t="shared" ref="H204:H223" si="11">IF(OR(F204="",F204=0),"",E204/F204)</f>
        <v>0.51479289940828399</v>
      </c>
      <c r="I204" s="6" t="s">
        <v>30</v>
      </c>
    </row>
    <row r="205" spans="1:9" ht="14.25" customHeight="1" x14ac:dyDescent="0.2">
      <c r="A205" s="6" t="s">
        <v>95</v>
      </c>
      <c r="B205" s="6" t="s">
        <v>249</v>
      </c>
      <c r="C205" s="6" t="s">
        <v>253</v>
      </c>
      <c r="D205" s="7">
        <v>1428</v>
      </c>
      <c r="E205" s="7">
        <v>1476</v>
      </c>
      <c r="F205" s="7">
        <f t="shared" si="9"/>
        <v>2904</v>
      </c>
      <c r="G205" s="8">
        <f t="shared" si="10"/>
        <v>0.49173553719008267</v>
      </c>
      <c r="H205" s="8">
        <f t="shared" si="11"/>
        <v>0.50826446280991733</v>
      </c>
      <c r="I205" s="6" t="s">
        <v>30</v>
      </c>
    </row>
    <row r="206" spans="1:9" ht="14.25" customHeight="1" x14ac:dyDescent="0.2">
      <c r="A206" s="6" t="s">
        <v>95</v>
      </c>
      <c r="B206" s="6" t="s">
        <v>249</v>
      </c>
      <c r="C206" s="6" t="s">
        <v>254</v>
      </c>
      <c r="D206" s="7">
        <v>599</v>
      </c>
      <c r="E206" s="7">
        <v>589</v>
      </c>
      <c r="F206" s="7">
        <f t="shared" si="9"/>
        <v>1188</v>
      </c>
      <c r="G206" s="8">
        <f t="shared" si="10"/>
        <v>0.50420875420875422</v>
      </c>
      <c r="H206" s="8">
        <f t="shared" si="11"/>
        <v>0.49579124579124578</v>
      </c>
      <c r="I206" s="6" t="s">
        <v>30</v>
      </c>
    </row>
    <row r="207" spans="1:9" ht="14.25" customHeight="1" x14ac:dyDescent="0.2">
      <c r="A207" s="6" t="s">
        <v>95</v>
      </c>
      <c r="B207" s="6" t="s">
        <v>249</v>
      </c>
      <c r="C207" s="6" t="s">
        <v>255</v>
      </c>
      <c r="D207" s="7">
        <v>607</v>
      </c>
      <c r="E207" s="7">
        <v>540</v>
      </c>
      <c r="F207" s="7">
        <f t="shared" si="9"/>
        <v>1147</v>
      </c>
      <c r="G207" s="8">
        <f t="shared" si="10"/>
        <v>0.52920662598081958</v>
      </c>
      <c r="H207" s="8">
        <f t="shared" si="11"/>
        <v>0.47079337401918048</v>
      </c>
      <c r="I207" s="6" t="s">
        <v>30</v>
      </c>
    </row>
    <row r="208" spans="1:9" ht="14.25" customHeight="1" x14ac:dyDescent="0.2">
      <c r="A208" s="6" t="s">
        <v>95</v>
      </c>
      <c r="B208" s="6" t="s">
        <v>256</v>
      </c>
      <c r="C208" s="6" t="s">
        <v>257</v>
      </c>
      <c r="D208" s="7">
        <v>208</v>
      </c>
      <c r="E208" s="7">
        <v>447</v>
      </c>
      <c r="F208" s="7">
        <f t="shared" si="9"/>
        <v>655</v>
      </c>
      <c r="G208" s="8">
        <f t="shared" si="10"/>
        <v>0.31755725190839695</v>
      </c>
      <c r="H208" s="8">
        <f t="shared" si="11"/>
        <v>0.6824427480916031</v>
      </c>
      <c r="I208" s="6" t="s">
        <v>30</v>
      </c>
    </row>
    <row r="209" spans="1:9" ht="14.25" customHeight="1" x14ac:dyDescent="0.2">
      <c r="A209" s="6" t="s">
        <v>95</v>
      </c>
      <c r="B209" s="6" t="s">
        <v>256</v>
      </c>
      <c r="C209" s="6" t="s">
        <v>258</v>
      </c>
      <c r="D209" s="7">
        <v>701</v>
      </c>
      <c r="E209" s="7">
        <v>1397</v>
      </c>
      <c r="F209" s="7">
        <f t="shared" si="9"/>
        <v>2098</v>
      </c>
      <c r="G209" s="8">
        <f t="shared" si="10"/>
        <v>0.33412774070543377</v>
      </c>
      <c r="H209" s="8">
        <f t="shared" si="11"/>
        <v>0.66587225929456628</v>
      </c>
      <c r="I209" s="6" t="s">
        <v>30</v>
      </c>
    </row>
    <row r="210" spans="1:9" ht="14.25" customHeight="1" x14ac:dyDescent="0.2">
      <c r="A210" s="6" t="s">
        <v>95</v>
      </c>
      <c r="B210" s="6" t="s">
        <v>256</v>
      </c>
      <c r="C210" s="6" t="s">
        <v>259</v>
      </c>
      <c r="D210" s="7">
        <v>158</v>
      </c>
      <c r="E210" s="7">
        <v>409</v>
      </c>
      <c r="F210" s="7">
        <f t="shared" si="9"/>
        <v>567</v>
      </c>
      <c r="G210" s="8">
        <f t="shared" si="10"/>
        <v>0.27865961199294531</v>
      </c>
      <c r="H210" s="8">
        <f t="shared" si="11"/>
        <v>0.72134038800705469</v>
      </c>
      <c r="I210" s="6" t="s">
        <v>30</v>
      </c>
    </row>
    <row r="211" spans="1:9" ht="14.25" customHeight="1" x14ac:dyDescent="0.2">
      <c r="A211" s="6" t="s">
        <v>95</v>
      </c>
      <c r="B211" s="6" t="s">
        <v>260</v>
      </c>
      <c r="C211" s="6" t="s">
        <v>260</v>
      </c>
      <c r="D211" s="7">
        <v>988</v>
      </c>
      <c r="E211" s="7">
        <v>1891</v>
      </c>
      <c r="F211" s="7">
        <f t="shared" si="9"/>
        <v>2879</v>
      </c>
      <c r="G211" s="8">
        <f t="shared" si="10"/>
        <v>0.34317471344216743</v>
      </c>
      <c r="H211" s="8">
        <f t="shared" si="11"/>
        <v>0.65682528655783257</v>
      </c>
      <c r="I211" s="6" t="s">
        <v>30</v>
      </c>
    </row>
    <row r="212" spans="1:9" ht="14.25" customHeight="1" x14ac:dyDescent="0.2">
      <c r="A212" s="6" t="s">
        <v>95</v>
      </c>
      <c r="B212" s="6" t="s">
        <v>261</v>
      </c>
      <c r="C212" s="6" t="s">
        <v>262</v>
      </c>
      <c r="D212" s="7">
        <v>680</v>
      </c>
      <c r="E212" s="7">
        <v>751</v>
      </c>
      <c r="F212" s="7">
        <f t="shared" si="9"/>
        <v>1431</v>
      </c>
      <c r="G212" s="8">
        <f t="shared" si="10"/>
        <v>0.47519217330538083</v>
      </c>
      <c r="H212" s="8">
        <f t="shared" si="11"/>
        <v>0.52480782669461912</v>
      </c>
      <c r="I212" s="6" t="s">
        <v>30</v>
      </c>
    </row>
    <row r="213" spans="1:9" ht="14.25" customHeight="1" x14ac:dyDescent="0.2">
      <c r="A213" s="6" t="s">
        <v>95</v>
      </c>
      <c r="B213" s="6" t="s">
        <v>261</v>
      </c>
      <c r="C213" s="6" t="s">
        <v>263</v>
      </c>
      <c r="D213" s="7">
        <v>508</v>
      </c>
      <c r="E213" s="7">
        <v>539</v>
      </c>
      <c r="F213" s="7">
        <f t="shared" si="9"/>
        <v>1047</v>
      </c>
      <c r="G213" s="8">
        <f t="shared" si="10"/>
        <v>0.48519579751671443</v>
      </c>
      <c r="H213" s="8">
        <f t="shared" si="11"/>
        <v>0.51480420248328562</v>
      </c>
      <c r="I213" s="6" t="s">
        <v>30</v>
      </c>
    </row>
    <row r="214" spans="1:9" ht="14.25" customHeight="1" x14ac:dyDescent="0.2">
      <c r="A214" s="6" t="s">
        <v>95</v>
      </c>
      <c r="B214" s="6" t="s">
        <v>261</v>
      </c>
      <c r="C214" s="6" t="s">
        <v>264</v>
      </c>
      <c r="D214" s="7">
        <v>531</v>
      </c>
      <c r="E214" s="7">
        <v>449</v>
      </c>
      <c r="F214" s="7">
        <f t="shared" si="9"/>
        <v>980</v>
      </c>
      <c r="G214" s="8">
        <f t="shared" si="10"/>
        <v>0.5418367346938775</v>
      </c>
      <c r="H214" s="8">
        <f t="shared" si="11"/>
        <v>0.45816326530612245</v>
      </c>
      <c r="I214" s="6" t="s">
        <v>30</v>
      </c>
    </row>
    <row r="215" spans="1:9" ht="14.25" customHeight="1" x14ac:dyDescent="0.2">
      <c r="A215" s="6" t="s">
        <v>95</v>
      </c>
      <c r="B215" s="6" t="s">
        <v>261</v>
      </c>
      <c r="C215" s="6" t="s">
        <v>265</v>
      </c>
      <c r="D215" s="7">
        <v>603</v>
      </c>
      <c r="E215" s="7">
        <v>420</v>
      </c>
      <c r="F215" s="7">
        <f t="shared" si="9"/>
        <v>1023</v>
      </c>
      <c r="G215" s="8">
        <f t="shared" si="10"/>
        <v>0.58944281524926689</v>
      </c>
      <c r="H215" s="8">
        <f t="shared" si="11"/>
        <v>0.41055718475073316</v>
      </c>
      <c r="I215" s="6" t="s">
        <v>30</v>
      </c>
    </row>
    <row r="216" spans="1:9" ht="14.25" customHeight="1" x14ac:dyDescent="0.2">
      <c r="A216" s="6" t="s">
        <v>95</v>
      </c>
      <c r="B216" s="6" t="s">
        <v>261</v>
      </c>
      <c r="C216" s="6" t="s">
        <v>266</v>
      </c>
      <c r="D216" s="7">
        <v>218</v>
      </c>
      <c r="E216" s="7">
        <v>186</v>
      </c>
      <c r="F216" s="7">
        <f t="shared" si="9"/>
        <v>404</v>
      </c>
      <c r="G216" s="8">
        <f t="shared" si="10"/>
        <v>0.53960396039603964</v>
      </c>
      <c r="H216" s="8">
        <f t="shared" si="11"/>
        <v>0.46039603960396042</v>
      </c>
      <c r="I216" s="6" t="s">
        <v>30</v>
      </c>
    </row>
    <row r="217" spans="1:9" ht="14.25" customHeight="1" x14ac:dyDescent="0.2">
      <c r="A217" s="6" t="s">
        <v>95</v>
      </c>
      <c r="B217" s="6" t="s">
        <v>261</v>
      </c>
      <c r="C217" s="6" t="s">
        <v>267</v>
      </c>
      <c r="D217" s="7">
        <v>326</v>
      </c>
      <c r="E217" s="7">
        <v>215</v>
      </c>
      <c r="F217" s="7">
        <f t="shared" si="9"/>
        <v>541</v>
      </c>
      <c r="G217" s="8">
        <f t="shared" si="10"/>
        <v>0.60258780036968573</v>
      </c>
      <c r="H217" s="8">
        <f t="shared" si="11"/>
        <v>0.39741219963031421</v>
      </c>
      <c r="I217" s="6" t="s">
        <v>30</v>
      </c>
    </row>
    <row r="218" spans="1:9" ht="14.25" customHeight="1" x14ac:dyDescent="0.2">
      <c r="A218" s="6" t="s">
        <v>95</v>
      </c>
      <c r="B218" s="6" t="s">
        <v>261</v>
      </c>
      <c r="C218" s="6" t="s">
        <v>268</v>
      </c>
      <c r="D218" s="7">
        <v>425</v>
      </c>
      <c r="E218" s="7">
        <v>348</v>
      </c>
      <c r="F218" s="7">
        <f t="shared" si="9"/>
        <v>773</v>
      </c>
      <c r="G218" s="8">
        <f t="shared" si="10"/>
        <v>0.54980595084087969</v>
      </c>
      <c r="H218" s="8">
        <f t="shared" si="11"/>
        <v>0.45019404915912031</v>
      </c>
      <c r="I218" s="6" t="s">
        <v>30</v>
      </c>
    </row>
    <row r="219" spans="1:9" ht="14.25" customHeight="1" x14ac:dyDescent="0.2">
      <c r="A219" s="6" t="s">
        <v>95</v>
      </c>
      <c r="B219" s="6" t="s">
        <v>261</v>
      </c>
      <c r="C219" s="6" t="s">
        <v>269</v>
      </c>
      <c r="D219" s="7">
        <v>232</v>
      </c>
      <c r="E219" s="7">
        <v>265</v>
      </c>
      <c r="F219" s="7">
        <f t="shared" si="9"/>
        <v>497</v>
      </c>
      <c r="G219" s="8">
        <f t="shared" si="10"/>
        <v>0.46680080482897385</v>
      </c>
      <c r="H219" s="8">
        <f t="shared" si="11"/>
        <v>0.53319919517102621</v>
      </c>
      <c r="I219" s="6" t="s">
        <v>30</v>
      </c>
    </row>
    <row r="220" spans="1:9" ht="14.25" customHeight="1" x14ac:dyDescent="0.2">
      <c r="A220" s="6" t="s">
        <v>95</v>
      </c>
      <c r="B220" s="6" t="s">
        <v>261</v>
      </c>
      <c r="C220" s="6" t="s">
        <v>270</v>
      </c>
      <c r="D220" s="7">
        <v>400</v>
      </c>
      <c r="E220" s="7">
        <v>397</v>
      </c>
      <c r="F220" s="7">
        <f t="shared" si="9"/>
        <v>797</v>
      </c>
      <c r="G220" s="8">
        <f t="shared" si="10"/>
        <v>0.50188205771643668</v>
      </c>
      <c r="H220" s="8">
        <f t="shared" si="11"/>
        <v>0.49811794228356338</v>
      </c>
      <c r="I220" s="6" t="s">
        <v>30</v>
      </c>
    </row>
    <row r="221" spans="1:9" ht="14.25" customHeight="1" x14ac:dyDescent="0.2">
      <c r="A221" s="6" t="s">
        <v>95</v>
      </c>
      <c r="B221" s="6" t="s">
        <v>261</v>
      </c>
      <c r="C221" s="6" t="s">
        <v>271</v>
      </c>
      <c r="D221" s="7">
        <v>729</v>
      </c>
      <c r="E221" s="7">
        <v>811</v>
      </c>
      <c r="F221" s="7">
        <f t="shared" si="9"/>
        <v>1540</v>
      </c>
      <c r="G221" s="8">
        <f t="shared" si="10"/>
        <v>0.4733766233766234</v>
      </c>
      <c r="H221" s="8">
        <f t="shared" si="11"/>
        <v>0.52662337662337666</v>
      </c>
      <c r="I221" s="6" t="s">
        <v>30</v>
      </c>
    </row>
    <row r="222" spans="1:9" ht="14.25" customHeight="1" x14ac:dyDescent="0.2">
      <c r="A222" s="6" t="s">
        <v>95</v>
      </c>
      <c r="B222" s="6" t="s">
        <v>261</v>
      </c>
      <c r="C222" s="6" t="s">
        <v>272</v>
      </c>
      <c r="D222" s="7">
        <v>594</v>
      </c>
      <c r="E222" s="7">
        <v>621</v>
      </c>
      <c r="F222" s="7">
        <f t="shared" si="9"/>
        <v>1215</v>
      </c>
      <c r="G222" s="8">
        <f t="shared" si="10"/>
        <v>0.48888888888888887</v>
      </c>
      <c r="H222" s="8">
        <f t="shared" si="11"/>
        <v>0.51111111111111107</v>
      </c>
      <c r="I222" s="6" t="s">
        <v>30</v>
      </c>
    </row>
    <row r="223" spans="1:9" ht="14.25" customHeight="1" x14ac:dyDescent="0.2">
      <c r="A223" s="6" t="s">
        <v>95</v>
      </c>
      <c r="B223" s="6" t="s">
        <v>261</v>
      </c>
      <c r="C223" s="6" t="s">
        <v>273</v>
      </c>
      <c r="D223" s="7">
        <v>476</v>
      </c>
      <c r="E223" s="7">
        <v>457</v>
      </c>
      <c r="F223" s="7">
        <f t="shared" si="9"/>
        <v>933</v>
      </c>
      <c r="G223" s="8">
        <f t="shared" si="10"/>
        <v>0.51018220793140412</v>
      </c>
      <c r="H223" s="8">
        <f t="shared" si="11"/>
        <v>0.48981779206859594</v>
      </c>
      <c r="I223" s="6" t="s">
        <v>30</v>
      </c>
    </row>
    <row r="224" spans="1:9" ht="14.25" customHeight="1" x14ac:dyDescent="0.2">
      <c r="A224" s="9" t="s">
        <v>274</v>
      </c>
      <c r="B224" s="6" t="s">
        <v>275</v>
      </c>
      <c r="C224" s="6" t="s">
        <v>276</v>
      </c>
      <c r="D224" s="7">
        <v>389</v>
      </c>
      <c r="E224" s="7">
        <v>915</v>
      </c>
      <c r="F224" s="7"/>
      <c r="G224" s="8"/>
      <c r="H224" s="8"/>
      <c r="I224" s="6" t="s">
        <v>30</v>
      </c>
    </row>
    <row r="225" spans="1:9" ht="14.25" customHeight="1" x14ac:dyDescent="0.2">
      <c r="A225" s="9" t="s">
        <v>274</v>
      </c>
      <c r="B225" s="6" t="s">
        <v>277</v>
      </c>
      <c r="C225" s="6" t="s">
        <v>278</v>
      </c>
      <c r="D225" s="7">
        <v>1115</v>
      </c>
      <c r="E225" s="7">
        <v>2292</v>
      </c>
      <c r="F225" s="7"/>
      <c r="G225" s="8"/>
      <c r="H225" s="8"/>
      <c r="I225" s="6" t="s">
        <v>30</v>
      </c>
    </row>
    <row r="226" spans="1:9" ht="14.25" customHeight="1" x14ac:dyDescent="0.2">
      <c r="A226" s="9" t="s">
        <v>274</v>
      </c>
      <c r="B226" s="6" t="s">
        <v>279</v>
      </c>
      <c r="C226" s="6" t="s">
        <v>280</v>
      </c>
      <c r="D226" s="7">
        <v>433</v>
      </c>
      <c r="E226" s="7">
        <v>856</v>
      </c>
      <c r="F226" s="7"/>
      <c r="G226" s="8"/>
      <c r="H226" s="8"/>
      <c r="I226" s="6" t="s">
        <v>30</v>
      </c>
    </row>
    <row r="227" spans="1:9" ht="14.25" customHeight="1" x14ac:dyDescent="0.2">
      <c r="A227" s="6" t="s">
        <v>281</v>
      </c>
      <c r="B227" s="6" t="s">
        <v>282</v>
      </c>
      <c r="C227" s="6" t="s">
        <v>283</v>
      </c>
      <c r="D227" s="7">
        <v>587</v>
      </c>
      <c r="E227" s="7">
        <v>833</v>
      </c>
      <c r="F227" s="7">
        <f t="shared" ref="F227:F258" si="12">IF(COUNTA(D227:E227)=0,"",SUM(D227:E227))</f>
        <v>1420</v>
      </c>
      <c r="G227" s="8">
        <f t="shared" ref="G227:G258" si="13">IF(OR(F227="",F227=0),"",D227/F227)</f>
        <v>0.41338028169014085</v>
      </c>
      <c r="H227" s="8">
        <f t="shared" ref="H227:H258" si="14">IF(OR(F227="",F227=0),"",E227/F227)</f>
        <v>0.58661971830985915</v>
      </c>
      <c r="I227" s="6" t="s">
        <v>30</v>
      </c>
    </row>
    <row r="228" spans="1:9" ht="14.25" customHeight="1" x14ac:dyDescent="0.2">
      <c r="A228" s="6" t="s">
        <v>281</v>
      </c>
      <c r="B228" s="6" t="s">
        <v>282</v>
      </c>
      <c r="C228" s="6" t="s">
        <v>284</v>
      </c>
      <c r="D228" s="7">
        <v>660</v>
      </c>
      <c r="E228" s="7">
        <v>784</v>
      </c>
      <c r="F228" s="7">
        <f t="shared" si="12"/>
        <v>1444</v>
      </c>
      <c r="G228" s="8">
        <f t="shared" si="13"/>
        <v>0.45706371191135736</v>
      </c>
      <c r="H228" s="8">
        <f t="shared" si="14"/>
        <v>0.54293628808864269</v>
      </c>
      <c r="I228" s="6" t="s">
        <v>30</v>
      </c>
    </row>
    <row r="229" spans="1:9" ht="14.25" customHeight="1" x14ac:dyDescent="0.2">
      <c r="A229" s="6" t="s">
        <v>281</v>
      </c>
      <c r="B229" s="6" t="s">
        <v>285</v>
      </c>
      <c r="C229" s="6" t="s">
        <v>286</v>
      </c>
      <c r="D229" s="7">
        <v>326</v>
      </c>
      <c r="E229" s="7">
        <v>536</v>
      </c>
      <c r="F229" s="7">
        <f t="shared" si="12"/>
        <v>862</v>
      </c>
      <c r="G229" s="8">
        <f t="shared" si="13"/>
        <v>0.37819025522041766</v>
      </c>
      <c r="H229" s="8">
        <f t="shared" si="14"/>
        <v>0.6218097447795824</v>
      </c>
      <c r="I229" s="6" t="s">
        <v>30</v>
      </c>
    </row>
    <row r="230" spans="1:9" ht="14.25" customHeight="1" x14ac:dyDescent="0.2">
      <c r="A230" s="6" t="s">
        <v>281</v>
      </c>
      <c r="B230" s="6" t="s">
        <v>285</v>
      </c>
      <c r="C230" s="6" t="s">
        <v>287</v>
      </c>
      <c r="D230" s="7">
        <v>402</v>
      </c>
      <c r="E230" s="7">
        <v>572</v>
      </c>
      <c r="F230" s="7">
        <f t="shared" si="12"/>
        <v>974</v>
      </c>
      <c r="G230" s="8">
        <f t="shared" si="13"/>
        <v>0.41273100616016428</v>
      </c>
      <c r="H230" s="8">
        <f t="shared" si="14"/>
        <v>0.58726899383983577</v>
      </c>
      <c r="I230" s="6" t="s">
        <v>30</v>
      </c>
    </row>
    <row r="231" spans="1:9" ht="14.25" customHeight="1" x14ac:dyDescent="0.2">
      <c r="A231" s="6" t="s">
        <v>281</v>
      </c>
      <c r="B231" s="6" t="s">
        <v>288</v>
      </c>
      <c r="C231" s="6" t="s">
        <v>288</v>
      </c>
      <c r="D231" s="7">
        <v>473</v>
      </c>
      <c r="E231" s="7">
        <v>595</v>
      </c>
      <c r="F231" s="7">
        <f t="shared" si="12"/>
        <v>1068</v>
      </c>
      <c r="G231" s="8">
        <f t="shared" si="13"/>
        <v>0.44288389513108617</v>
      </c>
      <c r="H231" s="8">
        <f t="shared" si="14"/>
        <v>0.55711610486891383</v>
      </c>
      <c r="I231" s="6" t="s">
        <v>30</v>
      </c>
    </row>
    <row r="232" spans="1:9" ht="14.25" customHeight="1" x14ac:dyDescent="0.2">
      <c r="A232" s="6" t="s">
        <v>281</v>
      </c>
      <c r="B232" s="6" t="s">
        <v>156</v>
      </c>
      <c r="C232" s="6" t="s">
        <v>289</v>
      </c>
      <c r="D232" s="7">
        <v>623</v>
      </c>
      <c r="E232" s="7">
        <v>369</v>
      </c>
      <c r="F232" s="7">
        <f t="shared" si="12"/>
        <v>992</v>
      </c>
      <c r="G232" s="8">
        <f t="shared" si="13"/>
        <v>0.62802419354838712</v>
      </c>
      <c r="H232" s="8">
        <f t="shared" si="14"/>
        <v>0.37197580645161288</v>
      </c>
      <c r="I232" s="6" t="s">
        <v>30</v>
      </c>
    </row>
    <row r="233" spans="1:9" ht="14.25" customHeight="1" x14ac:dyDescent="0.2">
      <c r="A233" s="6" t="s">
        <v>281</v>
      </c>
      <c r="B233" s="6" t="s">
        <v>156</v>
      </c>
      <c r="C233" s="6" t="s">
        <v>290</v>
      </c>
      <c r="D233" s="7">
        <v>865</v>
      </c>
      <c r="E233" s="7">
        <v>596</v>
      </c>
      <c r="F233" s="7">
        <f t="shared" si="12"/>
        <v>1461</v>
      </c>
      <c r="G233" s="8">
        <f t="shared" si="13"/>
        <v>0.59206023271731689</v>
      </c>
      <c r="H233" s="8">
        <f t="shared" si="14"/>
        <v>0.40793976728268311</v>
      </c>
      <c r="I233" s="6" t="s">
        <v>30</v>
      </c>
    </row>
    <row r="234" spans="1:9" ht="14.25" customHeight="1" x14ac:dyDescent="0.2">
      <c r="A234" s="6" t="s">
        <v>281</v>
      </c>
      <c r="B234" s="6" t="s">
        <v>156</v>
      </c>
      <c r="C234" s="6" t="s">
        <v>291</v>
      </c>
      <c r="D234" s="7">
        <v>614</v>
      </c>
      <c r="E234" s="7">
        <v>343</v>
      </c>
      <c r="F234" s="7">
        <f t="shared" si="12"/>
        <v>957</v>
      </c>
      <c r="G234" s="8">
        <f t="shared" si="13"/>
        <v>0.64158829676071061</v>
      </c>
      <c r="H234" s="8">
        <f t="shared" si="14"/>
        <v>0.35841170323928945</v>
      </c>
      <c r="I234" s="6" t="s">
        <v>30</v>
      </c>
    </row>
    <row r="235" spans="1:9" ht="14.25" customHeight="1" x14ac:dyDescent="0.2">
      <c r="A235" s="6" t="s">
        <v>281</v>
      </c>
      <c r="B235" s="6" t="s">
        <v>156</v>
      </c>
      <c r="C235" s="6" t="s">
        <v>292</v>
      </c>
      <c r="D235" s="7">
        <v>444</v>
      </c>
      <c r="E235" s="7">
        <v>271</v>
      </c>
      <c r="F235" s="7">
        <f t="shared" si="12"/>
        <v>715</v>
      </c>
      <c r="G235" s="8">
        <f t="shared" si="13"/>
        <v>0.62097902097902102</v>
      </c>
      <c r="H235" s="8">
        <f t="shared" si="14"/>
        <v>0.37902097902097903</v>
      </c>
      <c r="I235" s="6" t="s">
        <v>30</v>
      </c>
    </row>
    <row r="236" spans="1:9" ht="14.25" customHeight="1" x14ac:dyDescent="0.2">
      <c r="A236" s="6" t="s">
        <v>281</v>
      </c>
      <c r="B236" s="6" t="s">
        <v>156</v>
      </c>
      <c r="C236" s="6" t="s">
        <v>293</v>
      </c>
      <c r="D236" s="7">
        <v>602</v>
      </c>
      <c r="E236" s="7">
        <v>399</v>
      </c>
      <c r="F236" s="7">
        <f t="shared" si="12"/>
        <v>1001</v>
      </c>
      <c r="G236" s="8">
        <f t="shared" si="13"/>
        <v>0.60139860139860135</v>
      </c>
      <c r="H236" s="8">
        <f t="shared" si="14"/>
        <v>0.39860139860139859</v>
      </c>
      <c r="I236" s="6" t="s">
        <v>30</v>
      </c>
    </row>
    <row r="237" spans="1:9" ht="14.25" customHeight="1" x14ac:dyDescent="0.2">
      <c r="A237" s="6" t="s">
        <v>281</v>
      </c>
      <c r="B237" s="6" t="s">
        <v>156</v>
      </c>
      <c r="C237" s="6" t="s">
        <v>294</v>
      </c>
      <c r="D237" s="7">
        <v>761</v>
      </c>
      <c r="E237" s="7">
        <v>479</v>
      </c>
      <c r="F237" s="7">
        <f t="shared" si="12"/>
        <v>1240</v>
      </c>
      <c r="G237" s="8">
        <f t="shared" si="13"/>
        <v>0.61370967741935489</v>
      </c>
      <c r="H237" s="8">
        <f t="shared" si="14"/>
        <v>0.38629032258064516</v>
      </c>
      <c r="I237" s="6" t="s">
        <v>30</v>
      </c>
    </row>
    <row r="238" spans="1:9" ht="14.25" customHeight="1" x14ac:dyDescent="0.2">
      <c r="A238" s="6" t="s">
        <v>281</v>
      </c>
      <c r="B238" s="6" t="s">
        <v>156</v>
      </c>
      <c r="C238" s="6" t="s">
        <v>295</v>
      </c>
      <c r="D238" s="7">
        <v>641</v>
      </c>
      <c r="E238" s="7">
        <v>476</v>
      </c>
      <c r="F238" s="7">
        <f t="shared" si="12"/>
        <v>1117</v>
      </c>
      <c r="G238" s="8">
        <f t="shared" si="13"/>
        <v>0.57385854968666072</v>
      </c>
      <c r="H238" s="8">
        <f t="shared" si="14"/>
        <v>0.42614145031333928</v>
      </c>
      <c r="I238" s="6" t="s">
        <v>30</v>
      </c>
    </row>
    <row r="239" spans="1:9" ht="14.25" customHeight="1" x14ac:dyDescent="0.2">
      <c r="A239" s="6" t="s">
        <v>281</v>
      </c>
      <c r="B239" s="6" t="s">
        <v>156</v>
      </c>
      <c r="C239" s="6" t="s">
        <v>296</v>
      </c>
      <c r="D239" s="7">
        <v>460</v>
      </c>
      <c r="E239" s="7">
        <v>271</v>
      </c>
      <c r="F239" s="7">
        <f t="shared" si="12"/>
        <v>731</v>
      </c>
      <c r="G239" s="8">
        <f t="shared" si="13"/>
        <v>0.62927496580027364</v>
      </c>
      <c r="H239" s="8">
        <f t="shared" si="14"/>
        <v>0.37072503419972641</v>
      </c>
      <c r="I239" s="6" t="s">
        <v>30</v>
      </c>
    </row>
    <row r="240" spans="1:9" ht="14.25" customHeight="1" x14ac:dyDescent="0.2">
      <c r="A240" s="6" t="s">
        <v>281</v>
      </c>
      <c r="B240" s="6" t="s">
        <v>156</v>
      </c>
      <c r="C240" s="6" t="s">
        <v>297</v>
      </c>
      <c r="D240" s="7">
        <v>527</v>
      </c>
      <c r="E240" s="7">
        <v>273</v>
      </c>
      <c r="F240" s="7">
        <f t="shared" si="12"/>
        <v>800</v>
      </c>
      <c r="G240" s="8">
        <f t="shared" si="13"/>
        <v>0.65874999999999995</v>
      </c>
      <c r="H240" s="8">
        <f t="shared" si="14"/>
        <v>0.34125</v>
      </c>
      <c r="I240" s="6" t="s">
        <v>30</v>
      </c>
    </row>
    <row r="241" spans="1:9" ht="14.25" customHeight="1" x14ac:dyDescent="0.2">
      <c r="A241" s="6" t="s">
        <v>281</v>
      </c>
      <c r="B241" s="6" t="s">
        <v>156</v>
      </c>
      <c r="C241" s="6" t="s">
        <v>298</v>
      </c>
      <c r="D241" s="7">
        <v>695</v>
      </c>
      <c r="E241" s="7">
        <v>446</v>
      </c>
      <c r="F241" s="7">
        <f t="shared" si="12"/>
        <v>1141</v>
      </c>
      <c r="G241" s="8">
        <f t="shared" si="13"/>
        <v>0.60911481156879932</v>
      </c>
      <c r="H241" s="8">
        <f t="shared" si="14"/>
        <v>0.39088518843120068</v>
      </c>
      <c r="I241" s="6" t="s">
        <v>30</v>
      </c>
    </row>
    <row r="242" spans="1:9" ht="14.25" customHeight="1" x14ac:dyDescent="0.2">
      <c r="A242" s="6" t="s">
        <v>281</v>
      </c>
      <c r="B242" s="6" t="s">
        <v>156</v>
      </c>
      <c r="C242" s="6" t="s">
        <v>299</v>
      </c>
      <c r="D242" s="7">
        <v>523</v>
      </c>
      <c r="E242" s="7">
        <v>244</v>
      </c>
      <c r="F242" s="7">
        <f t="shared" si="12"/>
        <v>767</v>
      </c>
      <c r="G242" s="8">
        <f t="shared" si="13"/>
        <v>0.68187744458930899</v>
      </c>
      <c r="H242" s="8">
        <f t="shared" si="14"/>
        <v>0.31812255541069101</v>
      </c>
      <c r="I242" s="6" t="s">
        <v>30</v>
      </c>
    </row>
    <row r="243" spans="1:9" ht="14.25" customHeight="1" x14ac:dyDescent="0.2">
      <c r="A243" s="6" t="s">
        <v>281</v>
      </c>
      <c r="B243" s="6" t="s">
        <v>156</v>
      </c>
      <c r="C243" s="6" t="s">
        <v>300</v>
      </c>
      <c r="D243" s="7">
        <v>547</v>
      </c>
      <c r="E243" s="7">
        <v>344</v>
      </c>
      <c r="F243" s="7">
        <f t="shared" si="12"/>
        <v>891</v>
      </c>
      <c r="G243" s="8">
        <f t="shared" si="13"/>
        <v>0.61391694725028056</v>
      </c>
      <c r="H243" s="8">
        <f t="shared" si="14"/>
        <v>0.38608305274971944</v>
      </c>
      <c r="I243" s="6" t="s">
        <v>30</v>
      </c>
    </row>
    <row r="244" spans="1:9" ht="14.25" customHeight="1" x14ac:dyDescent="0.2">
      <c r="A244" s="6" t="s">
        <v>281</v>
      </c>
      <c r="B244" s="6" t="s">
        <v>156</v>
      </c>
      <c r="C244" s="6" t="s">
        <v>301</v>
      </c>
      <c r="D244" s="7">
        <v>143</v>
      </c>
      <c r="E244" s="7">
        <v>64</v>
      </c>
      <c r="F244" s="7">
        <f t="shared" si="12"/>
        <v>207</v>
      </c>
      <c r="G244" s="8">
        <f t="shared" si="13"/>
        <v>0.6908212560386473</v>
      </c>
      <c r="H244" s="8">
        <f t="shared" si="14"/>
        <v>0.30917874396135264</v>
      </c>
      <c r="I244" s="6" t="s">
        <v>30</v>
      </c>
    </row>
    <row r="245" spans="1:9" ht="14.25" customHeight="1" x14ac:dyDescent="0.2">
      <c r="A245" s="6" t="s">
        <v>281</v>
      </c>
      <c r="B245" s="6" t="s">
        <v>156</v>
      </c>
      <c r="C245" s="6" t="s">
        <v>302</v>
      </c>
      <c r="D245" s="7">
        <v>307</v>
      </c>
      <c r="E245" s="7">
        <v>118</v>
      </c>
      <c r="F245" s="7">
        <f t="shared" si="12"/>
        <v>425</v>
      </c>
      <c r="G245" s="8">
        <f t="shared" si="13"/>
        <v>0.72235294117647064</v>
      </c>
      <c r="H245" s="8">
        <f t="shared" si="14"/>
        <v>0.27764705882352941</v>
      </c>
      <c r="I245" s="6" t="s">
        <v>30</v>
      </c>
    </row>
    <row r="246" spans="1:9" ht="14.25" customHeight="1" x14ac:dyDescent="0.2">
      <c r="A246" s="6" t="s">
        <v>281</v>
      </c>
      <c r="B246" s="6" t="s">
        <v>156</v>
      </c>
      <c r="C246" s="6" t="s">
        <v>303</v>
      </c>
      <c r="D246" s="7">
        <v>257</v>
      </c>
      <c r="E246" s="7">
        <v>108</v>
      </c>
      <c r="F246" s="7">
        <f t="shared" si="12"/>
        <v>365</v>
      </c>
      <c r="G246" s="8">
        <f t="shared" si="13"/>
        <v>0.70410958904109588</v>
      </c>
      <c r="H246" s="8">
        <f t="shared" si="14"/>
        <v>0.29589041095890412</v>
      </c>
      <c r="I246" s="6" t="s">
        <v>30</v>
      </c>
    </row>
    <row r="247" spans="1:9" ht="14.25" customHeight="1" x14ac:dyDescent="0.2">
      <c r="A247" s="6" t="s">
        <v>281</v>
      </c>
      <c r="B247" s="6" t="s">
        <v>156</v>
      </c>
      <c r="C247" s="6" t="s">
        <v>304</v>
      </c>
      <c r="D247" s="7">
        <v>362</v>
      </c>
      <c r="E247" s="7">
        <v>155</v>
      </c>
      <c r="F247" s="7">
        <f t="shared" si="12"/>
        <v>517</v>
      </c>
      <c r="G247" s="8">
        <f t="shared" si="13"/>
        <v>0.70019342359767889</v>
      </c>
      <c r="H247" s="8">
        <f t="shared" si="14"/>
        <v>0.29980657640232106</v>
      </c>
      <c r="I247" s="6" t="s">
        <v>30</v>
      </c>
    </row>
    <row r="248" spans="1:9" ht="14.25" customHeight="1" x14ac:dyDescent="0.2">
      <c r="A248" s="6" t="s">
        <v>281</v>
      </c>
      <c r="B248" s="6" t="s">
        <v>156</v>
      </c>
      <c r="C248" s="6" t="s">
        <v>305</v>
      </c>
      <c r="D248" s="7">
        <v>658</v>
      </c>
      <c r="E248" s="7">
        <v>224</v>
      </c>
      <c r="F248" s="7">
        <f t="shared" si="12"/>
        <v>882</v>
      </c>
      <c r="G248" s="8">
        <f t="shared" si="13"/>
        <v>0.74603174603174605</v>
      </c>
      <c r="H248" s="8">
        <f t="shared" si="14"/>
        <v>0.25396825396825395</v>
      </c>
      <c r="I248" s="6" t="s">
        <v>30</v>
      </c>
    </row>
    <row r="249" spans="1:9" ht="14.25" customHeight="1" x14ac:dyDescent="0.2">
      <c r="A249" s="6" t="s">
        <v>281</v>
      </c>
      <c r="B249" s="6" t="s">
        <v>156</v>
      </c>
      <c r="C249" s="6" t="s">
        <v>306</v>
      </c>
      <c r="D249" s="7">
        <v>359</v>
      </c>
      <c r="E249" s="7">
        <v>168</v>
      </c>
      <c r="F249" s="7">
        <f t="shared" si="12"/>
        <v>527</v>
      </c>
      <c r="G249" s="8">
        <f t="shared" si="13"/>
        <v>0.68121442125237197</v>
      </c>
      <c r="H249" s="8">
        <f t="shared" si="14"/>
        <v>0.31878557874762808</v>
      </c>
      <c r="I249" s="6" t="s">
        <v>30</v>
      </c>
    </row>
    <row r="250" spans="1:9" ht="14.25" customHeight="1" x14ac:dyDescent="0.2">
      <c r="A250" s="6" t="s">
        <v>281</v>
      </c>
      <c r="B250" s="6" t="s">
        <v>156</v>
      </c>
      <c r="C250" s="6" t="s">
        <v>307</v>
      </c>
      <c r="D250" s="7">
        <v>323</v>
      </c>
      <c r="E250" s="7">
        <v>141</v>
      </c>
      <c r="F250" s="7">
        <f t="shared" si="12"/>
        <v>464</v>
      </c>
      <c r="G250" s="8">
        <f t="shared" si="13"/>
        <v>0.69612068965517238</v>
      </c>
      <c r="H250" s="8">
        <f t="shared" si="14"/>
        <v>0.30387931034482757</v>
      </c>
      <c r="I250" s="6" t="s">
        <v>30</v>
      </c>
    </row>
    <row r="251" spans="1:9" ht="14.25" customHeight="1" x14ac:dyDescent="0.2">
      <c r="A251" s="6" t="s">
        <v>281</v>
      </c>
      <c r="B251" s="6" t="s">
        <v>156</v>
      </c>
      <c r="C251" s="6" t="s">
        <v>308</v>
      </c>
      <c r="D251" s="7">
        <v>423</v>
      </c>
      <c r="E251" s="7">
        <v>164</v>
      </c>
      <c r="F251" s="7">
        <f t="shared" si="12"/>
        <v>587</v>
      </c>
      <c r="G251" s="8">
        <f t="shared" si="13"/>
        <v>0.72061328790459966</v>
      </c>
      <c r="H251" s="8">
        <f t="shared" si="14"/>
        <v>0.27938671209540034</v>
      </c>
      <c r="I251" s="6" t="s">
        <v>30</v>
      </c>
    </row>
    <row r="252" spans="1:9" ht="14.25" customHeight="1" x14ac:dyDescent="0.2">
      <c r="A252" s="6" t="s">
        <v>281</v>
      </c>
      <c r="B252" s="6" t="s">
        <v>156</v>
      </c>
      <c r="C252" s="6" t="s">
        <v>309</v>
      </c>
      <c r="D252" s="7">
        <v>505</v>
      </c>
      <c r="E252" s="7">
        <v>211</v>
      </c>
      <c r="F252" s="7">
        <f t="shared" si="12"/>
        <v>716</v>
      </c>
      <c r="G252" s="8">
        <f t="shared" si="13"/>
        <v>0.70530726256983245</v>
      </c>
      <c r="H252" s="8">
        <f t="shared" si="14"/>
        <v>0.29469273743016761</v>
      </c>
      <c r="I252" s="6" t="s">
        <v>30</v>
      </c>
    </row>
    <row r="253" spans="1:9" ht="14.25" customHeight="1" x14ac:dyDescent="0.2">
      <c r="A253" s="6" t="s">
        <v>281</v>
      </c>
      <c r="B253" s="6" t="s">
        <v>156</v>
      </c>
      <c r="C253" s="6" t="s">
        <v>310</v>
      </c>
      <c r="D253" s="7">
        <v>432</v>
      </c>
      <c r="E253" s="7">
        <v>214</v>
      </c>
      <c r="F253" s="7">
        <f t="shared" si="12"/>
        <v>646</v>
      </c>
      <c r="G253" s="8">
        <f t="shared" si="13"/>
        <v>0.66873065015479871</v>
      </c>
      <c r="H253" s="8">
        <f t="shared" si="14"/>
        <v>0.33126934984520123</v>
      </c>
      <c r="I253" s="6" t="s">
        <v>30</v>
      </c>
    </row>
    <row r="254" spans="1:9" ht="14.25" customHeight="1" x14ac:dyDescent="0.2">
      <c r="A254" s="6" t="s">
        <v>281</v>
      </c>
      <c r="B254" s="6" t="s">
        <v>156</v>
      </c>
      <c r="C254" s="6" t="s">
        <v>311</v>
      </c>
      <c r="D254" s="7">
        <v>532</v>
      </c>
      <c r="E254" s="7">
        <v>260</v>
      </c>
      <c r="F254" s="7">
        <f t="shared" si="12"/>
        <v>792</v>
      </c>
      <c r="G254" s="8">
        <f t="shared" si="13"/>
        <v>0.67171717171717171</v>
      </c>
      <c r="H254" s="8">
        <f t="shared" si="14"/>
        <v>0.32828282828282829</v>
      </c>
      <c r="I254" s="6" t="s">
        <v>30</v>
      </c>
    </row>
    <row r="255" spans="1:9" ht="14.25" customHeight="1" x14ac:dyDescent="0.2">
      <c r="A255" s="6" t="s">
        <v>281</v>
      </c>
      <c r="B255" s="6" t="s">
        <v>156</v>
      </c>
      <c r="C255" s="6" t="s">
        <v>312</v>
      </c>
      <c r="D255" s="7">
        <v>429</v>
      </c>
      <c r="E255" s="7">
        <v>228</v>
      </c>
      <c r="F255" s="7">
        <f t="shared" si="12"/>
        <v>657</v>
      </c>
      <c r="G255" s="8">
        <f t="shared" si="13"/>
        <v>0.65296803652968038</v>
      </c>
      <c r="H255" s="8">
        <f t="shared" si="14"/>
        <v>0.34703196347031962</v>
      </c>
      <c r="I255" s="6" t="s">
        <v>30</v>
      </c>
    </row>
    <row r="256" spans="1:9" ht="14.25" customHeight="1" x14ac:dyDescent="0.2">
      <c r="A256" s="6" t="s">
        <v>281</v>
      </c>
      <c r="B256" s="6" t="s">
        <v>313</v>
      </c>
      <c r="C256" s="6" t="s">
        <v>314</v>
      </c>
      <c r="D256" s="7">
        <v>406</v>
      </c>
      <c r="E256" s="7">
        <v>366</v>
      </c>
      <c r="F256" s="7">
        <f t="shared" si="12"/>
        <v>772</v>
      </c>
      <c r="G256" s="8">
        <f t="shared" si="13"/>
        <v>0.52590673575129532</v>
      </c>
      <c r="H256" s="8">
        <f t="shared" si="14"/>
        <v>0.47409326424870468</v>
      </c>
      <c r="I256" s="6" t="s">
        <v>30</v>
      </c>
    </row>
    <row r="257" spans="1:9" ht="14.25" customHeight="1" x14ac:dyDescent="0.2">
      <c r="A257" s="6" t="s">
        <v>281</v>
      </c>
      <c r="B257" s="6" t="s">
        <v>313</v>
      </c>
      <c r="C257" s="6" t="s">
        <v>315</v>
      </c>
      <c r="D257" s="7">
        <v>503</v>
      </c>
      <c r="E257" s="7">
        <v>473</v>
      </c>
      <c r="F257" s="7">
        <f t="shared" si="12"/>
        <v>976</v>
      </c>
      <c r="G257" s="8">
        <f t="shared" si="13"/>
        <v>0.51536885245901642</v>
      </c>
      <c r="H257" s="8">
        <f t="shared" si="14"/>
        <v>0.48463114754098363</v>
      </c>
      <c r="I257" s="6" t="s">
        <v>30</v>
      </c>
    </row>
    <row r="258" spans="1:9" ht="14.25" customHeight="1" x14ac:dyDescent="0.2">
      <c r="A258" s="6" t="s">
        <v>281</v>
      </c>
      <c r="B258" s="6" t="s">
        <v>313</v>
      </c>
      <c r="C258" s="6" t="s">
        <v>316</v>
      </c>
      <c r="D258" s="7">
        <v>531</v>
      </c>
      <c r="E258" s="7">
        <v>456</v>
      </c>
      <c r="F258" s="7">
        <f t="shared" si="12"/>
        <v>987</v>
      </c>
      <c r="G258" s="8">
        <f t="shared" si="13"/>
        <v>0.53799392097264442</v>
      </c>
      <c r="H258" s="8">
        <f t="shared" si="14"/>
        <v>0.46200607902735563</v>
      </c>
      <c r="I258" s="6" t="s">
        <v>30</v>
      </c>
    </row>
    <row r="259" spans="1:9" ht="14.25" customHeight="1" x14ac:dyDescent="0.2">
      <c r="A259" s="6" t="s">
        <v>281</v>
      </c>
      <c r="B259" s="6" t="s">
        <v>313</v>
      </c>
      <c r="C259" s="6" t="s">
        <v>317</v>
      </c>
      <c r="D259" s="7">
        <v>276</v>
      </c>
      <c r="E259" s="7">
        <v>283</v>
      </c>
      <c r="F259" s="7">
        <f t="shared" ref="F259:F290" si="15">IF(COUNTA(D259:E259)=0,"",SUM(D259:E259))</f>
        <v>559</v>
      </c>
      <c r="G259" s="8">
        <f t="shared" ref="G259:G290" si="16">IF(OR(F259="",F259=0),"",D259/F259)</f>
        <v>0.49373881932021468</v>
      </c>
      <c r="H259" s="8">
        <f t="shared" ref="H259:H290" si="17">IF(OR(F259="",F259=0),"",E259/F259)</f>
        <v>0.50626118067978532</v>
      </c>
      <c r="I259" s="6" t="s">
        <v>30</v>
      </c>
    </row>
    <row r="260" spans="1:9" ht="14.25" customHeight="1" x14ac:dyDescent="0.2">
      <c r="A260" s="6" t="s">
        <v>281</v>
      </c>
      <c r="B260" s="6" t="s">
        <v>313</v>
      </c>
      <c r="C260" s="6" t="s">
        <v>318</v>
      </c>
      <c r="D260" s="7">
        <v>437</v>
      </c>
      <c r="E260" s="7">
        <v>376</v>
      </c>
      <c r="F260" s="7">
        <f t="shared" si="15"/>
        <v>813</v>
      </c>
      <c r="G260" s="8">
        <f t="shared" si="16"/>
        <v>0.53751537515375158</v>
      </c>
      <c r="H260" s="8">
        <f t="shared" si="17"/>
        <v>0.46248462484624847</v>
      </c>
      <c r="I260" s="6" t="s">
        <v>30</v>
      </c>
    </row>
    <row r="261" spans="1:9" ht="14.25" customHeight="1" x14ac:dyDescent="0.2">
      <c r="A261" s="6" t="s">
        <v>281</v>
      </c>
      <c r="B261" s="6" t="s">
        <v>313</v>
      </c>
      <c r="C261" s="6" t="s">
        <v>319</v>
      </c>
      <c r="D261" s="7">
        <v>437</v>
      </c>
      <c r="E261" s="7">
        <v>427</v>
      </c>
      <c r="F261" s="7">
        <f t="shared" si="15"/>
        <v>864</v>
      </c>
      <c r="G261" s="8">
        <f t="shared" si="16"/>
        <v>0.50578703703703709</v>
      </c>
      <c r="H261" s="8">
        <f t="shared" si="17"/>
        <v>0.49421296296296297</v>
      </c>
      <c r="I261" s="6" t="s">
        <v>30</v>
      </c>
    </row>
    <row r="262" spans="1:9" ht="14.25" customHeight="1" x14ac:dyDescent="0.2">
      <c r="A262" s="6" t="s">
        <v>281</v>
      </c>
      <c r="B262" s="6" t="s">
        <v>313</v>
      </c>
      <c r="C262" s="6" t="s">
        <v>320</v>
      </c>
      <c r="D262" s="7">
        <v>280</v>
      </c>
      <c r="E262" s="7">
        <v>249</v>
      </c>
      <c r="F262" s="7">
        <f t="shared" si="15"/>
        <v>529</v>
      </c>
      <c r="G262" s="8">
        <f t="shared" si="16"/>
        <v>0.52930056710775042</v>
      </c>
      <c r="H262" s="8">
        <f t="shared" si="17"/>
        <v>0.47069943289224953</v>
      </c>
      <c r="I262" s="6" t="s">
        <v>30</v>
      </c>
    </row>
    <row r="263" spans="1:9" ht="14.25" customHeight="1" x14ac:dyDescent="0.2">
      <c r="A263" s="6" t="s">
        <v>281</v>
      </c>
      <c r="B263" s="6" t="s">
        <v>313</v>
      </c>
      <c r="C263" s="6" t="s">
        <v>321</v>
      </c>
      <c r="D263" s="7">
        <v>387</v>
      </c>
      <c r="E263" s="7">
        <v>293</v>
      </c>
      <c r="F263" s="7">
        <f t="shared" si="15"/>
        <v>680</v>
      </c>
      <c r="G263" s="8">
        <f t="shared" si="16"/>
        <v>0.56911764705882351</v>
      </c>
      <c r="H263" s="8">
        <f t="shared" si="17"/>
        <v>0.43088235294117649</v>
      </c>
      <c r="I263" s="6" t="s">
        <v>30</v>
      </c>
    </row>
    <row r="264" spans="1:9" ht="14.25" customHeight="1" x14ac:dyDescent="0.2">
      <c r="A264" s="6" t="s">
        <v>281</v>
      </c>
      <c r="B264" s="6" t="s">
        <v>313</v>
      </c>
      <c r="C264" s="6" t="s">
        <v>322</v>
      </c>
      <c r="D264" s="7">
        <v>254</v>
      </c>
      <c r="E264" s="7">
        <v>177</v>
      </c>
      <c r="F264" s="7">
        <f t="shared" si="15"/>
        <v>431</v>
      </c>
      <c r="G264" s="8">
        <f t="shared" si="16"/>
        <v>0.58932714617169368</v>
      </c>
      <c r="H264" s="8">
        <f t="shared" si="17"/>
        <v>0.41067285382830626</v>
      </c>
      <c r="I264" s="6" t="s">
        <v>30</v>
      </c>
    </row>
    <row r="265" spans="1:9" ht="14.25" customHeight="1" x14ac:dyDescent="0.2">
      <c r="A265" s="6" t="s">
        <v>281</v>
      </c>
      <c r="B265" s="6" t="s">
        <v>313</v>
      </c>
      <c r="C265" s="6" t="s">
        <v>323</v>
      </c>
      <c r="D265" s="7">
        <v>313</v>
      </c>
      <c r="E265" s="7">
        <v>286</v>
      </c>
      <c r="F265" s="7">
        <f t="shared" si="15"/>
        <v>599</v>
      </c>
      <c r="G265" s="8">
        <f t="shared" si="16"/>
        <v>0.52253756260434059</v>
      </c>
      <c r="H265" s="8">
        <f t="shared" si="17"/>
        <v>0.47746243739565941</v>
      </c>
      <c r="I265" s="6" t="s">
        <v>30</v>
      </c>
    </row>
    <row r="266" spans="1:9" ht="14.25" customHeight="1" x14ac:dyDescent="0.2">
      <c r="A266" s="6" t="s">
        <v>281</v>
      </c>
      <c r="B266" s="6" t="s">
        <v>313</v>
      </c>
      <c r="C266" s="6" t="s">
        <v>324</v>
      </c>
      <c r="D266" s="7">
        <v>360</v>
      </c>
      <c r="E266" s="7">
        <v>326</v>
      </c>
      <c r="F266" s="7">
        <f t="shared" si="15"/>
        <v>686</v>
      </c>
      <c r="G266" s="8">
        <f t="shared" si="16"/>
        <v>0.52478134110787167</v>
      </c>
      <c r="H266" s="8">
        <f t="shared" si="17"/>
        <v>0.47521865889212828</v>
      </c>
      <c r="I266" s="6" t="s">
        <v>30</v>
      </c>
    </row>
    <row r="267" spans="1:9" ht="14.25" customHeight="1" x14ac:dyDescent="0.2">
      <c r="A267" s="6" t="s">
        <v>281</v>
      </c>
      <c r="B267" s="6" t="s">
        <v>313</v>
      </c>
      <c r="C267" s="6" t="s">
        <v>325</v>
      </c>
      <c r="D267" s="7">
        <v>436</v>
      </c>
      <c r="E267" s="7">
        <v>345</v>
      </c>
      <c r="F267" s="7">
        <f t="shared" si="15"/>
        <v>781</v>
      </c>
      <c r="G267" s="8">
        <f t="shared" si="16"/>
        <v>0.55825864276568504</v>
      </c>
      <c r="H267" s="8">
        <f t="shared" si="17"/>
        <v>0.44174135723431496</v>
      </c>
      <c r="I267" s="6" t="s">
        <v>30</v>
      </c>
    </row>
    <row r="268" spans="1:9" ht="14.25" customHeight="1" x14ac:dyDescent="0.2">
      <c r="A268" s="6" t="s">
        <v>281</v>
      </c>
      <c r="B268" s="6" t="s">
        <v>313</v>
      </c>
      <c r="C268" s="6" t="s">
        <v>326</v>
      </c>
      <c r="D268" s="7">
        <v>374</v>
      </c>
      <c r="E268" s="7">
        <v>375</v>
      </c>
      <c r="F268" s="7">
        <f t="shared" si="15"/>
        <v>749</v>
      </c>
      <c r="G268" s="8">
        <f t="shared" si="16"/>
        <v>0.49933244325767689</v>
      </c>
      <c r="H268" s="8">
        <f t="shared" si="17"/>
        <v>0.50066755674232311</v>
      </c>
      <c r="I268" s="6" t="s">
        <v>30</v>
      </c>
    </row>
    <row r="269" spans="1:9" ht="14.25" customHeight="1" x14ac:dyDescent="0.2">
      <c r="A269" s="6" t="s">
        <v>281</v>
      </c>
      <c r="B269" s="6" t="s">
        <v>313</v>
      </c>
      <c r="C269" s="6" t="s">
        <v>327</v>
      </c>
      <c r="D269" s="7">
        <v>743</v>
      </c>
      <c r="E269" s="7">
        <v>632</v>
      </c>
      <c r="F269" s="7">
        <f t="shared" si="15"/>
        <v>1375</v>
      </c>
      <c r="G269" s="8">
        <f t="shared" si="16"/>
        <v>0.54036363636363638</v>
      </c>
      <c r="H269" s="8">
        <f t="shared" si="17"/>
        <v>0.45963636363636362</v>
      </c>
      <c r="I269" s="6" t="s">
        <v>30</v>
      </c>
    </row>
    <row r="270" spans="1:9" ht="14.25" customHeight="1" x14ac:dyDescent="0.2">
      <c r="A270" s="6" t="s">
        <v>281</v>
      </c>
      <c r="B270" s="6" t="s">
        <v>313</v>
      </c>
      <c r="C270" s="6" t="s">
        <v>328</v>
      </c>
      <c r="D270" s="7">
        <v>434</v>
      </c>
      <c r="E270" s="7">
        <v>428</v>
      </c>
      <c r="F270" s="7">
        <f t="shared" si="15"/>
        <v>862</v>
      </c>
      <c r="G270" s="8">
        <f t="shared" si="16"/>
        <v>0.50348027842227383</v>
      </c>
      <c r="H270" s="8">
        <f t="shared" si="17"/>
        <v>0.49651972157772623</v>
      </c>
      <c r="I270" s="6" t="s">
        <v>30</v>
      </c>
    </row>
    <row r="271" spans="1:9" ht="14.25" customHeight="1" x14ac:dyDescent="0.2">
      <c r="A271" s="6" t="s">
        <v>281</v>
      </c>
      <c r="B271" s="6" t="s">
        <v>313</v>
      </c>
      <c r="C271" s="6" t="s">
        <v>329</v>
      </c>
      <c r="D271" s="7">
        <v>449</v>
      </c>
      <c r="E271" s="7">
        <v>424</v>
      </c>
      <c r="F271" s="7">
        <f t="shared" si="15"/>
        <v>873</v>
      </c>
      <c r="G271" s="8">
        <f t="shared" si="16"/>
        <v>0.51431844215349365</v>
      </c>
      <c r="H271" s="8">
        <f t="shared" si="17"/>
        <v>0.4856815578465063</v>
      </c>
      <c r="I271" s="6" t="s">
        <v>30</v>
      </c>
    </row>
    <row r="272" spans="1:9" ht="14.25" customHeight="1" x14ac:dyDescent="0.2">
      <c r="A272" s="6" t="s">
        <v>281</v>
      </c>
      <c r="B272" s="6" t="s">
        <v>313</v>
      </c>
      <c r="C272" s="6" t="s">
        <v>330</v>
      </c>
      <c r="D272" s="7">
        <v>400</v>
      </c>
      <c r="E272" s="7">
        <v>379</v>
      </c>
      <c r="F272" s="7">
        <f t="shared" si="15"/>
        <v>779</v>
      </c>
      <c r="G272" s="8">
        <f t="shared" si="16"/>
        <v>0.51347881899871628</v>
      </c>
      <c r="H272" s="8">
        <f t="shared" si="17"/>
        <v>0.48652118100128372</v>
      </c>
      <c r="I272" s="6" t="s">
        <v>30</v>
      </c>
    </row>
    <row r="273" spans="1:9" ht="14.25" customHeight="1" x14ac:dyDescent="0.2">
      <c r="A273" s="6" t="s">
        <v>281</v>
      </c>
      <c r="B273" s="6" t="s">
        <v>331</v>
      </c>
      <c r="C273" s="6" t="s">
        <v>332</v>
      </c>
      <c r="D273" s="7">
        <v>810</v>
      </c>
      <c r="E273" s="7">
        <v>1311</v>
      </c>
      <c r="F273" s="7">
        <f t="shared" si="15"/>
        <v>2121</v>
      </c>
      <c r="G273" s="8">
        <f t="shared" si="16"/>
        <v>0.38189533239038187</v>
      </c>
      <c r="H273" s="8">
        <f t="shared" si="17"/>
        <v>0.61810466760961813</v>
      </c>
      <c r="I273" s="6" t="s">
        <v>30</v>
      </c>
    </row>
    <row r="274" spans="1:9" ht="14.25" customHeight="1" x14ac:dyDescent="0.2">
      <c r="A274" s="6" t="s">
        <v>281</v>
      </c>
      <c r="B274" s="6" t="s">
        <v>331</v>
      </c>
      <c r="C274" s="6" t="s">
        <v>333</v>
      </c>
      <c r="D274" s="7">
        <v>719</v>
      </c>
      <c r="E274" s="7">
        <v>1052</v>
      </c>
      <c r="F274" s="7">
        <f t="shared" si="15"/>
        <v>1771</v>
      </c>
      <c r="G274" s="8">
        <f t="shared" si="16"/>
        <v>0.40598531902879731</v>
      </c>
      <c r="H274" s="8">
        <f t="shared" si="17"/>
        <v>0.59401468097120269</v>
      </c>
      <c r="I274" s="6" t="s">
        <v>30</v>
      </c>
    </row>
    <row r="275" spans="1:9" ht="14.25" customHeight="1" x14ac:dyDescent="0.2">
      <c r="A275" s="6" t="s">
        <v>281</v>
      </c>
      <c r="B275" s="6" t="s">
        <v>331</v>
      </c>
      <c r="C275" s="6" t="s">
        <v>334</v>
      </c>
      <c r="D275" s="7">
        <v>338</v>
      </c>
      <c r="E275" s="7">
        <v>678</v>
      </c>
      <c r="F275" s="7">
        <f t="shared" si="15"/>
        <v>1016</v>
      </c>
      <c r="G275" s="8">
        <f t="shared" si="16"/>
        <v>0.33267716535433073</v>
      </c>
      <c r="H275" s="8">
        <f t="shared" si="17"/>
        <v>0.66732283464566933</v>
      </c>
      <c r="I275" s="6" t="s">
        <v>30</v>
      </c>
    </row>
    <row r="276" spans="1:9" ht="14.25" customHeight="1" x14ac:dyDescent="0.2">
      <c r="A276" s="6" t="s">
        <v>281</v>
      </c>
      <c r="B276" s="6" t="s">
        <v>335</v>
      </c>
      <c r="C276" s="6" t="s">
        <v>335</v>
      </c>
      <c r="D276" s="7">
        <v>36</v>
      </c>
      <c r="E276" s="7">
        <v>64</v>
      </c>
      <c r="F276" s="7">
        <f t="shared" si="15"/>
        <v>100</v>
      </c>
      <c r="G276" s="8">
        <f t="shared" si="16"/>
        <v>0.36</v>
      </c>
      <c r="H276" s="8">
        <f t="shared" si="17"/>
        <v>0.64</v>
      </c>
      <c r="I276" s="6" t="s">
        <v>30</v>
      </c>
    </row>
    <row r="277" spans="1:9" ht="14.25" customHeight="1" x14ac:dyDescent="0.2">
      <c r="A277" s="6" t="s">
        <v>281</v>
      </c>
      <c r="B277" s="6" t="s">
        <v>336</v>
      </c>
      <c r="C277" s="6" t="s">
        <v>337</v>
      </c>
      <c r="D277" s="7">
        <v>605</v>
      </c>
      <c r="E277" s="7">
        <v>866</v>
      </c>
      <c r="F277" s="7">
        <f t="shared" si="15"/>
        <v>1471</v>
      </c>
      <c r="G277" s="8">
        <f t="shared" si="16"/>
        <v>0.4112848402447315</v>
      </c>
      <c r="H277" s="8">
        <f t="shared" si="17"/>
        <v>0.58871515975526856</v>
      </c>
      <c r="I277" s="6" t="s">
        <v>30</v>
      </c>
    </row>
    <row r="278" spans="1:9" ht="14.25" customHeight="1" x14ac:dyDescent="0.2">
      <c r="A278" s="6" t="s">
        <v>281</v>
      </c>
      <c r="B278" s="6" t="s">
        <v>336</v>
      </c>
      <c r="C278" s="6" t="s">
        <v>338</v>
      </c>
      <c r="D278" s="7">
        <v>593</v>
      </c>
      <c r="E278" s="7">
        <v>752</v>
      </c>
      <c r="F278" s="7">
        <f t="shared" si="15"/>
        <v>1345</v>
      </c>
      <c r="G278" s="8">
        <f t="shared" si="16"/>
        <v>0.44089219330855017</v>
      </c>
      <c r="H278" s="8">
        <f t="shared" si="17"/>
        <v>0.55910780669144977</v>
      </c>
      <c r="I278" s="6" t="s">
        <v>30</v>
      </c>
    </row>
    <row r="279" spans="1:9" ht="14.25" customHeight="1" x14ac:dyDescent="0.2">
      <c r="A279" s="6" t="s">
        <v>281</v>
      </c>
      <c r="B279" s="6" t="s">
        <v>339</v>
      </c>
      <c r="C279" s="6" t="s">
        <v>339</v>
      </c>
      <c r="D279" s="7">
        <v>161</v>
      </c>
      <c r="E279" s="7">
        <v>248</v>
      </c>
      <c r="F279" s="7">
        <f t="shared" si="15"/>
        <v>409</v>
      </c>
      <c r="G279" s="8">
        <f t="shared" si="16"/>
        <v>0.39364303178484106</v>
      </c>
      <c r="H279" s="8">
        <f t="shared" si="17"/>
        <v>0.60635696821515894</v>
      </c>
      <c r="I279" s="6" t="s">
        <v>30</v>
      </c>
    </row>
    <row r="280" spans="1:9" ht="14.25" customHeight="1" x14ac:dyDescent="0.2">
      <c r="A280" s="6" t="s">
        <v>281</v>
      </c>
      <c r="B280" s="6" t="s">
        <v>340</v>
      </c>
      <c r="C280" s="6" t="s">
        <v>341</v>
      </c>
      <c r="D280" s="7">
        <v>460</v>
      </c>
      <c r="E280" s="7">
        <v>245</v>
      </c>
      <c r="F280" s="7">
        <f t="shared" si="15"/>
        <v>705</v>
      </c>
      <c r="G280" s="8">
        <f t="shared" si="16"/>
        <v>0.65248226950354615</v>
      </c>
      <c r="H280" s="8">
        <f t="shared" si="17"/>
        <v>0.3475177304964539</v>
      </c>
      <c r="I280" s="6" t="s">
        <v>30</v>
      </c>
    </row>
    <row r="281" spans="1:9" ht="14.25" customHeight="1" x14ac:dyDescent="0.2">
      <c r="A281" s="6" t="s">
        <v>281</v>
      </c>
      <c r="B281" s="6" t="s">
        <v>340</v>
      </c>
      <c r="C281" s="6" t="s">
        <v>342</v>
      </c>
      <c r="D281" s="7">
        <v>462</v>
      </c>
      <c r="E281" s="7">
        <v>240</v>
      </c>
      <c r="F281" s="7">
        <f t="shared" si="15"/>
        <v>702</v>
      </c>
      <c r="G281" s="8">
        <f t="shared" si="16"/>
        <v>0.65811965811965811</v>
      </c>
      <c r="H281" s="8">
        <f t="shared" si="17"/>
        <v>0.34188034188034189</v>
      </c>
      <c r="I281" s="6" t="s">
        <v>30</v>
      </c>
    </row>
    <row r="282" spans="1:9" ht="14.25" customHeight="1" x14ac:dyDescent="0.2">
      <c r="A282" s="6" t="s">
        <v>281</v>
      </c>
      <c r="B282" s="6" t="s">
        <v>340</v>
      </c>
      <c r="C282" s="6" t="s">
        <v>343</v>
      </c>
      <c r="D282" s="7">
        <v>338</v>
      </c>
      <c r="E282" s="7">
        <v>158</v>
      </c>
      <c r="F282" s="7">
        <f t="shared" si="15"/>
        <v>496</v>
      </c>
      <c r="G282" s="8">
        <f t="shared" si="16"/>
        <v>0.68145161290322576</v>
      </c>
      <c r="H282" s="8">
        <f t="shared" si="17"/>
        <v>0.31854838709677419</v>
      </c>
      <c r="I282" s="6" t="s">
        <v>30</v>
      </c>
    </row>
    <row r="283" spans="1:9" ht="14.25" customHeight="1" x14ac:dyDescent="0.2">
      <c r="A283" s="6" t="s">
        <v>281</v>
      </c>
      <c r="B283" s="6" t="s">
        <v>340</v>
      </c>
      <c r="C283" s="6" t="s">
        <v>344</v>
      </c>
      <c r="D283" s="7">
        <v>599</v>
      </c>
      <c r="E283" s="7">
        <v>238</v>
      </c>
      <c r="F283" s="7">
        <f t="shared" si="15"/>
        <v>837</v>
      </c>
      <c r="G283" s="8">
        <f t="shared" si="16"/>
        <v>0.71565113500597377</v>
      </c>
      <c r="H283" s="8">
        <f t="shared" si="17"/>
        <v>0.28434886499402628</v>
      </c>
      <c r="I283" s="6" t="s">
        <v>30</v>
      </c>
    </row>
    <row r="284" spans="1:9" ht="14.25" customHeight="1" x14ac:dyDescent="0.2">
      <c r="A284" s="6" t="s">
        <v>281</v>
      </c>
      <c r="B284" s="6" t="s">
        <v>340</v>
      </c>
      <c r="C284" s="6" t="s">
        <v>345</v>
      </c>
      <c r="D284" s="7">
        <v>442</v>
      </c>
      <c r="E284" s="7">
        <v>178</v>
      </c>
      <c r="F284" s="7">
        <f t="shared" si="15"/>
        <v>620</v>
      </c>
      <c r="G284" s="8">
        <f t="shared" si="16"/>
        <v>0.7129032258064516</v>
      </c>
      <c r="H284" s="8">
        <f t="shared" si="17"/>
        <v>0.2870967741935484</v>
      </c>
      <c r="I284" s="6" t="s">
        <v>30</v>
      </c>
    </row>
    <row r="285" spans="1:9" ht="14.25" customHeight="1" x14ac:dyDescent="0.2">
      <c r="A285" s="6" t="s">
        <v>281</v>
      </c>
      <c r="B285" s="6" t="s">
        <v>340</v>
      </c>
      <c r="C285" s="6" t="s">
        <v>346</v>
      </c>
      <c r="D285" s="7">
        <v>465</v>
      </c>
      <c r="E285" s="7">
        <v>235</v>
      </c>
      <c r="F285" s="7">
        <f t="shared" si="15"/>
        <v>700</v>
      </c>
      <c r="G285" s="8">
        <f t="shared" si="16"/>
        <v>0.66428571428571426</v>
      </c>
      <c r="H285" s="8">
        <f t="shared" si="17"/>
        <v>0.33571428571428569</v>
      </c>
      <c r="I285" s="6" t="s">
        <v>30</v>
      </c>
    </row>
    <row r="286" spans="1:9" ht="14.25" customHeight="1" x14ac:dyDescent="0.2">
      <c r="A286" s="6" t="s">
        <v>281</v>
      </c>
      <c r="B286" s="6" t="s">
        <v>340</v>
      </c>
      <c r="C286" s="6" t="s">
        <v>347</v>
      </c>
      <c r="D286" s="7">
        <v>338</v>
      </c>
      <c r="E286" s="7">
        <v>186</v>
      </c>
      <c r="F286" s="7">
        <f t="shared" si="15"/>
        <v>524</v>
      </c>
      <c r="G286" s="8">
        <f t="shared" si="16"/>
        <v>0.64503816793893132</v>
      </c>
      <c r="H286" s="8">
        <f t="shared" si="17"/>
        <v>0.35496183206106868</v>
      </c>
      <c r="I286" s="6" t="s">
        <v>30</v>
      </c>
    </row>
    <row r="287" spans="1:9" ht="14.25" customHeight="1" x14ac:dyDescent="0.2">
      <c r="A287" s="6" t="s">
        <v>281</v>
      </c>
      <c r="B287" s="6" t="s">
        <v>340</v>
      </c>
      <c r="C287" s="6" t="s">
        <v>348</v>
      </c>
      <c r="D287" s="7">
        <v>155</v>
      </c>
      <c r="E287" s="7">
        <v>62</v>
      </c>
      <c r="F287" s="7">
        <f t="shared" si="15"/>
        <v>217</v>
      </c>
      <c r="G287" s="8">
        <f t="shared" si="16"/>
        <v>0.7142857142857143</v>
      </c>
      <c r="H287" s="8">
        <f t="shared" si="17"/>
        <v>0.2857142857142857</v>
      </c>
      <c r="I287" s="6" t="s">
        <v>30</v>
      </c>
    </row>
    <row r="288" spans="1:9" ht="14.25" customHeight="1" x14ac:dyDescent="0.2">
      <c r="A288" s="6" t="s">
        <v>281</v>
      </c>
      <c r="B288" s="6" t="s">
        <v>340</v>
      </c>
      <c r="C288" s="6" t="s">
        <v>349</v>
      </c>
      <c r="D288" s="7">
        <v>233</v>
      </c>
      <c r="E288" s="7">
        <v>86</v>
      </c>
      <c r="F288" s="7">
        <f t="shared" si="15"/>
        <v>319</v>
      </c>
      <c r="G288" s="8">
        <f t="shared" si="16"/>
        <v>0.73040752351097182</v>
      </c>
      <c r="H288" s="8">
        <f t="shared" si="17"/>
        <v>0.26959247648902823</v>
      </c>
      <c r="I288" s="6" t="s">
        <v>30</v>
      </c>
    </row>
    <row r="289" spans="1:9" ht="14.25" customHeight="1" x14ac:dyDescent="0.2">
      <c r="A289" s="6" t="s">
        <v>281</v>
      </c>
      <c r="B289" s="6" t="s">
        <v>340</v>
      </c>
      <c r="C289" s="6" t="s">
        <v>350</v>
      </c>
      <c r="D289" s="7">
        <v>216</v>
      </c>
      <c r="E289" s="7">
        <v>119</v>
      </c>
      <c r="F289" s="7">
        <f t="shared" si="15"/>
        <v>335</v>
      </c>
      <c r="G289" s="8">
        <f t="shared" si="16"/>
        <v>0.64477611940298507</v>
      </c>
      <c r="H289" s="8">
        <f t="shared" si="17"/>
        <v>0.35522388059701493</v>
      </c>
      <c r="I289" s="6" t="s">
        <v>30</v>
      </c>
    </row>
    <row r="290" spans="1:9" ht="14.25" customHeight="1" x14ac:dyDescent="0.2">
      <c r="A290" s="6" t="s">
        <v>281</v>
      </c>
      <c r="B290" s="6" t="s">
        <v>340</v>
      </c>
      <c r="C290" s="6" t="s">
        <v>351</v>
      </c>
      <c r="D290" s="7">
        <v>450</v>
      </c>
      <c r="E290" s="7">
        <v>256</v>
      </c>
      <c r="F290" s="7">
        <f t="shared" si="15"/>
        <v>706</v>
      </c>
      <c r="G290" s="8">
        <f t="shared" si="16"/>
        <v>0.63739376770538247</v>
      </c>
      <c r="H290" s="8">
        <f t="shared" si="17"/>
        <v>0.36260623229461758</v>
      </c>
      <c r="I290" s="6" t="s">
        <v>30</v>
      </c>
    </row>
    <row r="291" spans="1:9" ht="14.25" customHeight="1" x14ac:dyDescent="0.2">
      <c r="A291" s="6" t="s">
        <v>281</v>
      </c>
      <c r="B291" s="6" t="s">
        <v>340</v>
      </c>
      <c r="C291" s="6" t="s">
        <v>352</v>
      </c>
      <c r="D291" s="7">
        <v>569</v>
      </c>
      <c r="E291" s="7">
        <v>274</v>
      </c>
      <c r="F291" s="7">
        <f t="shared" ref="F291:F322" si="18">IF(COUNTA(D291:E291)=0,"",SUM(D291:E291))</f>
        <v>843</v>
      </c>
      <c r="G291" s="8">
        <f t="shared" ref="G291:G322" si="19">IF(OR(F291="",F291=0),"",D291/F291)</f>
        <v>0.67497034400948996</v>
      </c>
      <c r="H291" s="8">
        <f t="shared" ref="H291:H322" si="20">IF(OR(F291="",F291=0),"",E291/F291)</f>
        <v>0.32502965599051009</v>
      </c>
      <c r="I291" s="6" t="s">
        <v>30</v>
      </c>
    </row>
    <row r="292" spans="1:9" ht="14.25" customHeight="1" x14ac:dyDescent="0.2">
      <c r="A292" s="6" t="s">
        <v>281</v>
      </c>
      <c r="B292" s="6" t="s">
        <v>353</v>
      </c>
      <c r="C292" s="6" t="s">
        <v>354</v>
      </c>
      <c r="D292" s="7">
        <v>725</v>
      </c>
      <c r="E292" s="7">
        <v>720</v>
      </c>
      <c r="F292" s="7">
        <f t="shared" si="18"/>
        <v>1445</v>
      </c>
      <c r="G292" s="8">
        <f t="shared" si="19"/>
        <v>0.5017301038062284</v>
      </c>
      <c r="H292" s="8">
        <f t="shared" si="20"/>
        <v>0.4982698961937716</v>
      </c>
      <c r="I292" s="6" t="s">
        <v>30</v>
      </c>
    </row>
    <row r="293" spans="1:9" ht="14.25" customHeight="1" x14ac:dyDescent="0.2">
      <c r="A293" s="6" t="s">
        <v>281</v>
      </c>
      <c r="B293" s="6" t="s">
        <v>353</v>
      </c>
      <c r="C293" s="6" t="s">
        <v>355</v>
      </c>
      <c r="D293" s="7">
        <v>530</v>
      </c>
      <c r="E293" s="7">
        <v>628</v>
      </c>
      <c r="F293" s="7">
        <f t="shared" si="18"/>
        <v>1158</v>
      </c>
      <c r="G293" s="8">
        <f t="shared" si="19"/>
        <v>0.45768566493955093</v>
      </c>
      <c r="H293" s="8">
        <f t="shared" si="20"/>
        <v>0.54231433506044902</v>
      </c>
      <c r="I293" s="6" t="s">
        <v>30</v>
      </c>
    </row>
    <row r="294" spans="1:9" ht="14.25" customHeight="1" x14ac:dyDescent="0.2">
      <c r="A294" s="6" t="s">
        <v>281</v>
      </c>
      <c r="B294" s="6" t="s">
        <v>353</v>
      </c>
      <c r="C294" s="6" t="s">
        <v>356</v>
      </c>
      <c r="D294" s="7">
        <v>672</v>
      </c>
      <c r="E294" s="7">
        <v>549</v>
      </c>
      <c r="F294" s="7">
        <f t="shared" si="18"/>
        <v>1221</v>
      </c>
      <c r="G294" s="8">
        <f t="shared" si="19"/>
        <v>0.55036855036855037</v>
      </c>
      <c r="H294" s="8">
        <f t="shared" si="20"/>
        <v>0.44963144963144963</v>
      </c>
      <c r="I294" s="6" t="s">
        <v>30</v>
      </c>
    </row>
    <row r="295" spans="1:9" ht="14.25" customHeight="1" x14ac:dyDescent="0.2">
      <c r="A295" s="6" t="s">
        <v>281</v>
      </c>
      <c r="B295" s="6" t="s">
        <v>353</v>
      </c>
      <c r="C295" s="6" t="s">
        <v>357</v>
      </c>
      <c r="D295" s="7">
        <v>616</v>
      </c>
      <c r="E295" s="7">
        <v>586</v>
      </c>
      <c r="F295" s="7">
        <f t="shared" si="18"/>
        <v>1202</v>
      </c>
      <c r="G295" s="8">
        <f t="shared" si="19"/>
        <v>0.5124792013311148</v>
      </c>
      <c r="H295" s="8">
        <f t="shared" si="20"/>
        <v>0.4875207986688852</v>
      </c>
      <c r="I295" s="6" t="s">
        <v>30</v>
      </c>
    </row>
    <row r="296" spans="1:9" ht="14.25" customHeight="1" x14ac:dyDescent="0.2">
      <c r="A296" s="6" t="s">
        <v>281</v>
      </c>
      <c r="B296" s="6" t="s">
        <v>353</v>
      </c>
      <c r="C296" s="6" t="s">
        <v>358</v>
      </c>
      <c r="D296" s="7">
        <v>552</v>
      </c>
      <c r="E296" s="7">
        <v>550</v>
      </c>
      <c r="F296" s="7">
        <f t="shared" si="18"/>
        <v>1102</v>
      </c>
      <c r="G296" s="8">
        <f t="shared" si="19"/>
        <v>0.50090744101633389</v>
      </c>
      <c r="H296" s="8">
        <f t="shared" si="20"/>
        <v>0.49909255898366606</v>
      </c>
      <c r="I296" s="6" t="s">
        <v>30</v>
      </c>
    </row>
    <row r="297" spans="1:9" ht="14.25" customHeight="1" x14ac:dyDescent="0.2">
      <c r="A297" s="6" t="s">
        <v>281</v>
      </c>
      <c r="B297" s="6" t="s">
        <v>353</v>
      </c>
      <c r="C297" s="6" t="s">
        <v>359</v>
      </c>
      <c r="D297" s="7">
        <v>647</v>
      </c>
      <c r="E297" s="7">
        <v>641</v>
      </c>
      <c r="F297" s="7">
        <f t="shared" si="18"/>
        <v>1288</v>
      </c>
      <c r="G297" s="8">
        <f t="shared" si="19"/>
        <v>0.50232919254658381</v>
      </c>
      <c r="H297" s="8">
        <f t="shared" si="20"/>
        <v>0.49767080745341613</v>
      </c>
      <c r="I297" s="6" t="s">
        <v>30</v>
      </c>
    </row>
    <row r="298" spans="1:9" ht="14.25" customHeight="1" x14ac:dyDescent="0.2">
      <c r="A298" s="6" t="s">
        <v>281</v>
      </c>
      <c r="B298" s="6" t="s">
        <v>353</v>
      </c>
      <c r="C298" s="6" t="s">
        <v>360</v>
      </c>
      <c r="D298" s="7">
        <v>594</v>
      </c>
      <c r="E298" s="7">
        <v>677</v>
      </c>
      <c r="F298" s="7">
        <f t="shared" si="18"/>
        <v>1271</v>
      </c>
      <c r="G298" s="8">
        <f t="shared" si="19"/>
        <v>0.46734854445318647</v>
      </c>
      <c r="H298" s="8">
        <f t="shared" si="20"/>
        <v>0.53265145554681348</v>
      </c>
      <c r="I298" s="6" t="s">
        <v>30</v>
      </c>
    </row>
    <row r="299" spans="1:9" ht="14.25" customHeight="1" x14ac:dyDescent="0.2">
      <c r="A299" s="6" t="s">
        <v>281</v>
      </c>
      <c r="B299" s="6" t="s">
        <v>361</v>
      </c>
      <c r="C299" s="6" t="s">
        <v>361</v>
      </c>
      <c r="D299" s="7">
        <v>511</v>
      </c>
      <c r="E299" s="7">
        <v>338</v>
      </c>
      <c r="F299" s="7">
        <f t="shared" si="18"/>
        <v>849</v>
      </c>
      <c r="G299" s="8">
        <f t="shared" si="19"/>
        <v>0.60188457008244989</v>
      </c>
      <c r="H299" s="8">
        <f t="shared" si="20"/>
        <v>0.39811542991755006</v>
      </c>
      <c r="I299" s="6" t="s">
        <v>30</v>
      </c>
    </row>
    <row r="300" spans="1:9" ht="14.25" customHeight="1" x14ac:dyDescent="0.2">
      <c r="A300" s="6" t="s">
        <v>281</v>
      </c>
      <c r="B300" s="6" t="s">
        <v>362</v>
      </c>
      <c r="C300" s="6" t="s">
        <v>362</v>
      </c>
      <c r="D300" s="7">
        <v>83</v>
      </c>
      <c r="E300" s="7">
        <v>76</v>
      </c>
      <c r="F300" s="7">
        <f t="shared" si="18"/>
        <v>159</v>
      </c>
      <c r="G300" s="8">
        <f t="shared" si="19"/>
        <v>0.5220125786163522</v>
      </c>
      <c r="H300" s="8">
        <f t="shared" si="20"/>
        <v>0.4779874213836478</v>
      </c>
      <c r="I300" s="6" t="s">
        <v>30</v>
      </c>
    </row>
    <row r="301" spans="1:9" ht="14.25" customHeight="1" x14ac:dyDescent="0.2">
      <c r="A301" s="6" t="s">
        <v>281</v>
      </c>
      <c r="B301" s="6" t="s">
        <v>188</v>
      </c>
      <c r="C301" s="6" t="s">
        <v>363</v>
      </c>
      <c r="D301" s="7">
        <v>811</v>
      </c>
      <c r="E301" s="7">
        <v>620</v>
      </c>
      <c r="F301" s="7">
        <f t="shared" si="18"/>
        <v>1431</v>
      </c>
      <c r="G301" s="8">
        <f t="shared" si="19"/>
        <v>0.56673654786862337</v>
      </c>
      <c r="H301" s="8">
        <f t="shared" si="20"/>
        <v>0.43326345213137668</v>
      </c>
      <c r="I301" s="6" t="s">
        <v>30</v>
      </c>
    </row>
    <row r="302" spans="1:9" ht="14.25" customHeight="1" x14ac:dyDescent="0.2">
      <c r="A302" s="6" t="s">
        <v>281</v>
      </c>
      <c r="B302" s="6" t="s">
        <v>188</v>
      </c>
      <c r="C302" s="6" t="s">
        <v>364</v>
      </c>
      <c r="D302" s="7">
        <v>793</v>
      </c>
      <c r="E302" s="7">
        <v>658</v>
      </c>
      <c r="F302" s="7">
        <f t="shared" si="18"/>
        <v>1451</v>
      </c>
      <c r="G302" s="8">
        <f t="shared" si="19"/>
        <v>0.54651964162646449</v>
      </c>
      <c r="H302" s="8">
        <f t="shared" si="20"/>
        <v>0.45348035837353551</v>
      </c>
      <c r="I302" s="6" t="s">
        <v>30</v>
      </c>
    </row>
    <row r="303" spans="1:9" ht="14.25" customHeight="1" x14ac:dyDescent="0.2">
      <c r="A303" s="6" t="s">
        <v>281</v>
      </c>
      <c r="B303" s="6" t="s">
        <v>188</v>
      </c>
      <c r="C303" s="6" t="s">
        <v>365</v>
      </c>
      <c r="D303" s="7">
        <v>401</v>
      </c>
      <c r="E303" s="7">
        <v>361</v>
      </c>
      <c r="F303" s="7">
        <f t="shared" si="18"/>
        <v>762</v>
      </c>
      <c r="G303" s="8">
        <f t="shared" si="19"/>
        <v>0.52624671916010501</v>
      </c>
      <c r="H303" s="8">
        <f t="shared" si="20"/>
        <v>0.47375328083989499</v>
      </c>
      <c r="I303" s="6" t="s">
        <v>30</v>
      </c>
    </row>
    <row r="304" spans="1:9" ht="14.25" customHeight="1" x14ac:dyDescent="0.2">
      <c r="A304" s="6" t="s">
        <v>281</v>
      </c>
      <c r="B304" s="6" t="s">
        <v>188</v>
      </c>
      <c r="C304" s="6" t="s">
        <v>366</v>
      </c>
      <c r="D304" s="7">
        <v>661</v>
      </c>
      <c r="E304" s="7">
        <v>603</v>
      </c>
      <c r="F304" s="7">
        <f t="shared" si="18"/>
        <v>1264</v>
      </c>
      <c r="G304" s="8">
        <f t="shared" si="19"/>
        <v>0.52294303797468356</v>
      </c>
      <c r="H304" s="8">
        <f t="shared" si="20"/>
        <v>0.47705696202531644</v>
      </c>
      <c r="I304" s="6" t="s">
        <v>30</v>
      </c>
    </row>
    <row r="305" spans="1:9" ht="14.25" customHeight="1" x14ac:dyDescent="0.2">
      <c r="A305" s="6" t="s">
        <v>281</v>
      </c>
      <c r="B305" s="6" t="s">
        <v>188</v>
      </c>
      <c r="C305" s="6" t="s">
        <v>367</v>
      </c>
      <c r="D305" s="7">
        <v>656</v>
      </c>
      <c r="E305" s="7">
        <v>562</v>
      </c>
      <c r="F305" s="7">
        <f t="shared" si="18"/>
        <v>1218</v>
      </c>
      <c r="G305" s="8">
        <f t="shared" si="19"/>
        <v>0.53858784893267653</v>
      </c>
      <c r="H305" s="8">
        <f t="shared" si="20"/>
        <v>0.46141215106732347</v>
      </c>
      <c r="I305" s="6" t="s">
        <v>30</v>
      </c>
    </row>
    <row r="306" spans="1:9" ht="14.25" customHeight="1" x14ac:dyDescent="0.2">
      <c r="A306" s="6" t="s">
        <v>281</v>
      </c>
      <c r="B306" s="6" t="s">
        <v>188</v>
      </c>
      <c r="C306" s="6" t="s">
        <v>368</v>
      </c>
      <c r="D306" s="7">
        <v>444</v>
      </c>
      <c r="E306" s="7">
        <v>391</v>
      </c>
      <c r="F306" s="7">
        <f t="shared" si="18"/>
        <v>835</v>
      </c>
      <c r="G306" s="8">
        <f t="shared" si="19"/>
        <v>0.53173652694610773</v>
      </c>
      <c r="H306" s="8">
        <f t="shared" si="20"/>
        <v>0.46826347305389221</v>
      </c>
      <c r="I306" s="6" t="s">
        <v>30</v>
      </c>
    </row>
    <row r="307" spans="1:9" ht="14.25" customHeight="1" x14ac:dyDescent="0.2">
      <c r="A307" s="6" t="s">
        <v>281</v>
      </c>
      <c r="B307" s="6" t="s">
        <v>369</v>
      </c>
      <c r="C307" s="6" t="s">
        <v>370</v>
      </c>
      <c r="D307" s="7">
        <v>470</v>
      </c>
      <c r="E307" s="7">
        <v>493</v>
      </c>
      <c r="F307" s="7">
        <f t="shared" si="18"/>
        <v>963</v>
      </c>
      <c r="G307" s="8">
        <f t="shared" si="19"/>
        <v>0.48805815160955346</v>
      </c>
      <c r="H307" s="8">
        <f t="shared" si="20"/>
        <v>0.51194184839044654</v>
      </c>
      <c r="I307" s="6" t="s">
        <v>30</v>
      </c>
    </row>
    <row r="308" spans="1:9" ht="14.25" customHeight="1" x14ac:dyDescent="0.2">
      <c r="A308" s="6" t="s">
        <v>281</v>
      </c>
      <c r="B308" s="6" t="s">
        <v>369</v>
      </c>
      <c r="C308" s="6" t="s">
        <v>371</v>
      </c>
      <c r="D308" s="7">
        <v>389</v>
      </c>
      <c r="E308" s="7">
        <v>385</v>
      </c>
      <c r="F308" s="7">
        <f t="shared" si="18"/>
        <v>774</v>
      </c>
      <c r="G308" s="8">
        <f t="shared" si="19"/>
        <v>0.50258397932816534</v>
      </c>
      <c r="H308" s="8">
        <f t="shared" si="20"/>
        <v>0.4974160206718346</v>
      </c>
      <c r="I308" s="6" t="s">
        <v>30</v>
      </c>
    </row>
    <row r="309" spans="1:9" ht="14.25" customHeight="1" x14ac:dyDescent="0.2">
      <c r="A309" s="6" t="s">
        <v>281</v>
      </c>
      <c r="B309" s="6" t="s">
        <v>369</v>
      </c>
      <c r="C309" s="6" t="s">
        <v>372</v>
      </c>
      <c r="D309" s="7">
        <v>583</v>
      </c>
      <c r="E309" s="7">
        <v>514</v>
      </c>
      <c r="F309" s="7">
        <f t="shared" si="18"/>
        <v>1097</v>
      </c>
      <c r="G309" s="8">
        <f t="shared" si="19"/>
        <v>0.53144940747493163</v>
      </c>
      <c r="H309" s="8">
        <f t="shared" si="20"/>
        <v>0.46855059252506837</v>
      </c>
      <c r="I309" s="6" t="s">
        <v>30</v>
      </c>
    </row>
    <row r="310" spans="1:9" ht="14.25" customHeight="1" x14ac:dyDescent="0.2">
      <c r="A310" s="6" t="s">
        <v>281</v>
      </c>
      <c r="B310" s="6" t="s">
        <v>373</v>
      </c>
      <c r="C310" s="6" t="s">
        <v>374</v>
      </c>
      <c r="D310" s="7">
        <v>487</v>
      </c>
      <c r="E310" s="7">
        <v>921</v>
      </c>
      <c r="F310" s="7">
        <f t="shared" si="18"/>
        <v>1408</v>
      </c>
      <c r="G310" s="8">
        <f t="shared" si="19"/>
        <v>0.34588068181818182</v>
      </c>
      <c r="H310" s="8">
        <f t="shared" si="20"/>
        <v>0.65411931818181823</v>
      </c>
      <c r="I310" s="6" t="s">
        <v>30</v>
      </c>
    </row>
    <row r="311" spans="1:9" ht="14.25" customHeight="1" x14ac:dyDescent="0.2">
      <c r="A311" s="6" t="s">
        <v>281</v>
      </c>
      <c r="B311" s="6" t="s">
        <v>373</v>
      </c>
      <c r="C311" s="6" t="s">
        <v>375</v>
      </c>
      <c r="D311" s="7">
        <v>573</v>
      </c>
      <c r="E311" s="7">
        <v>1031</v>
      </c>
      <c r="F311" s="7">
        <f t="shared" si="18"/>
        <v>1604</v>
      </c>
      <c r="G311" s="8">
        <f t="shared" si="19"/>
        <v>0.35723192019950123</v>
      </c>
      <c r="H311" s="8">
        <f t="shared" si="20"/>
        <v>0.64276807980049877</v>
      </c>
      <c r="I311" s="6" t="s">
        <v>30</v>
      </c>
    </row>
    <row r="312" spans="1:9" ht="14.25" customHeight="1" x14ac:dyDescent="0.2">
      <c r="A312" s="6" t="s">
        <v>281</v>
      </c>
      <c r="B312" s="6" t="s">
        <v>373</v>
      </c>
      <c r="C312" s="6" t="s">
        <v>376</v>
      </c>
      <c r="D312" s="7">
        <v>180</v>
      </c>
      <c r="E312" s="7">
        <v>395</v>
      </c>
      <c r="F312" s="7">
        <f t="shared" si="18"/>
        <v>575</v>
      </c>
      <c r="G312" s="8">
        <f t="shared" si="19"/>
        <v>0.31304347826086959</v>
      </c>
      <c r="H312" s="8">
        <f t="shared" si="20"/>
        <v>0.68695652173913047</v>
      </c>
      <c r="I312" s="6" t="s">
        <v>30</v>
      </c>
    </row>
    <row r="313" spans="1:9" ht="14.25" customHeight="1" x14ac:dyDescent="0.2">
      <c r="A313" s="6" t="s">
        <v>281</v>
      </c>
      <c r="B313" s="6" t="s">
        <v>373</v>
      </c>
      <c r="C313" s="6" t="s">
        <v>377</v>
      </c>
      <c r="D313" s="7">
        <v>450</v>
      </c>
      <c r="E313" s="7">
        <v>815</v>
      </c>
      <c r="F313" s="7">
        <f t="shared" si="18"/>
        <v>1265</v>
      </c>
      <c r="G313" s="8">
        <f t="shared" si="19"/>
        <v>0.35573122529644269</v>
      </c>
      <c r="H313" s="8">
        <f t="shared" si="20"/>
        <v>0.64426877470355737</v>
      </c>
      <c r="I313" s="6" t="s">
        <v>30</v>
      </c>
    </row>
    <row r="314" spans="1:9" ht="14.25" customHeight="1" x14ac:dyDescent="0.2">
      <c r="A314" s="6" t="s">
        <v>281</v>
      </c>
      <c r="B314" s="6" t="s">
        <v>373</v>
      </c>
      <c r="C314" s="6" t="s">
        <v>378</v>
      </c>
      <c r="D314" s="7">
        <v>300</v>
      </c>
      <c r="E314" s="7">
        <v>557</v>
      </c>
      <c r="F314" s="7">
        <f t="shared" si="18"/>
        <v>857</v>
      </c>
      <c r="G314" s="8">
        <f t="shared" si="19"/>
        <v>0.3500583430571762</v>
      </c>
      <c r="H314" s="8">
        <f t="shared" si="20"/>
        <v>0.6499416569428238</v>
      </c>
      <c r="I314" s="6" t="s">
        <v>30</v>
      </c>
    </row>
    <row r="315" spans="1:9" ht="14.25" customHeight="1" x14ac:dyDescent="0.2">
      <c r="A315" s="6" t="s">
        <v>281</v>
      </c>
      <c r="B315" s="6" t="s">
        <v>379</v>
      </c>
      <c r="C315" s="6" t="s">
        <v>380</v>
      </c>
      <c r="D315" s="7">
        <v>242</v>
      </c>
      <c r="E315" s="7">
        <v>378</v>
      </c>
      <c r="F315" s="7">
        <f t="shared" si="18"/>
        <v>620</v>
      </c>
      <c r="G315" s="8">
        <f t="shared" si="19"/>
        <v>0.39032258064516129</v>
      </c>
      <c r="H315" s="8">
        <f t="shared" si="20"/>
        <v>0.60967741935483866</v>
      </c>
      <c r="I315" s="6" t="s">
        <v>30</v>
      </c>
    </row>
    <row r="316" spans="1:9" ht="14.25" customHeight="1" x14ac:dyDescent="0.2">
      <c r="A316" s="6" t="s">
        <v>281</v>
      </c>
      <c r="B316" s="6" t="s">
        <v>379</v>
      </c>
      <c r="C316" s="6" t="s">
        <v>381</v>
      </c>
      <c r="D316" s="7">
        <v>296</v>
      </c>
      <c r="E316" s="7">
        <v>646</v>
      </c>
      <c r="F316" s="7">
        <f t="shared" si="18"/>
        <v>942</v>
      </c>
      <c r="G316" s="8">
        <f t="shared" si="19"/>
        <v>0.31422505307855625</v>
      </c>
      <c r="H316" s="8">
        <f t="shared" si="20"/>
        <v>0.6857749469214437</v>
      </c>
      <c r="I316" s="6" t="s">
        <v>30</v>
      </c>
    </row>
    <row r="317" spans="1:9" ht="14.25" customHeight="1" x14ac:dyDescent="0.2">
      <c r="A317" s="6" t="s">
        <v>281</v>
      </c>
      <c r="B317" s="6" t="s">
        <v>382</v>
      </c>
      <c r="C317" s="6" t="s">
        <v>383</v>
      </c>
      <c r="D317" s="7">
        <v>218</v>
      </c>
      <c r="E317" s="7">
        <v>292</v>
      </c>
      <c r="F317" s="7">
        <f t="shared" si="18"/>
        <v>510</v>
      </c>
      <c r="G317" s="8">
        <f t="shared" si="19"/>
        <v>0.42745098039215684</v>
      </c>
      <c r="H317" s="8">
        <f t="shared" si="20"/>
        <v>0.5725490196078431</v>
      </c>
      <c r="I317" s="6" t="s">
        <v>30</v>
      </c>
    </row>
    <row r="318" spans="1:9" ht="14.25" customHeight="1" x14ac:dyDescent="0.2">
      <c r="A318" s="6" t="s">
        <v>281</v>
      </c>
      <c r="B318" s="6" t="s">
        <v>382</v>
      </c>
      <c r="C318" s="6" t="s">
        <v>384</v>
      </c>
      <c r="D318" s="7">
        <v>595</v>
      </c>
      <c r="E318" s="7">
        <v>656</v>
      </c>
      <c r="F318" s="7">
        <f t="shared" si="18"/>
        <v>1251</v>
      </c>
      <c r="G318" s="8">
        <f t="shared" si="19"/>
        <v>0.47561950439648282</v>
      </c>
      <c r="H318" s="8">
        <f t="shared" si="20"/>
        <v>0.52438049560351718</v>
      </c>
      <c r="I318" s="6" t="s">
        <v>30</v>
      </c>
    </row>
    <row r="319" spans="1:9" ht="14.25" customHeight="1" x14ac:dyDescent="0.2">
      <c r="A319" s="6" t="s">
        <v>281</v>
      </c>
      <c r="B319" s="6" t="s">
        <v>382</v>
      </c>
      <c r="C319" s="6" t="s">
        <v>385</v>
      </c>
      <c r="D319" s="7">
        <v>473</v>
      </c>
      <c r="E319" s="7">
        <v>675</v>
      </c>
      <c r="F319" s="7">
        <f t="shared" si="18"/>
        <v>1148</v>
      </c>
      <c r="G319" s="8">
        <f t="shared" si="19"/>
        <v>0.41202090592334495</v>
      </c>
      <c r="H319" s="8">
        <f t="shared" si="20"/>
        <v>0.58797909407665505</v>
      </c>
      <c r="I319" s="6" t="s">
        <v>30</v>
      </c>
    </row>
    <row r="320" spans="1:9" ht="14.25" customHeight="1" x14ac:dyDescent="0.2">
      <c r="A320" s="6" t="s">
        <v>281</v>
      </c>
      <c r="B320" s="6" t="s">
        <v>382</v>
      </c>
      <c r="C320" s="6" t="s">
        <v>386</v>
      </c>
      <c r="D320" s="7">
        <v>499</v>
      </c>
      <c r="E320" s="7">
        <v>754</v>
      </c>
      <c r="F320" s="7">
        <f t="shared" si="18"/>
        <v>1253</v>
      </c>
      <c r="G320" s="8">
        <f t="shared" si="19"/>
        <v>0.39824421388667197</v>
      </c>
      <c r="H320" s="8">
        <f t="shared" si="20"/>
        <v>0.60175578611332803</v>
      </c>
      <c r="I320" s="6" t="s">
        <v>30</v>
      </c>
    </row>
    <row r="321" spans="1:9" ht="14.25" customHeight="1" x14ac:dyDescent="0.2">
      <c r="A321" s="6" t="s">
        <v>281</v>
      </c>
      <c r="B321" s="6" t="s">
        <v>387</v>
      </c>
      <c r="C321" s="6" t="s">
        <v>388</v>
      </c>
      <c r="D321" s="7">
        <v>463</v>
      </c>
      <c r="E321" s="7">
        <v>516</v>
      </c>
      <c r="F321" s="7">
        <f t="shared" si="18"/>
        <v>979</v>
      </c>
      <c r="G321" s="8">
        <f t="shared" si="19"/>
        <v>0.47293156281920329</v>
      </c>
      <c r="H321" s="8">
        <f t="shared" si="20"/>
        <v>0.52706843718079677</v>
      </c>
      <c r="I321" s="6" t="s">
        <v>30</v>
      </c>
    </row>
    <row r="322" spans="1:9" ht="14.25" customHeight="1" x14ac:dyDescent="0.2">
      <c r="A322" s="6" t="s">
        <v>281</v>
      </c>
      <c r="B322" s="6" t="s">
        <v>387</v>
      </c>
      <c r="C322" s="6" t="s">
        <v>389</v>
      </c>
      <c r="D322" s="7">
        <v>539</v>
      </c>
      <c r="E322" s="7">
        <v>775</v>
      </c>
      <c r="F322" s="7">
        <f t="shared" si="18"/>
        <v>1314</v>
      </c>
      <c r="G322" s="8">
        <f t="shared" si="19"/>
        <v>0.4101978691019787</v>
      </c>
      <c r="H322" s="8">
        <f t="shared" si="20"/>
        <v>0.58980213089802136</v>
      </c>
      <c r="I322" s="6" t="s">
        <v>30</v>
      </c>
    </row>
    <row r="323" spans="1:9" ht="14.25" customHeight="1" x14ac:dyDescent="0.2">
      <c r="A323" s="6" t="s">
        <v>281</v>
      </c>
      <c r="B323" s="6" t="s">
        <v>387</v>
      </c>
      <c r="C323" s="6" t="s">
        <v>390</v>
      </c>
      <c r="D323" s="7">
        <v>341</v>
      </c>
      <c r="E323" s="7">
        <v>492</v>
      </c>
      <c r="F323" s="7">
        <f t="shared" ref="F323:F354" si="21">IF(COUNTA(D323:E323)=0,"",SUM(D323:E323))</f>
        <v>833</v>
      </c>
      <c r="G323" s="8">
        <f t="shared" ref="G323:G354" si="22">IF(OR(F323="",F323=0),"",D323/F323)</f>
        <v>0.40936374549819926</v>
      </c>
      <c r="H323" s="8">
        <f t="shared" ref="H323:H354" si="23">IF(OR(F323="",F323=0),"",E323/F323)</f>
        <v>0.59063625450180068</v>
      </c>
      <c r="I323" s="6" t="s">
        <v>30</v>
      </c>
    </row>
    <row r="324" spans="1:9" ht="14.25" customHeight="1" x14ac:dyDescent="0.2">
      <c r="A324" s="6" t="s">
        <v>281</v>
      </c>
      <c r="B324" s="6" t="s">
        <v>387</v>
      </c>
      <c r="C324" s="6" t="s">
        <v>391</v>
      </c>
      <c r="D324" s="7">
        <v>410</v>
      </c>
      <c r="E324" s="7">
        <v>406</v>
      </c>
      <c r="F324" s="7">
        <f t="shared" si="21"/>
        <v>816</v>
      </c>
      <c r="G324" s="8">
        <f t="shared" si="22"/>
        <v>0.50245098039215685</v>
      </c>
      <c r="H324" s="8">
        <f t="shared" si="23"/>
        <v>0.49754901960784315</v>
      </c>
      <c r="I324" s="6" t="s">
        <v>30</v>
      </c>
    </row>
    <row r="325" spans="1:9" ht="14.25" customHeight="1" x14ac:dyDescent="0.2">
      <c r="A325" s="6" t="s">
        <v>281</v>
      </c>
      <c r="B325" s="6" t="s">
        <v>387</v>
      </c>
      <c r="C325" s="6" t="s">
        <v>392</v>
      </c>
      <c r="D325" s="7">
        <v>373</v>
      </c>
      <c r="E325" s="7">
        <v>569</v>
      </c>
      <c r="F325" s="7">
        <f t="shared" si="21"/>
        <v>942</v>
      </c>
      <c r="G325" s="8">
        <f t="shared" si="22"/>
        <v>0.39596602972399153</v>
      </c>
      <c r="H325" s="8">
        <f t="shared" si="23"/>
        <v>0.60403397027600847</v>
      </c>
      <c r="I325" s="6" t="s">
        <v>30</v>
      </c>
    </row>
    <row r="326" spans="1:9" ht="14.25" customHeight="1" x14ac:dyDescent="0.2">
      <c r="A326" s="6" t="s">
        <v>281</v>
      </c>
      <c r="B326" s="6" t="s">
        <v>387</v>
      </c>
      <c r="C326" s="6" t="s">
        <v>393</v>
      </c>
      <c r="D326" s="7">
        <v>762</v>
      </c>
      <c r="E326" s="7">
        <v>770</v>
      </c>
      <c r="F326" s="7">
        <f t="shared" si="21"/>
        <v>1532</v>
      </c>
      <c r="G326" s="8">
        <f t="shared" si="22"/>
        <v>0.49738903394255873</v>
      </c>
      <c r="H326" s="8">
        <f t="shared" si="23"/>
        <v>0.50261096605744127</v>
      </c>
      <c r="I326" s="6" t="s">
        <v>30</v>
      </c>
    </row>
    <row r="327" spans="1:9" ht="14.25" customHeight="1" x14ac:dyDescent="0.2">
      <c r="A327" s="6" t="s">
        <v>281</v>
      </c>
      <c r="B327" s="6" t="s">
        <v>394</v>
      </c>
      <c r="C327" s="6" t="s">
        <v>395</v>
      </c>
      <c r="D327" s="7">
        <v>381</v>
      </c>
      <c r="E327" s="7">
        <v>704</v>
      </c>
      <c r="F327" s="7">
        <f t="shared" si="21"/>
        <v>1085</v>
      </c>
      <c r="G327" s="8">
        <f t="shared" si="22"/>
        <v>0.35115207373271889</v>
      </c>
      <c r="H327" s="8">
        <f t="shared" si="23"/>
        <v>0.64884792626728116</v>
      </c>
      <c r="I327" s="6" t="s">
        <v>30</v>
      </c>
    </row>
    <row r="328" spans="1:9" ht="14.25" customHeight="1" x14ac:dyDescent="0.2">
      <c r="A328" s="6" t="s">
        <v>281</v>
      </c>
      <c r="B328" s="6" t="s">
        <v>394</v>
      </c>
      <c r="C328" s="6" t="s">
        <v>396</v>
      </c>
      <c r="D328" s="7">
        <v>694</v>
      </c>
      <c r="E328" s="7">
        <v>1337</v>
      </c>
      <c r="F328" s="7">
        <f t="shared" si="21"/>
        <v>2031</v>
      </c>
      <c r="G328" s="8">
        <f t="shared" si="22"/>
        <v>0.34170359428852781</v>
      </c>
      <c r="H328" s="8">
        <f t="shared" si="23"/>
        <v>0.65829640571147219</v>
      </c>
      <c r="I328" s="6" t="s">
        <v>30</v>
      </c>
    </row>
    <row r="329" spans="1:9" ht="14.25" customHeight="1" x14ac:dyDescent="0.2">
      <c r="A329" s="6" t="s">
        <v>281</v>
      </c>
      <c r="B329" s="6" t="s">
        <v>394</v>
      </c>
      <c r="C329" s="6" t="s">
        <v>397</v>
      </c>
      <c r="D329" s="7">
        <v>483</v>
      </c>
      <c r="E329" s="7">
        <v>990</v>
      </c>
      <c r="F329" s="7">
        <f t="shared" si="21"/>
        <v>1473</v>
      </c>
      <c r="G329" s="8">
        <f t="shared" si="22"/>
        <v>0.32790224032586557</v>
      </c>
      <c r="H329" s="8">
        <f t="shared" si="23"/>
        <v>0.67209775967413443</v>
      </c>
      <c r="I329" s="6" t="s">
        <v>30</v>
      </c>
    </row>
    <row r="330" spans="1:9" ht="14.25" customHeight="1" x14ac:dyDescent="0.2">
      <c r="A330" s="6" t="s">
        <v>281</v>
      </c>
      <c r="B330" s="6" t="s">
        <v>394</v>
      </c>
      <c r="C330" s="6" t="s">
        <v>398</v>
      </c>
      <c r="D330" s="7">
        <v>213</v>
      </c>
      <c r="E330" s="7">
        <v>471</v>
      </c>
      <c r="F330" s="7">
        <f t="shared" si="21"/>
        <v>684</v>
      </c>
      <c r="G330" s="8">
        <f t="shared" si="22"/>
        <v>0.31140350877192985</v>
      </c>
      <c r="H330" s="8">
        <f t="shared" si="23"/>
        <v>0.68859649122807021</v>
      </c>
      <c r="I330" s="6" t="s">
        <v>30</v>
      </c>
    </row>
    <row r="331" spans="1:9" ht="14.25" customHeight="1" x14ac:dyDescent="0.2">
      <c r="A331" s="6" t="s">
        <v>281</v>
      </c>
      <c r="B331" s="6" t="s">
        <v>399</v>
      </c>
      <c r="C331" s="6" t="s">
        <v>400</v>
      </c>
      <c r="D331" s="7">
        <v>514</v>
      </c>
      <c r="E331" s="7">
        <v>499</v>
      </c>
      <c r="F331" s="7">
        <f t="shared" si="21"/>
        <v>1013</v>
      </c>
      <c r="G331" s="8">
        <f t="shared" si="22"/>
        <v>0.50740375123395853</v>
      </c>
      <c r="H331" s="8">
        <f t="shared" si="23"/>
        <v>0.49259624876604147</v>
      </c>
      <c r="I331" s="6" t="s">
        <v>30</v>
      </c>
    </row>
    <row r="332" spans="1:9" ht="14.25" customHeight="1" x14ac:dyDescent="0.2">
      <c r="A332" s="6" t="s">
        <v>281</v>
      </c>
      <c r="B332" s="6" t="s">
        <v>399</v>
      </c>
      <c r="C332" s="6" t="s">
        <v>401</v>
      </c>
      <c r="D332" s="7">
        <v>450</v>
      </c>
      <c r="E332" s="7">
        <v>461</v>
      </c>
      <c r="F332" s="7">
        <f t="shared" si="21"/>
        <v>911</v>
      </c>
      <c r="G332" s="8">
        <f t="shared" si="22"/>
        <v>0.49396267837541163</v>
      </c>
      <c r="H332" s="8">
        <f t="shared" si="23"/>
        <v>0.50603732162458837</v>
      </c>
      <c r="I332" s="6" t="s">
        <v>30</v>
      </c>
    </row>
    <row r="333" spans="1:9" ht="14.25" customHeight="1" x14ac:dyDescent="0.2">
      <c r="A333" s="6" t="s">
        <v>281</v>
      </c>
      <c r="B333" s="6" t="s">
        <v>399</v>
      </c>
      <c r="C333" s="6" t="s">
        <v>402</v>
      </c>
      <c r="D333" s="7">
        <v>374</v>
      </c>
      <c r="E333" s="7">
        <v>412</v>
      </c>
      <c r="F333" s="7">
        <f t="shared" si="21"/>
        <v>786</v>
      </c>
      <c r="G333" s="8">
        <f t="shared" si="22"/>
        <v>0.4758269720101781</v>
      </c>
      <c r="H333" s="8">
        <f t="shared" si="23"/>
        <v>0.5241730279898219</v>
      </c>
      <c r="I333" s="6" t="s">
        <v>30</v>
      </c>
    </row>
    <row r="334" spans="1:9" ht="14.25" customHeight="1" x14ac:dyDescent="0.2">
      <c r="A334" s="6" t="s">
        <v>281</v>
      </c>
      <c r="B334" s="6" t="s">
        <v>403</v>
      </c>
      <c r="C334" s="6" t="s">
        <v>404</v>
      </c>
      <c r="D334" s="7">
        <v>176</v>
      </c>
      <c r="E334" s="7">
        <v>227</v>
      </c>
      <c r="F334" s="7">
        <f t="shared" si="21"/>
        <v>403</v>
      </c>
      <c r="G334" s="8">
        <f t="shared" si="22"/>
        <v>0.43672456575682383</v>
      </c>
      <c r="H334" s="8">
        <f t="shared" si="23"/>
        <v>0.56327543424317617</v>
      </c>
      <c r="I334" s="6" t="s">
        <v>30</v>
      </c>
    </row>
    <row r="335" spans="1:9" ht="14.25" customHeight="1" x14ac:dyDescent="0.2">
      <c r="A335" s="6" t="s">
        <v>281</v>
      </c>
      <c r="B335" s="6" t="s">
        <v>403</v>
      </c>
      <c r="C335" s="6" t="s">
        <v>405</v>
      </c>
      <c r="D335" s="7">
        <v>508</v>
      </c>
      <c r="E335" s="7">
        <v>484</v>
      </c>
      <c r="F335" s="7">
        <f t="shared" si="21"/>
        <v>992</v>
      </c>
      <c r="G335" s="8">
        <f t="shared" si="22"/>
        <v>0.51209677419354838</v>
      </c>
      <c r="H335" s="8">
        <f t="shared" si="23"/>
        <v>0.48790322580645162</v>
      </c>
      <c r="I335" s="6" t="s">
        <v>30</v>
      </c>
    </row>
    <row r="336" spans="1:9" ht="14.25" customHeight="1" x14ac:dyDescent="0.2">
      <c r="A336" s="6" t="s">
        <v>281</v>
      </c>
      <c r="B336" s="6" t="s">
        <v>406</v>
      </c>
      <c r="C336" s="6" t="s">
        <v>407</v>
      </c>
      <c r="D336" s="7">
        <v>520</v>
      </c>
      <c r="E336" s="7">
        <v>586</v>
      </c>
      <c r="F336" s="7">
        <f t="shared" si="21"/>
        <v>1106</v>
      </c>
      <c r="G336" s="8">
        <f t="shared" si="22"/>
        <v>0.47016274864376129</v>
      </c>
      <c r="H336" s="8">
        <f t="shared" si="23"/>
        <v>0.52983725135623871</v>
      </c>
      <c r="I336" s="6" t="s">
        <v>30</v>
      </c>
    </row>
    <row r="337" spans="1:9" ht="14.25" customHeight="1" x14ac:dyDescent="0.2">
      <c r="A337" s="6" t="s">
        <v>281</v>
      </c>
      <c r="B337" s="6" t="s">
        <v>406</v>
      </c>
      <c r="C337" s="6" t="s">
        <v>408</v>
      </c>
      <c r="D337" s="7">
        <v>437</v>
      </c>
      <c r="E337" s="7">
        <v>485</v>
      </c>
      <c r="F337" s="7">
        <f t="shared" si="21"/>
        <v>922</v>
      </c>
      <c r="G337" s="8">
        <f t="shared" si="22"/>
        <v>0.47396963123644253</v>
      </c>
      <c r="H337" s="8">
        <f t="shared" si="23"/>
        <v>0.52603036876355747</v>
      </c>
      <c r="I337" s="6" t="s">
        <v>30</v>
      </c>
    </row>
    <row r="338" spans="1:9" ht="14.25" customHeight="1" x14ac:dyDescent="0.2">
      <c r="A338" s="6" t="s">
        <v>281</v>
      </c>
      <c r="B338" s="6" t="s">
        <v>406</v>
      </c>
      <c r="C338" s="6" t="s">
        <v>409</v>
      </c>
      <c r="D338" s="7">
        <v>899</v>
      </c>
      <c r="E338" s="7">
        <v>1021</v>
      </c>
      <c r="F338" s="7">
        <f t="shared" si="21"/>
        <v>1920</v>
      </c>
      <c r="G338" s="8">
        <f t="shared" si="22"/>
        <v>0.46822916666666664</v>
      </c>
      <c r="H338" s="8">
        <f t="shared" si="23"/>
        <v>0.5317708333333333</v>
      </c>
      <c r="I338" s="6" t="s">
        <v>30</v>
      </c>
    </row>
    <row r="339" spans="1:9" ht="14.25" customHeight="1" x14ac:dyDescent="0.2">
      <c r="A339" s="6" t="s">
        <v>281</v>
      </c>
      <c r="B339" s="6" t="s">
        <v>406</v>
      </c>
      <c r="C339" s="6" t="s">
        <v>410</v>
      </c>
      <c r="D339" s="7">
        <v>173</v>
      </c>
      <c r="E339" s="7">
        <v>239</v>
      </c>
      <c r="F339" s="7">
        <f t="shared" si="21"/>
        <v>412</v>
      </c>
      <c r="G339" s="8">
        <f t="shared" si="22"/>
        <v>0.4199029126213592</v>
      </c>
      <c r="H339" s="8">
        <f t="shared" si="23"/>
        <v>0.58009708737864074</v>
      </c>
      <c r="I339" s="6" t="s">
        <v>30</v>
      </c>
    </row>
    <row r="340" spans="1:9" ht="14.25" customHeight="1" x14ac:dyDescent="0.2">
      <c r="A340" s="6" t="s">
        <v>281</v>
      </c>
      <c r="B340" s="6" t="s">
        <v>411</v>
      </c>
      <c r="C340" s="6" t="s">
        <v>412</v>
      </c>
      <c r="D340" s="7">
        <v>720</v>
      </c>
      <c r="E340" s="7">
        <v>682</v>
      </c>
      <c r="F340" s="7">
        <f t="shared" si="21"/>
        <v>1402</v>
      </c>
      <c r="G340" s="8">
        <f t="shared" si="22"/>
        <v>0.51355206847360912</v>
      </c>
      <c r="H340" s="8">
        <f t="shared" si="23"/>
        <v>0.48644793152639088</v>
      </c>
      <c r="I340" s="6" t="s">
        <v>30</v>
      </c>
    </row>
    <row r="341" spans="1:9" ht="14.25" customHeight="1" x14ac:dyDescent="0.2">
      <c r="A341" s="6" t="s">
        <v>281</v>
      </c>
      <c r="B341" s="6" t="s">
        <v>411</v>
      </c>
      <c r="C341" s="6" t="s">
        <v>413</v>
      </c>
      <c r="D341" s="7">
        <v>420</v>
      </c>
      <c r="E341" s="7">
        <v>364</v>
      </c>
      <c r="F341" s="7">
        <f t="shared" si="21"/>
        <v>784</v>
      </c>
      <c r="G341" s="8">
        <f t="shared" si="22"/>
        <v>0.5357142857142857</v>
      </c>
      <c r="H341" s="8">
        <f t="shared" si="23"/>
        <v>0.4642857142857143</v>
      </c>
      <c r="I341" s="6" t="s">
        <v>30</v>
      </c>
    </row>
    <row r="342" spans="1:9" ht="14.25" customHeight="1" x14ac:dyDescent="0.2">
      <c r="A342" s="6" t="s">
        <v>281</v>
      </c>
      <c r="B342" s="6" t="s">
        <v>411</v>
      </c>
      <c r="C342" s="6" t="s">
        <v>414</v>
      </c>
      <c r="D342" s="7">
        <v>600</v>
      </c>
      <c r="E342" s="7">
        <v>682</v>
      </c>
      <c r="F342" s="7">
        <f t="shared" si="21"/>
        <v>1282</v>
      </c>
      <c r="G342" s="8">
        <f t="shared" si="22"/>
        <v>0.46801872074882994</v>
      </c>
      <c r="H342" s="8">
        <f t="shared" si="23"/>
        <v>0.53198127925117</v>
      </c>
      <c r="I342" s="6" t="s">
        <v>30</v>
      </c>
    </row>
    <row r="343" spans="1:9" ht="14.25" customHeight="1" x14ac:dyDescent="0.2">
      <c r="A343" s="6" t="s">
        <v>281</v>
      </c>
      <c r="B343" s="6" t="s">
        <v>411</v>
      </c>
      <c r="C343" s="6" t="s">
        <v>415</v>
      </c>
      <c r="D343" s="7">
        <v>783</v>
      </c>
      <c r="E343" s="7">
        <v>682</v>
      </c>
      <c r="F343" s="7">
        <f t="shared" si="21"/>
        <v>1465</v>
      </c>
      <c r="G343" s="8">
        <f t="shared" si="22"/>
        <v>0.5344709897610922</v>
      </c>
      <c r="H343" s="8">
        <f t="shared" si="23"/>
        <v>0.46552901023890786</v>
      </c>
      <c r="I343" s="6" t="s">
        <v>30</v>
      </c>
    </row>
    <row r="344" spans="1:9" ht="14.25" customHeight="1" x14ac:dyDescent="0.2">
      <c r="A344" s="6" t="s">
        <v>281</v>
      </c>
      <c r="B344" s="6" t="s">
        <v>411</v>
      </c>
      <c r="C344" s="6" t="s">
        <v>416</v>
      </c>
      <c r="D344" s="7">
        <v>749</v>
      </c>
      <c r="E344" s="7">
        <v>719</v>
      </c>
      <c r="F344" s="7">
        <f t="shared" si="21"/>
        <v>1468</v>
      </c>
      <c r="G344" s="8">
        <f t="shared" si="22"/>
        <v>0.51021798365122617</v>
      </c>
      <c r="H344" s="8">
        <f t="shared" si="23"/>
        <v>0.48978201634877383</v>
      </c>
      <c r="I344" s="6" t="s">
        <v>30</v>
      </c>
    </row>
    <row r="345" spans="1:9" ht="14.25" customHeight="1" x14ac:dyDescent="0.2">
      <c r="A345" s="6" t="s">
        <v>281</v>
      </c>
      <c r="B345" s="6" t="s">
        <v>411</v>
      </c>
      <c r="C345" s="6" t="s">
        <v>417</v>
      </c>
      <c r="D345" s="7">
        <v>634</v>
      </c>
      <c r="E345" s="7">
        <v>702</v>
      </c>
      <c r="F345" s="7">
        <f t="shared" si="21"/>
        <v>1336</v>
      </c>
      <c r="G345" s="8">
        <f t="shared" si="22"/>
        <v>0.47455089820359281</v>
      </c>
      <c r="H345" s="8">
        <f t="shared" si="23"/>
        <v>0.52544910179640714</v>
      </c>
      <c r="I345" s="6" t="s">
        <v>30</v>
      </c>
    </row>
    <row r="346" spans="1:9" ht="14.25" customHeight="1" x14ac:dyDescent="0.2">
      <c r="A346" s="6" t="s">
        <v>281</v>
      </c>
      <c r="B346" s="6" t="s">
        <v>411</v>
      </c>
      <c r="C346" s="6" t="s">
        <v>418</v>
      </c>
      <c r="D346" s="7">
        <v>626</v>
      </c>
      <c r="E346" s="7">
        <v>521</v>
      </c>
      <c r="F346" s="7">
        <f t="shared" si="21"/>
        <v>1147</v>
      </c>
      <c r="G346" s="8">
        <f t="shared" si="22"/>
        <v>0.5457715780296426</v>
      </c>
      <c r="H346" s="8">
        <f t="shared" si="23"/>
        <v>0.45422842197035745</v>
      </c>
      <c r="I346" s="6" t="s">
        <v>30</v>
      </c>
    </row>
    <row r="347" spans="1:9" ht="14.25" customHeight="1" x14ac:dyDescent="0.2">
      <c r="A347" s="6" t="s">
        <v>281</v>
      </c>
      <c r="B347" s="6" t="s">
        <v>411</v>
      </c>
      <c r="C347" s="6" t="s">
        <v>419</v>
      </c>
      <c r="D347" s="7">
        <v>579</v>
      </c>
      <c r="E347" s="7">
        <v>591</v>
      </c>
      <c r="F347" s="7">
        <f t="shared" si="21"/>
        <v>1170</v>
      </c>
      <c r="G347" s="8">
        <f t="shared" si="22"/>
        <v>0.49487179487179489</v>
      </c>
      <c r="H347" s="8">
        <f t="shared" si="23"/>
        <v>0.50512820512820511</v>
      </c>
      <c r="I347" s="6" t="s">
        <v>30</v>
      </c>
    </row>
    <row r="348" spans="1:9" ht="14.25" customHeight="1" x14ac:dyDescent="0.2">
      <c r="A348" s="6" t="s">
        <v>281</v>
      </c>
      <c r="B348" s="6" t="s">
        <v>411</v>
      </c>
      <c r="C348" s="6" t="s">
        <v>420</v>
      </c>
      <c r="D348" s="7">
        <v>642</v>
      </c>
      <c r="E348" s="7">
        <v>714</v>
      </c>
      <c r="F348" s="7">
        <f t="shared" si="21"/>
        <v>1356</v>
      </c>
      <c r="G348" s="8">
        <f t="shared" si="22"/>
        <v>0.47345132743362833</v>
      </c>
      <c r="H348" s="8">
        <f t="shared" si="23"/>
        <v>0.52654867256637172</v>
      </c>
      <c r="I348" s="6" t="s">
        <v>30</v>
      </c>
    </row>
    <row r="349" spans="1:9" ht="14.25" customHeight="1" x14ac:dyDescent="0.2">
      <c r="A349" s="6" t="s">
        <v>281</v>
      </c>
      <c r="B349" s="6" t="s">
        <v>421</v>
      </c>
      <c r="C349" s="6" t="s">
        <v>422</v>
      </c>
      <c r="D349" s="7">
        <v>84</v>
      </c>
      <c r="E349" s="7">
        <v>144</v>
      </c>
      <c r="F349" s="7">
        <f t="shared" si="21"/>
        <v>228</v>
      </c>
      <c r="G349" s="8">
        <f t="shared" si="22"/>
        <v>0.36842105263157893</v>
      </c>
      <c r="H349" s="8">
        <f t="shared" si="23"/>
        <v>0.63157894736842102</v>
      </c>
      <c r="I349" s="6" t="s">
        <v>30</v>
      </c>
    </row>
    <row r="350" spans="1:9" ht="14.25" customHeight="1" x14ac:dyDescent="0.2">
      <c r="A350" s="6" t="s">
        <v>281</v>
      </c>
      <c r="B350" s="6" t="s">
        <v>421</v>
      </c>
      <c r="C350" s="6" t="s">
        <v>423</v>
      </c>
      <c r="D350" s="7">
        <v>231</v>
      </c>
      <c r="E350" s="7">
        <v>422</v>
      </c>
      <c r="F350" s="7">
        <f t="shared" si="21"/>
        <v>653</v>
      </c>
      <c r="G350" s="8">
        <f t="shared" si="22"/>
        <v>0.35375191424196017</v>
      </c>
      <c r="H350" s="8">
        <f t="shared" si="23"/>
        <v>0.64624808575803983</v>
      </c>
      <c r="I350" s="6" t="s">
        <v>30</v>
      </c>
    </row>
    <row r="351" spans="1:9" ht="14.25" customHeight="1" x14ac:dyDescent="0.2">
      <c r="A351" s="6" t="s">
        <v>281</v>
      </c>
      <c r="B351" s="6" t="s">
        <v>421</v>
      </c>
      <c r="C351" s="6" t="s">
        <v>424</v>
      </c>
      <c r="D351" s="7">
        <v>153</v>
      </c>
      <c r="E351" s="7">
        <v>223</v>
      </c>
      <c r="F351" s="7">
        <f t="shared" si="21"/>
        <v>376</v>
      </c>
      <c r="G351" s="8">
        <f t="shared" si="22"/>
        <v>0.40691489361702127</v>
      </c>
      <c r="H351" s="8">
        <f t="shared" si="23"/>
        <v>0.59308510638297873</v>
      </c>
      <c r="I351" s="6" t="s">
        <v>30</v>
      </c>
    </row>
    <row r="352" spans="1:9" ht="14.25" customHeight="1" x14ac:dyDescent="0.2">
      <c r="A352" s="6" t="s">
        <v>281</v>
      </c>
      <c r="B352" s="6" t="s">
        <v>421</v>
      </c>
      <c r="C352" s="6" t="s">
        <v>425</v>
      </c>
      <c r="D352" s="7">
        <v>87</v>
      </c>
      <c r="E352" s="7">
        <v>136</v>
      </c>
      <c r="F352" s="7">
        <f t="shared" si="21"/>
        <v>223</v>
      </c>
      <c r="G352" s="8">
        <f t="shared" si="22"/>
        <v>0.39013452914798208</v>
      </c>
      <c r="H352" s="8">
        <f t="shared" si="23"/>
        <v>0.60986547085201792</v>
      </c>
      <c r="I352" s="6" t="s">
        <v>30</v>
      </c>
    </row>
    <row r="353" spans="1:9" ht="14.25" customHeight="1" x14ac:dyDescent="0.2">
      <c r="A353" s="6" t="s">
        <v>281</v>
      </c>
      <c r="B353" s="6" t="s">
        <v>426</v>
      </c>
      <c r="C353" s="6" t="s">
        <v>427</v>
      </c>
      <c r="D353" s="7">
        <v>350</v>
      </c>
      <c r="E353" s="7">
        <v>707</v>
      </c>
      <c r="F353" s="7">
        <f t="shared" si="21"/>
        <v>1057</v>
      </c>
      <c r="G353" s="8">
        <f t="shared" si="22"/>
        <v>0.33112582781456956</v>
      </c>
      <c r="H353" s="8">
        <f t="shared" si="23"/>
        <v>0.66887417218543044</v>
      </c>
      <c r="I353" s="6" t="s">
        <v>30</v>
      </c>
    </row>
    <row r="354" spans="1:9" ht="14.25" customHeight="1" x14ac:dyDescent="0.2">
      <c r="A354" s="6" t="s">
        <v>281</v>
      </c>
      <c r="B354" s="6" t="s">
        <v>426</v>
      </c>
      <c r="C354" s="6" t="s">
        <v>428</v>
      </c>
      <c r="D354" s="7">
        <v>303</v>
      </c>
      <c r="E354" s="7">
        <v>554</v>
      </c>
      <c r="F354" s="7">
        <f t="shared" si="21"/>
        <v>857</v>
      </c>
      <c r="G354" s="8">
        <f t="shared" si="22"/>
        <v>0.35355892648774795</v>
      </c>
      <c r="H354" s="8">
        <f t="shared" si="23"/>
        <v>0.646441073512252</v>
      </c>
      <c r="I354" s="6" t="s">
        <v>30</v>
      </c>
    </row>
    <row r="355" spans="1:9" ht="14.25" customHeight="1" x14ac:dyDescent="0.2">
      <c r="A355" s="6" t="s">
        <v>281</v>
      </c>
      <c r="B355" s="6" t="s">
        <v>426</v>
      </c>
      <c r="C355" s="6" t="s">
        <v>429</v>
      </c>
      <c r="D355" s="7">
        <v>271</v>
      </c>
      <c r="E355" s="7">
        <v>547</v>
      </c>
      <c r="F355" s="7">
        <f t="shared" ref="F355:F381" si="24">IF(COUNTA(D355:E355)=0,"",SUM(D355:E355))</f>
        <v>818</v>
      </c>
      <c r="G355" s="8">
        <f t="shared" ref="G355:G381" si="25">IF(OR(F355="",F355=0),"",D355/F355)</f>
        <v>0.3312958435207824</v>
      </c>
      <c r="H355" s="8">
        <f t="shared" ref="H355:H381" si="26">IF(OR(F355="",F355=0),"",E355/F355)</f>
        <v>0.66870415647921755</v>
      </c>
      <c r="I355" s="6" t="s">
        <v>30</v>
      </c>
    </row>
    <row r="356" spans="1:9" ht="14.25" customHeight="1" x14ac:dyDescent="0.2">
      <c r="A356" s="6" t="s">
        <v>281</v>
      </c>
      <c r="B356" s="6" t="s">
        <v>426</v>
      </c>
      <c r="C356" s="6" t="s">
        <v>430</v>
      </c>
      <c r="D356" s="7">
        <v>273</v>
      </c>
      <c r="E356" s="7">
        <v>511</v>
      </c>
      <c r="F356" s="7">
        <f t="shared" si="24"/>
        <v>784</v>
      </c>
      <c r="G356" s="8">
        <f t="shared" si="25"/>
        <v>0.3482142857142857</v>
      </c>
      <c r="H356" s="8">
        <f t="shared" si="26"/>
        <v>0.6517857142857143</v>
      </c>
      <c r="I356" s="6" t="s">
        <v>30</v>
      </c>
    </row>
    <row r="357" spans="1:9" ht="14.25" customHeight="1" x14ac:dyDescent="0.2">
      <c r="A357" s="6" t="s">
        <v>281</v>
      </c>
      <c r="B357" s="6" t="s">
        <v>431</v>
      </c>
      <c r="C357" s="6" t="s">
        <v>431</v>
      </c>
      <c r="D357" s="7">
        <v>71</v>
      </c>
      <c r="E357" s="7">
        <v>149</v>
      </c>
      <c r="F357" s="7">
        <f t="shared" si="24"/>
        <v>220</v>
      </c>
      <c r="G357" s="8">
        <f t="shared" si="25"/>
        <v>0.32272727272727275</v>
      </c>
      <c r="H357" s="8">
        <f t="shared" si="26"/>
        <v>0.67727272727272725</v>
      </c>
      <c r="I357" s="6" t="s">
        <v>30</v>
      </c>
    </row>
    <row r="358" spans="1:9" ht="14.25" customHeight="1" x14ac:dyDescent="0.2">
      <c r="A358" s="6" t="s">
        <v>281</v>
      </c>
      <c r="B358" s="6" t="s">
        <v>432</v>
      </c>
      <c r="C358" s="6" t="s">
        <v>432</v>
      </c>
      <c r="D358" s="7">
        <v>281</v>
      </c>
      <c r="E358" s="7">
        <v>466</v>
      </c>
      <c r="F358" s="7">
        <f t="shared" si="24"/>
        <v>747</v>
      </c>
      <c r="G358" s="8">
        <f t="shared" si="25"/>
        <v>0.37617135207496655</v>
      </c>
      <c r="H358" s="8">
        <f t="shared" si="26"/>
        <v>0.62382864792503345</v>
      </c>
      <c r="I358" s="6" t="s">
        <v>30</v>
      </c>
    </row>
    <row r="359" spans="1:9" ht="14.25" customHeight="1" x14ac:dyDescent="0.2">
      <c r="A359" s="6" t="s">
        <v>281</v>
      </c>
      <c r="B359" s="6" t="s">
        <v>433</v>
      </c>
      <c r="C359" s="6" t="s">
        <v>433</v>
      </c>
      <c r="D359" s="7">
        <v>173</v>
      </c>
      <c r="E359" s="7">
        <v>252</v>
      </c>
      <c r="F359" s="7">
        <f t="shared" si="24"/>
        <v>425</v>
      </c>
      <c r="G359" s="8">
        <f t="shared" si="25"/>
        <v>0.40705882352941175</v>
      </c>
      <c r="H359" s="8">
        <f t="shared" si="26"/>
        <v>0.59294117647058819</v>
      </c>
      <c r="I359" s="6" t="s">
        <v>30</v>
      </c>
    </row>
    <row r="360" spans="1:9" ht="14.25" customHeight="1" x14ac:dyDescent="0.2">
      <c r="A360" s="6" t="s">
        <v>281</v>
      </c>
      <c r="B360" s="6" t="s">
        <v>434</v>
      </c>
      <c r="C360" s="6" t="s">
        <v>434</v>
      </c>
      <c r="D360" s="7">
        <v>257</v>
      </c>
      <c r="E360" s="7">
        <v>363</v>
      </c>
      <c r="F360" s="7">
        <f t="shared" si="24"/>
        <v>620</v>
      </c>
      <c r="G360" s="8">
        <f t="shared" si="25"/>
        <v>0.41451612903225804</v>
      </c>
      <c r="H360" s="8">
        <f t="shared" si="26"/>
        <v>0.5854838709677419</v>
      </c>
      <c r="I360" s="6" t="s">
        <v>30</v>
      </c>
    </row>
    <row r="361" spans="1:9" ht="14.25" customHeight="1" x14ac:dyDescent="0.2">
      <c r="A361" s="6" t="s">
        <v>281</v>
      </c>
      <c r="B361" s="6" t="s">
        <v>435</v>
      </c>
      <c r="C361" s="6" t="s">
        <v>436</v>
      </c>
      <c r="D361" s="7">
        <v>275</v>
      </c>
      <c r="E361" s="7">
        <v>680</v>
      </c>
      <c r="F361" s="7">
        <f t="shared" si="24"/>
        <v>955</v>
      </c>
      <c r="G361" s="8">
        <f t="shared" si="25"/>
        <v>0.2879581151832461</v>
      </c>
      <c r="H361" s="8">
        <f t="shared" si="26"/>
        <v>0.7120418848167539</v>
      </c>
      <c r="I361" s="6" t="s">
        <v>30</v>
      </c>
    </row>
    <row r="362" spans="1:9" ht="14.25" customHeight="1" x14ac:dyDescent="0.2">
      <c r="A362" s="6" t="s">
        <v>281</v>
      </c>
      <c r="B362" s="6" t="s">
        <v>435</v>
      </c>
      <c r="C362" s="6" t="s">
        <v>437</v>
      </c>
      <c r="D362" s="7">
        <v>226</v>
      </c>
      <c r="E362" s="7">
        <v>445</v>
      </c>
      <c r="F362" s="7">
        <f t="shared" si="24"/>
        <v>671</v>
      </c>
      <c r="G362" s="8">
        <f t="shared" si="25"/>
        <v>0.33681073025335323</v>
      </c>
      <c r="H362" s="8">
        <f t="shared" si="26"/>
        <v>0.66318926974664683</v>
      </c>
      <c r="I362" s="6" t="s">
        <v>30</v>
      </c>
    </row>
    <row r="363" spans="1:9" ht="14.25" customHeight="1" x14ac:dyDescent="0.2">
      <c r="A363" s="6" t="s">
        <v>281</v>
      </c>
      <c r="B363" s="6" t="s">
        <v>435</v>
      </c>
      <c r="C363" s="6" t="s">
        <v>438</v>
      </c>
      <c r="D363" s="7">
        <v>162</v>
      </c>
      <c r="E363" s="7">
        <v>391</v>
      </c>
      <c r="F363" s="7">
        <f t="shared" si="24"/>
        <v>553</v>
      </c>
      <c r="G363" s="8">
        <f t="shared" si="25"/>
        <v>0.29294755877034356</v>
      </c>
      <c r="H363" s="8">
        <f t="shared" si="26"/>
        <v>0.70705244122965638</v>
      </c>
      <c r="I363" s="6" t="s">
        <v>30</v>
      </c>
    </row>
    <row r="364" spans="1:9" ht="14.25" customHeight="1" x14ac:dyDescent="0.2">
      <c r="A364" s="6" t="s">
        <v>281</v>
      </c>
      <c r="B364" s="6" t="s">
        <v>435</v>
      </c>
      <c r="C364" s="6" t="s">
        <v>439</v>
      </c>
      <c r="D364" s="7">
        <v>148</v>
      </c>
      <c r="E364" s="7">
        <v>372</v>
      </c>
      <c r="F364" s="7">
        <f t="shared" si="24"/>
        <v>520</v>
      </c>
      <c r="G364" s="8">
        <f t="shared" si="25"/>
        <v>0.2846153846153846</v>
      </c>
      <c r="H364" s="8">
        <f t="shared" si="26"/>
        <v>0.7153846153846154</v>
      </c>
      <c r="I364" s="6" t="s">
        <v>30</v>
      </c>
    </row>
    <row r="365" spans="1:9" ht="14.25" customHeight="1" x14ac:dyDescent="0.2">
      <c r="A365" s="6" t="s">
        <v>281</v>
      </c>
      <c r="B365" s="6" t="s">
        <v>435</v>
      </c>
      <c r="C365" s="6" t="s">
        <v>440</v>
      </c>
      <c r="D365" s="7">
        <v>299</v>
      </c>
      <c r="E365" s="7">
        <v>497</v>
      </c>
      <c r="F365" s="7">
        <f t="shared" si="24"/>
        <v>796</v>
      </c>
      <c r="G365" s="8">
        <f t="shared" si="25"/>
        <v>0.37562814070351758</v>
      </c>
      <c r="H365" s="8">
        <f t="shared" si="26"/>
        <v>0.62437185929648242</v>
      </c>
      <c r="I365" s="6" t="s">
        <v>30</v>
      </c>
    </row>
    <row r="366" spans="1:9" ht="14.25" customHeight="1" x14ac:dyDescent="0.2">
      <c r="A366" s="6" t="s">
        <v>281</v>
      </c>
      <c r="B366" s="6" t="s">
        <v>441</v>
      </c>
      <c r="C366" s="6" t="s">
        <v>442</v>
      </c>
      <c r="D366" s="7">
        <v>612</v>
      </c>
      <c r="E366" s="7">
        <v>723</v>
      </c>
      <c r="F366" s="7">
        <f t="shared" si="24"/>
        <v>1335</v>
      </c>
      <c r="G366" s="8">
        <f t="shared" si="25"/>
        <v>0.45842696629213481</v>
      </c>
      <c r="H366" s="8">
        <f t="shared" si="26"/>
        <v>0.54157303370786514</v>
      </c>
      <c r="I366" s="6" t="s">
        <v>30</v>
      </c>
    </row>
    <row r="367" spans="1:9" ht="14.25" customHeight="1" x14ac:dyDescent="0.2">
      <c r="A367" s="6" t="s">
        <v>281</v>
      </c>
      <c r="B367" s="6" t="s">
        <v>441</v>
      </c>
      <c r="C367" s="6" t="s">
        <v>443</v>
      </c>
      <c r="D367" s="7">
        <v>300</v>
      </c>
      <c r="E367" s="7">
        <v>323</v>
      </c>
      <c r="F367" s="7">
        <f t="shared" si="24"/>
        <v>623</v>
      </c>
      <c r="G367" s="8">
        <f t="shared" si="25"/>
        <v>0.48154093097913325</v>
      </c>
      <c r="H367" s="8">
        <f t="shared" si="26"/>
        <v>0.5184590690208668</v>
      </c>
      <c r="I367" s="6" t="s">
        <v>30</v>
      </c>
    </row>
    <row r="368" spans="1:9" ht="14.25" customHeight="1" x14ac:dyDescent="0.2">
      <c r="A368" s="6" t="s">
        <v>281</v>
      </c>
      <c r="B368" s="6" t="s">
        <v>441</v>
      </c>
      <c r="C368" s="6" t="s">
        <v>444</v>
      </c>
      <c r="D368" s="7">
        <v>482</v>
      </c>
      <c r="E368" s="7">
        <v>579</v>
      </c>
      <c r="F368" s="7">
        <f t="shared" si="24"/>
        <v>1061</v>
      </c>
      <c r="G368" s="8">
        <f t="shared" si="25"/>
        <v>0.45428840716305374</v>
      </c>
      <c r="H368" s="8">
        <f t="shared" si="26"/>
        <v>0.54571159283694626</v>
      </c>
      <c r="I368" s="6" t="s">
        <v>30</v>
      </c>
    </row>
    <row r="369" spans="1:9" ht="14.25" customHeight="1" x14ac:dyDescent="0.2">
      <c r="A369" s="6" t="s">
        <v>281</v>
      </c>
      <c r="B369" s="6" t="s">
        <v>441</v>
      </c>
      <c r="C369" s="6" t="s">
        <v>445</v>
      </c>
      <c r="D369" s="7">
        <v>201</v>
      </c>
      <c r="E369" s="7">
        <v>294</v>
      </c>
      <c r="F369" s="7">
        <f t="shared" si="24"/>
        <v>495</v>
      </c>
      <c r="G369" s="8">
        <f t="shared" si="25"/>
        <v>0.40606060606060607</v>
      </c>
      <c r="H369" s="8">
        <f t="shared" si="26"/>
        <v>0.59393939393939399</v>
      </c>
      <c r="I369" s="6" t="s">
        <v>30</v>
      </c>
    </row>
    <row r="370" spans="1:9" ht="14.25" customHeight="1" x14ac:dyDescent="0.2">
      <c r="A370" s="6" t="s">
        <v>281</v>
      </c>
      <c r="B370" s="6" t="s">
        <v>446</v>
      </c>
      <c r="C370" s="6" t="s">
        <v>446</v>
      </c>
      <c r="D370" s="7">
        <v>344</v>
      </c>
      <c r="E370" s="7">
        <v>503</v>
      </c>
      <c r="F370" s="7">
        <f t="shared" si="24"/>
        <v>847</v>
      </c>
      <c r="G370" s="8">
        <f t="shared" si="25"/>
        <v>0.40613931523022434</v>
      </c>
      <c r="H370" s="8">
        <f t="shared" si="26"/>
        <v>0.59386068476977572</v>
      </c>
      <c r="I370" s="6" t="s">
        <v>30</v>
      </c>
    </row>
    <row r="371" spans="1:9" ht="14.25" customHeight="1" x14ac:dyDescent="0.2">
      <c r="A371" s="6" t="s">
        <v>281</v>
      </c>
      <c r="B371" s="6" t="s">
        <v>447</v>
      </c>
      <c r="C371" s="6" t="s">
        <v>448</v>
      </c>
      <c r="D371" s="7">
        <v>479</v>
      </c>
      <c r="E371" s="7">
        <v>990</v>
      </c>
      <c r="F371" s="7">
        <f t="shared" si="24"/>
        <v>1469</v>
      </c>
      <c r="G371" s="8">
        <f t="shared" si="25"/>
        <v>0.32607215793056499</v>
      </c>
      <c r="H371" s="8">
        <f t="shared" si="26"/>
        <v>0.67392784206943501</v>
      </c>
      <c r="I371" s="6" t="s">
        <v>30</v>
      </c>
    </row>
    <row r="372" spans="1:9" ht="14.25" customHeight="1" x14ac:dyDescent="0.2">
      <c r="A372" s="6" t="s">
        <v>281</v>
      </c>
      <c r="B372" s="6" t="s">
        <v>447</v>
      </c>
      <c r="C372" s="6" t="s">
        <v>449</v>
      </c>
      <c r="D372" s="7">
        <v>431</v>
      </c>
      <c r="E372" s="7">
        <v>826</v>
      </c>
      <c r="F372" s="7">
        <f t="shared" si="24"/>
        <v>1257</v>
      </c>
      <c r="G372" s="8">
        <f t="shared" si="25"/>
        <v>0.34287987271280829</v>
      </c>
      <c r="H372" s="8">
        <f t="shared" si="26"/>
        <v>0.65712012728719171</v>
      </c>
      <c r="I372" s="6" t="s">
        <v>30</v>
      </c>
    </row>
    <row r="373" spans="1:9" ht="14.25" customHeight="1" x14ac:dyDescent="0.2">
      <c r="A373" s="6" t="s">
        <v>281</v>
      </c>
      <c r="B373" s="6" t="s">
        <v>450</v>
      </c>
      <c r="C373" s="6" t="s">
        <v>450</v>
      </c>
      <c r="D373" s="7">
        <v>214</v>
      </c>
      <c r="E373" s="7">
        <v>241</v>
      </c>
      <c r="F373" s="7">
        <f t="shared" si="24"/>
        <v>455</v>
      </c>
      <c r="G373" s="8">
        <f t="shared" si="25"/>
        <v>0.47032967032967032</v>
      </c>
      <c r="H373" s="8">
        <f t="shared" si="26"/>
        <v>0.52967032967032968</v>
      </c>
      <c r="I373" s="6" t="s">
        <v>30</v>
      </c>
    </row>
    <row r="374" spans="1:9" ht="14.25" customHeight="1" x14ac:dyDescent="0.2">
      <c r="A374" s="6" t="s">
        <v>281</v>
      </c>
      <c r="B374" s="6" t="s">
        <v>451</v>
      </c>
      <c r="C374" s="6" t="s">
        <v>452</v>
      </c>
      <c r="D374" s="7">
        <v>446</v>
      </c>
      <c r="E374" s="7">
        <v>650</v>
      </c>
      <c r="F374" s="7">
        <f t="shared" si="24"/>
        <v>1096</v>
      </c>
      <c r="G374" s="8">
        <f t="shared" si="25"/>
        <v>0.40693430656934304</v>
      </c>
      <c r="H374" s="8">
        <f t="shared" si="26"/>
        <v>0.59306569343065696</v>
      </c>
      <c r="I374" s="6" t="s">
        <v>30</v>
      </c>
    </row>
    <row r="375" spans="1:9" ht="14.25" customHeight="1" x14ac:dyDescent="0.2">
      <c r="A375" s="6" t="s">
        <v>281</v>
      </c>
      <c r="B375" s="6" t="s">
        <v>451</v>
      </c>
      <c r="C375" s="6" t="s">
        <v>453</v>
      </c>
      <c r="D375" s="7">
        <v>385</v>
      </c>
      <c r="E375" s="7">
        <v>591</v>
      </c>
      <c r="F375" s="7">
        <f t="shared" si="24"/>
        <v>976</v>
      </c>
      <c r="G375" s="8">
        <f t="shared" si="25"/>
        <v>0.39446721311475408</v>
      </c>
      <c r="H375" s="8">
        <f t="shared" si="26"/>
        <v>0.60553278688524592</v>
      </c>
      <c r="I375" s="6" t="s">
        <v>30</v>
      </c>
    </row>
    <row r="376" spans="1:9" ht="14.25" customHeight="1" x14ac:dyDescent="0.2">
      <c r="A376" s="6" t="s">
        <v>281</v>
      </c>
      <c r="B376" s="6" t="s">
        <v>451</v>
      </c>
      <c r="C376" s="6" t="s">
        <v>454</v>
      </c>
      <c r="D376" s="7">
        <v>500</v>
      </c>
      <c r="E376" s="7">
        <v>541</v>
      </c>
      <c r="F376" s="7">
        <f t="shared" si="24"/>
        <v>1041</v>
      </c>
      <c r="G376" s="8">
        <f t="shared" si="25"/>
        <v>0.48030739673390971</v>
      </c>
      <c r="H376" s="8">
        <f t="shared" si="26"/>
        <v>0.51969260326609035</v>
      </c>
      <c r="I376" s="6" t="s">
        <v>30</v>
      </c>
    </row>
    <row r="377" spans="1:9" ht="14.25" customHeight="1" x14ac:dyDescent="0.2">
      <c r="A377" s="6" t="s">
        <v>281</v>
      </c>
      <c r="B377" s="6" t="s">
        <v>451</v>
      </c>
      <c r="C377" s="6" t="s">
        <v>455</v>
      </c>
      <c r="D377" s="7">
        <v>256</v>
      </c>
      <c r="E377" s="7">
        <v>370</v>
      </c>
      <c r="F377" s="7">
        <f t="shared" si="24"/>
        <v>626</v>
      </c>
      <c r="G377" s="8">
        <f t="shared" si="25"/>
        <v>0.40894568690095845</v>
      </c>
      <c r="H377" s="8">
        <f t="shared" si="26"/>
        <v>0.59105431309904155</v>
      </c>
      <c r="I377" s="6" t="s">
        <v>30</v>
      </c>
    </row>
    <row r="378" spans="1:9" ht="14.25" customHeight="1" x14ac:dyDescent="0.2">
      <c r="A378" s="6" t="s">
        <v>281</v>
      </c>
      <c r="B378" s="6" t="s">
        <v>456</v>
      </c>
      <c r="C378" s="6" t="s">
        <v>457</v>
      </c>
      <c r="D378" s="7">
        <v>457</v>
      </c>
      <c r="E378" s="7">
        <v>314</v>
      </c>
      <c r="F378" s="7">
        <f t="shared" si="24"/>
        <v>771</v>
      </c>
      <c r="G378" s="8">
        <f t="shared" si="25"/>
        <v>0.59273670557717251</v>
      </c>
      <c r="H378" s="8">
        <f t="shared" si="26"/>
        <v>0.40726329442282749</v>
      </c>
      <c r="I378" s="6" t="s">
        <v>30</v>
      </c>
    </row>
    <row r="379" spans="1:9" ht="14.25" customHeight="1" x14ac:dyDescent="0.2">
      <c r="A379" s="6" t="s">
        <v>281</v>
      </c>
      <c r="B379" s="6" t="s">
        <v>456</v>
      </c>
      <c r="C379" s="6" t="s">
        <v>458</v>
      </c>
      <c r="D379" s="7">
        <v>354</v>
      </c>
      <c r="E379" s="7">
        <v>290</v>
      </c>
      <c r="F379" s="7">
        <f t="shared" si="24"/>
        <v>644</v>
      </c>
      <c r="G379" s="8">
        <f t="shared" si="25"/>
        <v>0.5496894409937888</v>
      </c>
      <c r="H379" s="8">
        <f t="shared" si="26"/>
        <v>0.4503105590062112</v>
      </c>
      <c r="I379" s="6" t="s">
        <v>30</v>
      </c>
    </row>
    <row r="380" spans="1:9" ht="14.25" customHeight="1" x14ac:dyDescent="0.2">
      <c r="A380" s="6" t="s">
        <v>281</v>
      </c>
      <c r="B380" s="6" t="s">
        <v>456</v>
      </c>
      <c r="C380" s="6" t="s">
        <v>459</v>
      </c>
      <c r="D380" s="7">
        <v>549</v>
      </c>
      <c r="E380" s="7">
        <v>492</v>
      </c>
      <c r="F380" s="7">
        <f t="shared" si="24"/>
        <v>1041</v>
      </c>
      <c r="G380" s="8">
        <f t="shared" si="25"/>
        <v>0.52737752161383289</v>
      </c>
      <c r="H380" s="8">
        <f t="shared" si="26"/>
        <v>0.47262247838616717</v>
      </c>
      <c r="I380" s="6" t="s">
        <v>30</v>
      </c>
    </row>
    <row r="381" spans="1:9" ht="14.25" customHeight="1" x14ac:dyDescent="0.2">
      <c r="A381" s="6" t="s">
        <v>281</v>
      </c>
      <c r="B381" s="6" t="s">
        <v>460</v>
      </c>
      <c r="C381" s="6" t="s">
        <v>461</v>
      </c>
      <c r="D381" s="7">
        <v>494</v>
      </c>
      <c r="E381" s="7">
        <v>737</v>
      </c>
      <c r="F381" s="7">
        <f t="shared" si="24"/>
        <v>1231</v>
      </c>
      <c r="G381" s="8">
        <f t="shared" si="25"/>
        <v>0.40129975629569453</v>
      </c>
      <c r="H381" s="8">
        <f t="shared" si="26"/>
        <v>0.59870024370430541</v>
      </c>
      <c r="I381" s="6" t="s">
        <v>30</v>
      </c>
    </row>
    <row r="382" spans="1:9" ht="14.25" customHeight="1" x14ac:dyDescent="0.2"/>
    <row r="383" spans="1:9" ht="14.25" customHeight="1" x14ac:dyDescent="0.2"/>
    <row r="384" spans="1:9"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5">
    <mergeCell ref="A10:I10"/>
    <mergeCell ref="A1:I1"/>
    <mergeCell ref="A9:I9"/>
    <mergeCell ref="A3:I3"/>
    <mergeCell ref="A6:I6"/>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90" customWidth="1"/>
    <col min="3" max="3" width="24" customWidth="1"/>
    <col min="4" max="4" width="12" customWidth="1"/>
    <col min="5" max="6" width="14" customWidth="1"/>
    <col min="7" max="7" width="22" customWidth="1"/>
    <col min="8" max="8" width="60" customWidth="1"/>
  </cols>
  <sheetData>
    <row r="1" spans="1:8" ht="32" x14ac:dyDescent="0.2">
      <c r="A1" s="11" t="s">
        <v>462</v>
      </c>
      <c r="B1" s="11" t="s">
        <v>463</v>
      </c>
      <c r="C1" s="11" t="s">
        <v>464</v>
      </c>
      <c r="D1" s="11" t="s">
        <v>465</v>
      </c>
      <c r="E1" s="11" t="s">
        <v>466</v>
      </c>
      <c r="F1" s="11" t="s">
        <v>467</v>
      </c>
      <c r="G1" s="11" t="s">
        <v>468</v>
      </c>
      <c r="H1" s="11" t="s">
        <v>469</v>
      </c>
    </row>
    <row r="2" spans="1:8" ht="32" x14ac:dyDescent="0.2">
      <c r="A2" s="12">
        <v>1</v>
      </c>
      <c r="B2" s="12" t="s">
        <v>470</v>
      </c>
      <c r="C2" s="12" t="s">
        <v>471</v>
      </c>
      <c r="D2" s="13">
        <v>0.35619887751783202</v>
      </c>
      <c r="E2" s="13">
        <v>0.37494618686087589</v>
      </c>
      <c r="F2" s="14">
        <v>82.158790165776139</v>
      </c>
      <c r="G2" s="12" t="s">
        <v>472</v>
      </c>
      <c r="H2" s="12" t="s">
        <v>473</v>
      </c>
    </row>
    <row r="3" spans="1:8" ht="32" x14ac:dyDescent="0.2">
      <c r="A3" s="12">
        <v>2</v>
      </c>
      <c r="B3" s="12" t="s">
        <v>474</v>
      </c>
      <c r="C3" s="12" t="s">
        <v>471</v>
      </c>
      <c r="D3" s="13">
        <v>0.30363471066235642</v>
      </c>
      <c r="E3" s="13">
        <v>0.31961548490774372</v>
      </c>
      <c r="F3" s="14">
        <v>70.034640912381406</v>
      </c>
      <c r="G3" s="12" t="s">
        <v>475</v>
      </c>
      <c r="H3" s="12" t="s">
        <v>476</v>
      </c>
    </row>
    <row r="4" spans="1:8" ht="32" x14ac:dyDescent="0.2">
      <c r="A4" s="12">
        <v>3</v>
      </c>
      <c r="B4" s="12" t="s">
        <v>477</v>
      </c>
      <c r="C4" s="12" t="s">
        <v>471</v>
      </c>
      <c r="D4" s="13">
        <v>0.10789327355314821</v>
      </c>
      <c r="E4" s="13">
        <v>0.1135718668980507</v>
      </c>
      <c r="F4" s="14">
        <v>24.886043672914202</v>
      </c>
      <c r="G4" s="12" t="s">
        <v>475</v>
      </c>
      <c r="H4" s="12" t="s">
        <v>476</v>
      </c>
    </row>
    <row r="5" spans="1:8" ht="32" x14ac:dyDescent="0.2">
      <c r="A5" s="12">
        <v>4</v>
      </c>
      <c r="B5" s="12" t="s">
        <v>478</v>
      </c>
      <c r="C5" s="12" t="s">
        <v>471</v>
      </c>
      <c r="D5" s="13">
        <v>4.230064289956173E-2</v>
      </c>
      <c r="E5" s="13">
        <v>4.4526992525854459E-2</v>
      </c>
      <c r="F5" s="14">
        <v>9.7568236825466599</v>
      </c>
      <c r="G5" s="12" t="s">
        <v>479</v>
      </c>
      <c r="H5" s="12" t="s">
        <v>480</v>
      </c>
    </row>
    <row r="6" spans="1:8" ht="32" x14ac:dyDescent="0.2">
      <c r="A6" s="12">
        <v>5</v>
      </c>
      <c r="B6" s="12" t="s">
        <v>481</v>
      </c>
      <c r="C6" s="12" t="s">
        <v>471</v>
      </c>
      <c r="D6" s="13">
        <v>3.6386795163742859E-2</v>
      </c>
      <c r="E6" s="13">
        <v>3.8301889646045119E-2</v>
      </c>
      <c r="F6" s="14">
        <v>8.3927694817437128</v>
      </c>
      <c r="G6" s="12" t="s">
        <v>479</v>
      </c>
      <c r="H6" s="12" t="s">
        <v>480</v>
      </c>
    </row>
    <row r="7" spans="1:8" ht="32" x14ac:dyDescent="0.2">
      <c r="A7" s="12">
        <v>6</v>
      </c>
      <c r="B7" s="12" t="s">
        <v>482</v>
      </c>
      <c r="C7" s="12" t="s">
        <v>471</v>
      </c>
      <c r="D7" s="13">
        <v>3.2154628335152258E-2</v>
      </c>
      <c r="E7" s="13">
        <v>3.3846977194897113E-2</v>
      </c>
      <c r="F7" s="14">
        <v>7.4166021539864087</v>
      </c>
      <c r="G7" s="12" t="s">
        <v>479</v>
      </c>
      <c r="H7" s="12" t="s">
        <v>480</v>
      </c>
    </row>
    <row r="8" spans="1:8" ht="32" x14ac:dyDescent="0.2">
      <c r="A8" s="12">
        <v>7</v>
      </c>
      <c r="B8" s="12" t="s">
        <v>483</v>
      </c>
      <c r="C8" s="12" t="s">
        <v>484</v>
      </c>
      <c r="D8" s="13">
        <v>3.0391403951131289E-2</v>
      </c>
      <c r="E8" s="13">
        <v>0.60782807902262526</v>
      </c>
      <c r="F8" s="14">
        <v>7.0099069302635142</v>
      </c>
      <c r="G8" s="12" t="s">
        <v>475</v>
      </c>
      <c r="H8" s="12" t="s">
        <v>476</v>
      </c>
    </row>
    <row r="9" spans="1:8" ht="32" x14ac:dyDescent="0.2">
      <c r="A9" s="12">
        <v>8</v>
      </c>
      <c r="B9" s="12" t="s">
        <v>485</v>
      </c>
      <c r="C9" s="12" t="s">
        <v>471</v>
      </c>
      <c r="D9" s="13">
        <v>2.9311708294142171E-2</v>
      </c>
      <c r="E9" s="13">
        <v>3.085442978330755E-2</v>
      </c>
      <c r="F9" s="14">
        <v>6.7608705224465693</v>
      </c>
      <c r="G9" s="12" t="s">
        <v>479</v>
      </c>
      <c r="H9" s="12" t="s">
        <v>480</v>
      </c>
    </row>
    <row r="10" spans="1:8" ht="32" x14ac:dyDescent="0.2">
      <c r="A10" s="12">
        <v>9</v>
      </c>
      <c r="B10" s="12" t="s">
        <v>486</v>
      </c>
      <c r="C10" s="12" t="s">
        <v>471</v>
      </c>
      <c r="D10" s="13">
        <v>2.461323573456067E-2</v>
      </c>
      <c r="E10" s="13">
        <v>2.590866919427439E-2</v>
      </c>
      <c r="F10" s="14">
        <v>5.677147789201884</v>
      </c>
      <c r="G10" s="12" t="s">
        <v>479</v>
      </c>
      <c r="H10" s="12" t="s">
        <v>480</v>
      </c>
    </row>
    <row r="11" spans="1:8" ht="32" x14ac:dyDescent="0.2">
      <c r="A11" s="12">
        <v>10</v>
      </c>
      <c r="B11" s="12" t="s">
        <v>487</v>
      </c>
      <c r="C11" s="12" t="s">
        <v>471</v>
      </c>
      <c r="D11" s="13">
        <v>1.7506127839503571E-2</v>
      </c>
      <c r="E11" s="13">
        <v>1.8427502988951131E-2</v>
      </c>
      <c r="F11" s="14">
        <v>4.0378630438245056</v>
      </c>
      <c r="G11" s="12" t="s">
        <v>479</v>
      </c>
      <c r="H11" s="12" t="s">
        <v>480</v>
      </c>
    </row>
    <row r="12" spans="1:8" ht="32" x14ac:dyDescent="0.2">
      <c r="A12" s="12">
        <v>11</v>
      </c>
      <c r="B12" s="12" t="s">
        <v>488</v>
      </c>
      <c r="C12" s="12" t="s">
        <v>484</v>
      </c>
      <c r="D12" s="13">
        <v>6.3904774668306196E-3</v>
      </c>
      <c r="E12" s="13">
        <v>0.12780954933661229</v>
      </c>
      <c r="F12" s="14">
        <v>1.4739908809234621</v>
      </c>
      <c r="G12" s="12" t="s">
        <v>475</v>
      </c>
      <c r="H12" s="12" t="s">
        <v>476</v>
      </c>
    </row>
    <row r="13" spans="1:8" ht="32" x14ac:dyDescent="0.2">
      <c r="A13" s="12">
        <v>12</v>
      </c>
      <c r="B13" s="12" t="s">
        <v>489</v>
      </c>
      <c r="C13" s="12" t="s">
        <v>484</v>
      </c>
      <c r="D13" s="13">
        <v>5.8954068326284208E-3</v>
      </c>
      <c r="E13" s="13">
        <v>0.1179081366525683</v>
      </c>
      <c r="F13" s="14">
        <v>1.3598007278379289</v>
      </c>
      <c r="G13" s="12" t="s">
        <v>475</v>
      </c>
      <c r="H13" s="12" t="s">
        <v>476</v>
      </c>
    </row>
    <row r="14" spans="1:8" ht="32" x14ac:dyDescent="0.2">
      <c r="A14" s="12">
        <v>13</v>
      </c>
      <c r="B14" s="12" t="s">
        <v>490</v>
      </c>
      <c r="C14" s="12" t="s">
        <v>484</v>
      </c>
      <c r="D14" s="13">
        <v>4.3226790103602824E-3</v>
      </c>
      <c r="E14" s="13">
        <v>8.645358020720556E-2</v>
      </c>
      <c r="F14" s="14">
        <v>0.9970443484859548</v>
      </c>
      <c r="G14" s="12" t="s">
        <v>472</v>
      </c>
      <c r="H14" s="12" t="s">
        <v>473</v>
      </c>
    </row>
    <row r="15" spans="1:8" ht="32" x14ac:dyDescent="0.2">
      <c r="A15" s="12">
        <v>14</v>
      </c>
      <c r="B15" s="12" t="s">
        <v>491</v>
      </c>
      <c r="C15" s="12" t="s">
        <v>484</v>
      </c>
      <c r="D15" s="13">
        <v>3.0000327390494299E-3</v>
      </c>
      <c r="E15" s="13">
        <v>6.0000654780988552E-2</v>
      </c>
      <c r="F15" s="14">
        <v>0.69197034537449242</v>
      </c>
      <c r="G15" s="12" t="s">
        <v>472</v>
      </c>
      <c r="H15" s="12" t="s">
        <v>473</v>
      </c>
    </row>
    <row r="17" spans="2:6" x14ac:dyDescent="0.2">
      <c r="B17" s="15" t="s">
        <v>492</v>
      </c>
      <c r="C17" t="s">
        <v>471</v>
      </c>
      <c r="D17" s="16">
        <f>SUMIF(C2:C15,"Historical voter data",D2:D15)</f>
        <v>0.94999999999999984</v>
      </c>
      <c r="F17" s="17">
        <f>SUMIF(C2:C15,"Historical voter data",F2:F15)</f>
        <v>219.12155142482149</v>
      </c>
    </row>
    <row r="18" spans="2:6" x14ac:dyDescent="0.2">
      <c r="B18" s="15" t="s">
        <v>493</v>
      </c>
      <c r="C18" t="s">
        <v>484</v>
      </c>
      <c r="D18" s="16">
        <f>SUMIF(C2:C15,"Voter registration data",D2:D15)</f>
        <v>5.0000000000000051E-2</v>
      </c>
      <c r="F18" s="17">
        <f>SUMIF(C2:C15,"Voter registration data",F2:F15)</f>
        <v>11.532713232885353</v>
      </c>
    </row>
    <row r="19" spans="2:6" x14ac:dyDescent="0.2">
      <c r="B19" s="15" t="s">
        <v>494</v>
      </c>
      <c r="D19" s="16">
        <f>SUM(D2:D15)</f>
        <v>1</v>
      </c>
      <c r="F19" s="17">
        <f>SUM(F2:F15)</f>
        <v>230.65426465770685</v>
      </c>
    </row>
    <row r="21" spans="2:6" ht="16" x14ac:dyDescent="0.2">
      <c r="B21" s="11" t="s">
        <v>18</v>
      </c>
    </row>
    <row r="22" spans="2:6" ht="32" x14ac:dyDescent="0.2">
      <c r="B22" s="12" t="s">
        <v>495</v>
      </c>
    </row>
    <row r="23" spans="2:6" ht="48" x14ac:dyDescent="0.2">
      <c r="B23" s="12" t="s">
        <v>496</v>
      </c>
    </row>
    <row r="24" spans="2:6" ht="48" x14ac:dyDescent="0.2">
      <c r="B24" s="12" t="s">
        <v>497</v>
      </c>
    </row>
    <row r="25" spans="2:6" ht="32" x14ac:dyDescent="0.2">
      <c r="B25" s="12" t="s">
        <v>498</v>
      </c>
    </row>
    <row r="26" spans="2:6" ht="48" x14ac:dyDescent="0.2">
      <c r="B26" s="12" t="s">
        <v>499</v>
      </c>
    </row>
    <row r="27" spans="2:6" ht="112" x14ac:dyDescent="0.2">
      <c r="B27" s="12" t="s">
        <v>500</v>
      </c>
    </row>
    <row r="28" spans="2:6" ht="96" x14ac:dyDescent="0.2">
      <c r="B28" s="12" t="s">
        <v>501</v>
      </c>
    </row>
    <row r="29" spans="2:6" ht="128" x14ac:dyDescent="0.2">
      <c r="B29" s="12" t="s">
        <v>502</v>
      </c>
    </row>
    <row r="30" spans="2:6" ht="48" x14ac:dyDescent="0.2">
      <c r="B30" s="12" t="s">
        <v>503</v>
      </c>
    </row>
    <row r="31" spans="2:6" ht="80" x14ac:dyDescent="0.2">
      <c r="B31" s="12" t="s">
        <v>504</v>
      </c>
    </row>
    <row r="32" spans="2:6" ht="128" x14ac:dyDescent="0.2">
      <c r="B32" s="12" t="s">
        <v>505</v>
      </c>
    </row>
    <row r="33" spans="2:2" ht="32" x14ac:dyDescent="0.2">
      <c r="B33" s="12" t="s">
        <v>506</v>
      </c>
    </row>
    <row r="34" spans="2:2" ht="32" x14ac:dyDescent="0.2">
      <c r="B34" s="12" t="s">
        <v>507</v>
      </c>
    </row>
    <row r="35" spans="2:2" ht="96" x14ac:dyDescent="0.2">
      <c r="B35" s="12" t="s">
        <v>508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7"/>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26" customWidth="1"/>
    <col min="3" max="3" width="34" customWidth="1"/>
    <col min="4" max="12" width="14" customWidth="1"/>
    <col min="13" max="13" width="90" customWidth="1"/>
  </cols>
  <sheetData>
    <row r="1" spans="1:13" ht="112" x14ac:dyDescent="0.2">
      <c r="A1" s="11" t="s">
        <v>24</v>
      </c>
      <c r="B1" s="11" t="s">
        <v>25</v>
      </c>
      <c r="C1" s="11" t="s">
        <v>26</v>
      </c>
      <c r="D1" s="11" t="s">
        <v>509</v>
      </c>
      <c r="E1" s="11" t="s">
        <v>510</v>
      </c>
      <c r="F1" s="11" t="s">
        <v>511</v>
      </c>
      <c r="G1" s="11" t="s">
        <v>512</v>
      </c>
      <c r="H1" s="11" t="s">
        <v>513</v>
      </c>
      <c r="I1" s="11" t="s">
        <v>514</v>
      </c>
      <c r="J1" s="11" t="s">
        <v>515</v>
      </c>
      <c r="K1" s="11" t="s">
        <v>516</v>
      </c>
      <c r="L1" s="11" t="s">
        <v>517</v>
      </c>
      <c r="M1" s="11" t="s">
        <v>518</v>
      </c>
    </row>
    <row r="2" spans="1:13" x14ac:dyDescent="0.2">
      <c r="A2" t="s">
        <v>28</v>
      </c>
      <c r="B2" t="s">
        <v>29</v>
      </c>
      <c r="C2" t="s">
        <v>29</v>
      </c>
      <c r="D2" s="17">
        <v>232</v>
      </c>
      <c r="E2" s="17">
        <v>181</v>
      </c>
      <c r="F2" s="17">
        <f t="shared" ref="F2:F65" si="0">IF(E2="","",D2-E2)</f>
        <v>51</v>
      </c>
      <c r="G2" s="17">
        <v>339</v>
      </c>
      <c r="H2" s="17">
        <v>284</v>
      </c>
      <c r="I2" s="17">
        <f t="shared" ref="I2:I65" si="1">IF(H2="","",G2-H2)</f>
        <v>55</v>
      </c>
      <c r="J2" s="16">
        <f t="shared" ref="J2:J65" si="2">IF(D2+G2=0,"",D2/(D2+G2))</f>
        <v>0.40630472854640981</v>
      </c>
      <c r="K2" s="16">
        <f t="shared" ref="K2:K65" si="3">IF(E2="","",E2/(E2+H2))</f>
        <v>0.38924731182795697</v>
      </c>
      <c r="L2" s="18">
        <f t="shared" ref="L2:L65" si="4">IF(OR(K2="",J2=""),"",(J2-K2)*100)</f>
        <v>1.7057416718452845</v>
      </c>
    </row>
    <row r="3" spans="1:13" x14ac:dyDescent="0.2">
      <c r="A3" t="s">
        <v>28</v>
      </c>
      <c r="B3" t="s">
        <v>31</v>
      </c>
      <c r="C3" t="s">
        <v>31</v>
      </c>
      <c r="D3" s="17">
        <v>136</v>
      </c>
      <c r="E3" s="17">
        <v>118</v>
      </c>
      <c r="F3" s="17">
        <f t="shared" si="0"/>
        <v>18</v>
      </c>
      <c r="G3" s="17">
        <v>340</v>
      </c>
      <c r="H3" s="17">
        <v>298</v>
      </c>
      <c r="I3" s="17">
        <f t="shared" si="1"/>
        <v>42</v>
      </c>
      <c r="J3" s="16">
        <f t="shared" si="2"/>
        <v>0.2857142857142857</v>
      </c>
      <c r="K3" s="16">
        <f t="shared" si="3"/>
        <v>0.28365384615384615</v>
      </c>
      <c r="L3" s="18">
        <f t="shared" si="4"/>
        <v>0.20604395604395531</v>
      </c>
    </row>
    <row r="4" spans="1:13" x14ac:dyDescent="0.2">
      <c r="A4" t="s">
        <v>28</v>
      </c>
      <c r="B4" t="s">
        <v>32</v>
      </c>
      <c r="C4" t="s">
        <v>32</v>
      </c>
      <c r="D4" s="17">
        <v>184</v>
      </c>
      <c r="E4" s="17">
        <v>143</v>
      </c>
      <c r="F4" s="17">
        <f t="shared" si="0"/>
        <v>41</v>
      </c>
      <c r="G4" s="17">
        <v>329</v>
      </c>
      <c r="H4" s="17">
        <v>309</v>
      </c>
      <c r="I4" s="17">
        <f t="shared" si="1"/>
        <v>20</v>
      </c>
      <c r="J4" s="16">
        <f t="shared" si="2"/>
        <v>0.35867446393762181</v>
      </c>
      <c r="K4" s="16">
        <f t="shared" si="3"/>
        <v>0.3163716814159292</v>
      </c>
      <c r="L4" s="18">
        <f t="shared" si="4"/>
        <v>4.2302782521692617</v>
      </c>
    </row>
    <row r="5" spans="1:13" x14ac:dyDescent="0.2">
      <c r="A5" t="s">
        <v>28</v>
      </c>
      <c r="B5" t="s">
        <v>33</v>
      </c>
      <c r="C5" t="s">
        <v>34</v>
      </c>
      <c r="D5" s="17">
        <v>261</v>
      </c>
      <c r="E5" s="17">
        <v>202</v>
      </c>
      <c r="F5" s="17">
        <f t="shared" si="0"/>
        <v>59</v>
      </c>
      <c r="G5" s="17">
        <v>668</v>
      </c>
      <c r="H5" s="17">
        <v>640</v>
      </c>
      <c r="I5" s="17">
        <f t="shared" si="1"/>
        <v>28</v>
      </c>
      <c r="J5" s="16">
        <f t="shared" si="2"/>
        <v>0.28094725511302476</v>
      </c>
      <c r="K5" s="16">
        <f t="shared" si="3"/>
        <v>0.23990498812351543</v>
      </c>
      <c r="L5" s="18">
        <f t="shared" si="4"/>
        <v>4.1042266989509333</v>
      </c>
    </row>
    <row r="6" spans="1:13" x14ac:dyDescent="0.2">
      <c r="A6" t="s">
        <v>28</v>
      </c>
      <c r="B6" t="s">
        <v>33</v>
      </c>
      <c r="C6" t="s">
        <v>35</v>
      </c>
      <c r="D6" s="17">
        <v>269</v>
      </c>
      <c r="E6" s="17">
        <v>232</v>
      </c>
      <c r="F6" s="17">
        <f t="shared" si="0"/>
        <v>37</v>
      </c>
      <c r="G6" s="17">
        <v>663</v>
      </c>
      <c r="H6" s="17">
        <v>603</v>
      </c>
      <c r="I6" s="17">
        <f t="shared" si="1"/>
        <v>60</v>
      </c>
      <c r="J6" s="16">
        <f t="shared" si="2"/>
        <v>0.28862660944206009</v>
      </c>
      <c r="K6" s="16">
        <f t="shared" si="3"/>
        <v>0.27784431137724552</v>
      </c>
      <c r="L6" s="18">
        <f t="shared" si="4"/>
        <v>1.0782298064814566</v>
      </c>
    </row>
    <row r="7" spans="1:13" x14ac:dyDescent="0.2">
      <c r="A7" t="s">
        <v>28</v>
      </c>
      <c r="B7" t="s">
        <v>36</v>
      </c>
      <c r="C7" t="s">
        <v>36</v>
      </c>
      <c r="D7" s="17">
        <v>54</v>
      </c>
      <c r="E7" s="17">
        <v>38</v>
      </c>
      <c r="F7" s="17">
        <f t="shared" si="0"/>
        <v>16</v>
      </c>
      <c r="G7" s="17">
        <v>89</v>
      </c>
      <c r="H7" s="17">
        <v>78</v>
      </c>
      <c r="I7" s="17">
        <f t="shared" si="1"/>
        <v>11</v>
      </c>
      <c r="J7" s="16">
        <f t="shared" si="2"/>
        <v>0.3776223776223776</v>
      </c>
      <c r="K7" s="16">
        <f t="shared" si="3"/>
        <v>0.32758620689655171</v>
      </c>
      <c r="L7" s="18">
        <f t="shared" si="4"/>
        <v>5.003617072582589</v>
      </c>
    </row>
    <row r="8" spans="1:13" x14ac:dyDescent="0.2">
      <c r="A8" t="s">
        <v>28</v>
      </c>
      <c r="B8" t="s">
        <v>37</v>
      </c>
      <c r="C8" t="s">
        <v>38</v>
      </c>
      <c r="D8" s="17">
        <v>359</v>
      </c>
      <c r="E8" s="17">
        <v>301</v>
      </c>
      <c r="F8" s="17">
        <f t="shared" si="0"/>
        <v>58</v>
      </c>
      <c r="G8" s="17">
        <v>857</v>
      </c>
      <c r="H8" s="17">
        <v>760</v>
      </c>
      <c r="I8" s="17">
        <f t="shared" si="1"/>
        <v>97</v>
      </c>
      <c r="J8" s="16">
        <f t="shared" si="2"/>
        <v>0.29523026315789475</v>
      </c>
      <c r="K8" s="16">
        <f t="shared" si="3"/>
        <v>0.28369462770970783</v>
      </c>
      <c r="L8" s="18">
        <f t="shared" si="4"/>
        <v>1.1535635448186921</v>
      </c>
    </row>
    <row r="9" spans="1:13" x14ac:dyDescent="0.2">
      <c r="A9" t="s">
        <v>28</v>
      </c>
      <c r="B9" t="s">
        <v>37</v>
      </c>
      <c r="C9" t="s">
        <v>39</v>
      </c>
      <c r="D9" s="17">
        <v>206</v>
      </c>
      <c r="E9" s="17">
        <v>164</v>
      </c>
      <c r="F9" s="17">
        <f t="shared" si="0"/>
        <v>42</v>
      </c>
      <c r="G9" s="17">
        <v>512</v>
      </c>
      <c r="H9" s="17">
        <v>450</v>
      </c>
      <c r="I9" s="17">
        <f t="shared" si="1"/>
        <v>62</v>
      </c>
      <c r="J9" s="16">
        <f t="shared" si="2"/>
        <v>0.28690807799442897</v>
      </c>
      <c r="K9" s="16">
        <f t="shared" si="3"/>
        <v>0.26710097719869708</v>
      </c>
      <c r="L9" s="18">
        <f t="shared" si="4"/>
        <v>1.9807100795731891</v>
      </c>
    </row>
    <row r="10" spans="1:13" x14ac:dyDescent="0.2">
      <c r="A10" t="s">
        <v>28</v>
      </c>
      <c r="B10" t="s">
        <v>37</v>
      </c>
      <c r="C10" t="s">
        <v>40</v>
      </c>
      <c r="D10" s="17">
        <v>267</v>
      </c>
      <c r="E10" s="17">
        <v>235</v>
      </c>
      <c r="F10" s="17">
        <f t="shared" si="0"/>
        <v>32</v>
      </c>
      <c r="G10" s="17">
        <v>704</v>
      </c>
      <c r="H10" s="17">
        <v>626</v>
      </c>
      <c r="I10" s="17">
        <f t="shared" si="1"/>
        <v>78</v>
      </c>
      <c r="J10" s="16">
        <f t="shared" si="2"/>
        <v>0.27497425334706488</v>
      </c>
      <c r="K10" s="16">
        <f t="shared" si="3"/>
        <v>0.27293844367015097</v>
      </c>
      <c r="L10" s="18">
        <f t="shared" si="4"/>
        <v>0.20358096769139133</v>
      </c>
    </row>
    <row r="11" spans="1:13" x14ac:dyDescent="0.2">
      <c r="A11" t="s">
        <v>28</v>
      </c>
      <c r="B11" t="s">
        <v>41</v>
      </c>
      <c r="C11" t="s">
        <v>42</v>
      </c>
      <c r="D11" s="17">
        <v>277</v>
      </c>
      <c r="E11" s="17">
        <v>229</v>
      </c>
      <c r="F11" s="17">
        <f t="shared" si="0"/>
        <v>48</v>
      </c>
      <c r="G11" s="17">
        <v>339</v>
      </c>
      <c r="H11" s="17">
        <v>297</v>
      </c>
      <c r="I11" s="17">
        <f t="shared" si="1"/>
        <v>42</v>
      </c>
      <c r="J11" s="16">
        <f t="shared" si="2"/>
        <v>0.44967532467532467</v>
      </c>
      <c r="K11" s="16">
        <f t="shared" si="3"/>
        <v>0.43536121673003803</v>
      </c>
      <c r="L11" s="18">
        <f t="shared" si="4"/>
        <v>1.4314107945286647</v>
      </c>
    </row>
    <row r="12" spans="1:13" x14ac:dyDescent="0.2">
      <c r="A12" t="s">
        <v>28</v>
      </c>
      <c r="B12" t="s">
        <v>41</v>
      </c>
      <c r="C12" t="s">
        <v>43</v>
      </c>
      <c r="D12" s="17">
        <v>203</v>
      </c>
      <c r="E12" s="17">
        <v>163</v>
      </c>
      <c r="F12" s="17">
        <f t="shared" si="0"/>
        <v>40</v>
      </c>
      <c r="G12" s="17">
        <v>238</v>
      </c>
      <c r="H12" s="17">
        <v>226</v>
      </c>
      <c r="I12" s="17">
        <f t="shared" si="1"/>
        <v>12</v>
      </c>
      <c r="J12" s="16">
        <f t="shared" si="2"/>
        <v>0.46031746031746029</v>
      </c>
      <c r="K12" s="16">
        <f t="shared" si="3"/>
        <v>0.41902313624678661</v>
      </c>
      <c r="L12" s="18">
        <f t="shared" si="4"/>
        <v>4.1294324070673678</v>
      </c>
    </row>
    <row r="13" spans="1:13" x14ac:dyDescent="0.2">
      <c r="A13" t="s">
        <v>28</v>
      </c>
      <c r="B13" t="s">
        <v>41</v>
      </c>
      <c r="C13" t="s">
        <v>44</v>
      </c>
      <c r="D13" s="17">
        <v>361</v>
      </c>
      <c r="E13" s="17">
        <v>286</v>
      </c>
      <c r="F13" s="17">
        <f t="shared" si="0"/>
        <v>75</v>
      </c>
      <c r="G13" s="17">
        <v>491</v>
      </c>
      <c r="H13" s="17">
        <v>464</v>
      </c>
      <c r="I13" s="17">
        <f t="shared" si="1"/>
        <v>27</v>
      </c>
      <c r="J13" s="16">
        <f t="shared" si="2"/>
        <v>0.42370892018779344</v>
      </c>
      <c r="K13" s="16">
        <f t="shared" si="3"/>
        <v>0.38133333333333336</v>
      </c>
      <c r="L13" s="18">
        <f t="shared" si="4"/>
        <v>4.2375586854460074</v>
      </c>
    </row>
    <row r="14" spans="1:13" x14ac:dyDescent="0.2">
      <c r="A14" t="s">
        <v>28</v>
      </c>
      <c r="B14" t="s">
        <v>41</v>
      </c>
      <c r="C14" t="s">
        <v>45</v>
      </c>
      <c r="D14" s="17">
        <v>180</v>
      </c>
      <c r="E14" s="17">
        <v>138</v>
      </c>
      <c r="F14" s="17">
        <f t="shared" si="0"/>
        <v>42</v>
      </c>
      <c r="G14" s="17">
        <v>152</v>
      </c>
      <c r="H14" s="17">
        <v>134</v>
      </c>
      <c r="I14" s="17">
        <f t="shared" si="1"/>
        <v>18</v>
      </c>
      <c r="J14" s="16">
        <f t="shared" si="2"/>
        <v>0.54216867469879515</v>
      </c>
      <c r="K14" s="16">
        <f t="shared" si="3"/>
        <v>0.50735294117647056</v>
      </c>
      <c r="L14" s="18">
        <f t="shared" si="4"/>
        <v>3.4815733522324588</v>
      </c>
    </row>
    <row r="15" spans="1:13" x14ac:dyDescent="0.2">
      <c r="A15" t="s">
        <v>28</v>
      </c>
      <c r="B15" t="s">
        <v>41</v>
      </c>
      <c r="C15" t="s">
        <v>46</v>
      </c>
      <c r="D15" s="17">
        <v>338</v>
      </c>
      <c r="E15" s="17">
        <v>275</v>
      </c>
      <c r="F15" s="17">
        <f t="shared" si="0"/>
        <v>63</v>
      </c>
      <c r="G15" s="17">
        <v>363</v>
      </c>
      <c r="H15" s="17">
        <v>352</v>
      </c>
      <c r="I15" s="17">
        <f t="shared" si="1"/>
        <v>11</v>
      </c>
      <c r="J15" s="16">
        <f t="shared" si="2"/>
        <v>0.48216833095577744</v>
      </c>
      <c r="K15" s="16">
        <f t="shared" si="3"/>
        <v>0.43859649122807015</v>
      </c>
      <c r="L15" s="18">
        <f t="shared" si="4"/>
        <v>4.3571839727707289</v>
      </c>
    </row>
    <row r="16" spans="1:13" x14ac:dyDescent="0.2">
      <c r="A16" t="s">
        <v>28</v>
      </c>
      <c r="B16" t="s">
        <v>47</v>
      </c>
      <c r="C16" t="s">
        <v>48</v>
      </c>
      <c r="D16" s="17">
        <v>123</v>
      </c>
      <c r="E16" s="17">
        <v>120</v>
      </c>
      <c r="F16" s="17">
        <f t="shared" si="0"/>
        <v>3</v>
      </c>
      <c r="G16" s="17">
        <v>245</v>
      </c>
      <c r="H16" s="17">
        <v>202</v>
      </c>
      <c r="I16" s="17">
        <f t="shared" si="1"/>
        <v>43</v>
      </c>
      <c r="J16" s="16">
        <f t="shared" si="2"/>
        <v>0.33423913043478259</v>
      </c>
      <c r="K16" s="16">
        <f t="shared" si="3"/>
        <v>0.37267080745341613</v>
      </c>
      <c r="L16" s="18">
        <f t="shared" si="4"/>
        <v>-3.8431677018633534</v>
      </c>
    </row>
    <row r="17" spans="1:12" x14ac:dyDescent="0.2">
      <c r="A17" t="s">
        <v>28</v>
      </c>
      <c r="B17" t="s">
        <v>47</v>
      </c>
      <c r="C17" t="s">
        <v>49</v>
      </c>
      <c r="D17" s="17">
        <v>276</v>
      </c>
      <c r="E17" s="17">
        <v>227</v>
      </c>
      <c r="F17" s="17">
        <f t="shared" si="0"/>
        <v>49</v>
      </c>
      <c r="G17" s="17">
        <v>683</v>
      </c>
      <c r="H17" s="17">
        <v>484</v>
      </c>
      <c r="I17" s="17">
        <f t="shared" si="1"/>
        <v>199</v>
      </c>
      <c r="J17" s="16">
        <f t="shared" si="2"/>
        <v>0.28779979144942647</v>
      </c>
      <c r="K17" s="16">
        <f t="shared" si="3"/>
        <v>0.31926863572433195</v>
      </c>
      <c r="L17" s="18">
        <f t="shared" si="4"/>
        <v>-3.1468844274905483</v>
      </c>
    </row>
    <row r="18" spans="1:12" x14ac:dyDescent="0.2">
      <c r="A18" t="s">
        <v>28</v>
      </c>
      <c r="B18" t="s">
        <v>50</v>
      </c>
      <c r="C18" t="s">
        <v>51</v>
      </c>
      <c r="D18" s="17">
        <v>322</v>
      </c>
      <c r="E18" s="17">
        <v>249</v>
      </c>
      <c r="F18" s="17">
        <f t="shared" si="0"/>
        <v>73</v>
      </c>
      <c r="G18" s="17">
        <v>466</v>
      </c>
      <c r="H18" s="17">
        <v>392</v>
      </c>
      <c r="I18" s="17">
        <f t="shared" si="1"/>
        <v>74</v>
      </c>
      <c r="J18" s="16">
        <f t="shared" si="2"/>
        <v>0.40862944162436549</v>
      </c>
      <c r="K18" s="16">
        <f t="shared" si="3"/>
        <v>0.38845553822152884</v>
      </c>
      <c r="L18" s="18">
        <f t="shared" si="4"/>
        <v>2.0173903402836646</v>
      </c>
    </row>
    <row r="19" spans="1:12" x14ac:dyDescent="0.2">
      <c r="A19" t="s">
        <v>28</v>
      </c>
      <c r="B19" t="s">
        <v>50</v>
      </c>
      <c r="C19" t="s">
        <v>52</v>
      </c>
      <c r="D19" s="17">
        <v>207</v>
      </c>
      <c r="E19" s="17">
        <v>152</v>
      </c>
      <c r="F19" s="17">
        <f t="shared" si="0"/>
        <v>55</v>
      </c>
      <c r="G19" s="17">
        <v>281</v>
      </c>
      <c r="H19" s="17">
        <v>246</v>
      </c>
      <c r="I19" s="17">
        <f t="shared" si="1"/>
        <v>35</v>
      </c>
      <c r="J19" s="16">
        <f t="shared" si="2"/>
        <v>0.42418032786885246</v>
      </c>
      <c r="K19" s="16">
        <f t="shared" si="3"/>
        <v>0.38190954773869346</v>
      </c>
      <c r="L19" s="18">
        <f t="shared" si="4"/>
        <v>4.2270780130159</v>
      </c>
    </row>
    <row r="20" spans="1:12" x14ac:dyDescent="0.2">
      <c r="A20" t="s">
        <v>28</v>
      </c>
      <c r="B20" t="s">
        <v>50</v>
      </c>
      <c r="C20" t="s">
        <v>53</v>
      </c>
      <c r="D20" s="17">
        <v>216</v>
      </c>
      <c r="E20" s="17">
        <v>165</v>
      </c>
      <c r="F20" s="17">
        <f t="shared" si="0"/>
        <v>51</v>
      </c>
      <c r="G20" s="17">
        <v>216</v>
      </c>
      <c r="H20" s="17">
        <v>237</v>
      </c>
      <c r="I20" s="17">
        <f t="shared" si="1"/>
        <v>-21</v>
      </c>
      <c r="J20" s="16">
        <f t="shared" si="2"/>
        <v>0.5</v>
      </c>
      <c r="K20" s="16">
        <f t="shared" si="3"/>
        <v>0.41044776119402987</v>
      </c>
      <c r="L20" s="18">
        <f t="shared" si="4"/>
        <v>8.9552238805970124</v>
      </c>
    </row>
    <row r="21" spans="1:12" x14ac:dyDescent="0.2">
      <c r="A21" t="s">
        <v>28</v>
      </c>
      <c r="B21" t="s">
        <v>54</v>
      </c>
      <c r="C21" t="s">
        <v>54</v>
      </c>
      <c r="D21" s="17">
        <v>49</v>
      </c>
      <c r="E21" s="17">
        <v>38</v>
      </c>
      <c r="F21" s="17">
        <f t="shared" si="0"/>
        <v>11</v>
      </c>
      <c r="G21" s="17">
        <v>121</v>
      </c>
      <c r="H21" s="17">
        <v>106</v>
      </c>
      <c r="I21" s="17">
        <f t="shared" si="1"/>
        <v>15</v>
      </c>
      <c r="J21" s="16">
        <f t="shared" si="2"/>
        <v>0.28823529411764703</v>
      </c>
      <c r="K21" s="16">
        <f t="shared" si="3"/>
        <v>0.2638888888888889</v>
      </c>
      <c r="L21" s="18">
        <f t="shared" si="4"/>
        <v>2.4346405228758137</v>
      </c>
    </row>
    <row r="22" spans="1:12" x14ac:dyDescent="0.2">
      <c r="A22" t="s">
        <v>28</v>
      </c>
      <c r="B22" t="s">
        <v>55</v>
      </c>
      <c r="C22" t="s">
        <v>55</v>
      </c>
      <c r="D22" s="17">
        <v>86</v>
      </c>
      <c r="E22" s="17">
        <v>58</v>
      </c>
      <c r="F22" s="17">
        <f t="shared" si="0"/>
        <v>28</v>
      </c>
      <c r="G22" s="17">
        <v>234</v>
      </c>
      <c r="H22" s="17">
        <v>214</v>
      </c>
      <c r="I22" s="17">
        <f t="shared" si="1"/>
        <v>20</v>
      </c>
      <c r="J22" s="16">
        <f t="shared" si="2"/>
        <v>0.26874999999999999</v>
      </c>
      <c r="K22" s="16">
        <f t="shared" si="3"/>
        <v>0.21323529411764705</v>
      </c>
      <c r="L22" s="18">
        <f t="shared" si="4"/>
        <v>5.5514705882352935</v>
      </c>
    </row>
    <row r="23" spans="1:12" x14ac:dyDescent="0.2">
      <c r="A23" t="s">
        <v>28</v>
      </c>
      <c r="B23" t="s">
        <v>56</v>
      </c>
      <c r="C23" t="s">
        <v>57</v>
      </c>
      <c r="D23" s="17">
        <v>378</v>
      </c>
      <c r="E23" s="17">
        <v>321</v>
      </c>
      <c r="F23" s="17">
        <f t="shared" si="0"/>
        <v>57</v>
      </c>
      <c r="G23" s="17">
        <v>557</v>
      </c>
      <c r="H23" s="17">
        <v>498</v>
      </c>
      <c r="I23" s="17">
        <f t="shared" si="1"/>
        <v>59</v>
      </c>
      <c r="J23" s="16">
        <f t="shared" si="2"/>
        <v>0.40427807486631018</v>
      </c>
      <c r="K23" s="16">
        <f t="shared" si="3"/>
        <v>0.39194139194139194</v>
      </c>
      <c r="L23" s="18">
        <f t="shared" si="4"/>
        <v>1.2336682924918241</v>
      </c>
    </row>
    <row r="24" spans="1:12" x14ac:dyDescent="0.2">
      <c r="A24" t="s">
        <v>28</v>
      </c>
      <c r="B24" t="s">
        <v>56</v>
      </c>
      <c r="C24" t="s">
        <v>58</v>
      </c>
      <c r="D24" s="17">
        <v>340</v>
      </c>
      <c r="E24" s="17">
        <v>288</v>
      </c>
      <c r="F24" s="17">
        <f t="shared" si="0"/>
        <v>52</v>
      </c>
      <c r="G24" s="17">
        <v>474</v>
      </c>
      <c r="H24" s="17">
        <v>448</v>
      </c>
      <c r="I24" s="17">
        <f t="shared" si="1"/>
        <v>26</v>
      </c>
      <c r="J24" s="16">
        <f t="shared" si="2"/>
        <v>0.4176904176904177</v>
      </c>
      <c r="K24" s="16">
        <f t="shared" si="3"/>
        <v>0.39130434782608697</v>
      </c>
      <c r="L24" s="18">
        <f t="shared" si="4"/>
        <v>2.6386069864330732</v>
      </c>
    </row>
    <row r="25" spans="1:12" x14ac:dyDescent="0.2">
      <c r="A25" t="s">
        <v>28</v>
      </c>
      <c r="B25" t="s">
        <v>56</v>
      </c>
      <c r="C25" t="s">
        <v>59</v>
      </c>
      <c r="D25" s="17">
        <v>367</v>
      </c>
      <c r="E25" s="17">
        <v>317</v>
      </c>
      <c r="F25" s="17">
        <f t="shared" si="0"/>
        <v>50</v>
      </c>
      <c r="G25" s="17">
        <v>516</v>
      </c>
      <c r="H25" s="17">
        <v>527</v>
      </c>
      <c r="I25" s="17">
        <f t="shared" si="1"/>
        <v>-11</v>
      </c>
      <c r="J25" s="16">
        <f t="shared" si="2"/>
        <v>0.41562853907134767</v>
      </c>
      <c r="K25" s="16">
        <f t="shared" si="3"/>
        <v>0.37559241706161139</v>
      </c>
      <c r="L25" s="18">
        <f t="shared" si="4"/>
        <v>4.0036122009736275</v>
      </c>
    </row>
    <row r="26" spans="1:12" x14ac:dyDescent="0.2">
      <c r="A26" t="s">
        <v>28</v>
      </c>
      <c r="B26" t="s">
        <v>60</v>
      </c>
      <c r="C26" t="s">
        <v>61</v>
      </c>
      <c r="D26" s="17">
        <v>374</v>
      </c>
      <c r="E26" s="17">
        <v>285</v>
      </c>
      <c r="F26" s="17">
        <f t="shared" si="0"/>
        <v>89</v>
      </c>
      <c r="G26" s="17">
        <v>822</v>
      </c>
      <c r="H26" s="17">
        <v>760</v>
      </c>
      <c r="I26" s="17">
        <f t="shared" si="1"/>
        <v>62</v>
      </c>
      <c r="J26" s="16">
        <f t="shared" si="2"/>
        <v>0.31270903010033446</v>
      </c>
      <c r="K26" s="16">
        <f t="shared" si="3"/>
        <v>0.27272727272727271</v>
      </c>
      <c r="L26" s="18">
        <f t="shared" si="4"/>
        <v>3.9981757373061755</v>
      </c>
    </row>
    <row r="27" spans="1:12" x14ac:dyDescent="0.2">
      <c r="A27" t="s">
        <v>28</v>
      </c>
      <c r="B27" t="s">
        <v>60</v>
      </c>
      <c r="C27" t="s">
        <v>62</v>
      </c>
      <c r="D27" s="17">
        <v>232</v>
      </c>
      <c r="E27" s="17">
        <v>228</v>
      </c>
      <c r="F27" s="17">
        <f t="shared" si="0"/>
        <v>4</v>
      </c>
      <c r="G27" s="17">
        <v>552</v>
      </c>
      <c r="H27" s="17">
        <v>522</v>
      </c>
      <c r="I27" s="17">
        <f t="shared" si="1"/>
        <v>30</v>
      </c>
      <c r="J27" s="16">
        <f t="shared" si="2"/>
        <v>0.29591836734693877</v>
      </c>
      <c r="K27" s="16">
        <f t="shared" si="3"/>
        <v>0.30399999999999999</v>
      </c>
      <c r="L27" s="18">
        <f t="shared" si="4"/>
        <v>-0.80816326530612215</v>
      </c>
    </row>
    <row r="28" spans="1:12" x14ac:dyDescent="0.2">
      <c r="A28" t="s">
        <v>28</v>
      </c>
      <c r="B28" t="s">
        <v>63</v>
      </c>
      <c r="C28" t="s">
        <v>64</v>
      </c>
      <c r="D28" s="17">
        <v>155</v>
      </c>
      <c r="E28" s="17">
        <v>135</v>
      </c>
      <c r="F28" s="17">
        <f t="shared" si="0"/>
        <v>20</v>
      </c>
      <c r="G28" s="17">
        <v>419</v>
      </c>
      <c r="H28" s="17">
        <v>395</v>
      </c>
      <c r="I28" s="17">
        <f t="shared" si="1"/>
        <v>24</v>
      </c>
      <c r="J28" s="16">
        <f t="shared" si="2"/>
        <v>0.27003484320557491</v>
      </c>
      <c r="K28" s="16">
        <f t="shared" si="3"/>
        <v>0.25471698113207547</v>
      </c>
      <c r="L28" s="18">
        <f t="shared" si="4"/>
        <v>1.5317862073499444</v>
      </c>
    </row>
    <row r="29" spans="1:12" x14ac:dyDescent="0.2">
      <c r="A29" t="s">
        <v>28</v>
      </c>
      <c r="B29" t="s">
        <v>63</v>
      </c>
      <c r="C29" t="s">
        <v>65</v>
      </c>
      <c r="D29" s="17">
        <v>127</v>
      </c>
      <c r="E29" s="17">
        <v>124</v>
      </c>
      <c r="F29" s="17">
        <f t="shared" si="0"/>
        <v>3</v>
      </c>
      <c r="G29" s="17">
        <v>319</v>
      </c>
      <c r="H29" s="17">
        <v>298</v>
      </c>
      <c r="I29" s="17">
        <f t="shared" si="1"/>
        <v>21</v>
      </c>
      <c r="J29" s="16">
        <f t="shared" si="2"/>
        <v>0.28475336322869954</v>
      </c>
      <c r="K29" s="16">
        <f t="shared" si="3"/>
        <v>0.29383886255924169</v>
      </c>
      <c r="L29" s="18">
        <f t="shared" si="4"/>
        <v>-0.90854993305421461</v>
      </c>
    </row>
    <row r="30" spans="1:12" x14ac:dyDescent="0.2">
      <c r="A30" t="s">
        <v>28</v>
      </c>
      <c r="B30" t="s">
        <v>63</v>
      </c>
      <c r="C30" t="s">
        <v>66</v>
      </c>
      <c r="D30" s="17">
        <v>489</v>
      </c>
      <c r="E30" s="17">
        <v>424</v>
      </c>
      <c r="F30" s="17">
        <f t="shared" si="0"/>
        <v>65</v>
      </c>
      <c r="G30" s="17">
        <v>1029</v>
      </c>
      <c r="H30" s="17">
        <v>988</v>
      </c>
      <c r="I30" s="17">
        <f t="shared" si="1"/>
        <v>41</v>
      </c>
      <c r="J30" s="16">
        <f t="shared" si="2"/>
        <v>0.32213438735177868</v>
      </c>
      <c r="K30" s="16">
        <f t="shared" si="3"/>
        <v>0.3002832861189802</v>
      </c>
      <c r="L30" s="18">
        <f t="shared" si="4"/>
        <v>2.1851101232798484</v>
      </c>
    </row>
    <row r="31" spans="1:12" x14ac:dyDescent="0.2">
      <c r="A31" t="s">
        <v>28</v>
      </c>
      <c r="B31" t="s">
        <v>67</v>
      </c>
      <c r="C31" t="s">
        <v>68</v>
      </c>
      <c r="D31" s="17">
        <v>352</v>
      </c>
      <c r="E31" s="17">
        <v>279</v>
      </c>
      <c r="F31" s="17">
        <f t="shared" si="0"/>
        <v>73</v>
      </c>
      <c r="G31" s="17">
        <v>464</v>
      </c>
      <c r="H31" s="17">
        <v>445</v>
      </c>
      <c r="I31" s="17">
        <f t="shared" si="1"/>
        <v>19</v>
      </c>
      <c r="J31" s="16">
        <f t="shared" si="2"/>
        <v>0.43137254901960786</v>
      </c>
      <c r="K31" s="16">
        <f t="shared" si="3"/>
        <v>0.38535911602209943</v>
      </c>
      <c r="L31" s="18">
        <f t="shared" si="4"/>
        <v>4.6013432997508428</v>
      </c>
    </row>
    <row r="32" spans="1:12" x14ac:dyDescent="0.2">
      <c r="A32" t="s">
        <v>28</v>
      </c>
      <c r="B32" t="s">
        <v>67</v>
      </c>
      <c r="C32" t="s">
        <v>69</v>
      </c>
      <c r="D32" s="17">
        <v>383</v>
      </c>
      <c r="E32" s="17">
        <v>309</v>
      </c>
      <c r="F32" s="17">
        <f t="shared" si="0"/>
        <v>74</v>
      </c>
      <c r="G32" s="17">
        <v>577</v>
      </c>
      <c r="H32" s="17">
        <v>488</v>
      </c>
      <c r="I32" s="17">
        <f t="shared" si="1"/>
        <v>89</v>
      </c>
      <c r="J32" s="16">
        <f t="shared" si="2"/>
        <v>0.39895833333333336</v>
      </c>
      <c r="K32" s="16">
        <f t="shared" si="3"/>
        <v>0.38770388958594731</v>
      </c>
      <c r="L32" s="18">
        <f t="shared" si="4"/>
        <v>1.1254443747386045</v>
      </c>
    </row>
    <row r="33" spans="1:12" x14ac:dyDescent="0.2">
      <c r="A33" t="s">
        <v>28</v>
      </c>
      <c r="B33" t="s">
        <v>70</v>
      </c>
      <c r="C33" t="s">
        <v>70</v>
      </c>
      <c r="D33" s="17">
        <v>201</v>
      </c>
      <c r="E33" s="17">
        <v>134</v>
      </c>
      <c r="F33" s="17">
        <f t="shared" si="0"/>
        <v>67</v>
      </c>
      <c r="G33" s="17">
        <v>546</v>
      </c>
      <c r="H33" s="17">
        <v>503</v>
      </c>
      <c r="I33" s="17">
        <f t="shared" si="1"/>
        <v>43</v>
      </c>
      <c r="J33" s="16">
        <f t="shared" si="2"/>
        <v>0.26907630522088355</v>
      </c>
      <c r="K33" s="16">
        <f t="shared" si="3"/>
        <v>0.21036106750392464</v>
      </c>
      <c r="L33" s="18">
        <f t="shared" si="4"/>
        <v>5.871523771695891</v>
      </c>
    </row>
    <row r="34" spans="1:12" x14ac:dyDescent="0.2">
      <c r="A34" t="s">
        <v>28</v>
      </c>
      <c r="B34" t="s">
        <v>71</v>
      </c>
      <c r="C34" t="s">
        <v>72</v>
      </c>
      <c r="D34" s="17">
        <v>345</v>
      </c>
      <c r="E34" s="17">
        <v>281</v>
      </c>
      <c r="F34" s="17">
        <f t="shared" si="0"/>
        <v>64</v>
      </c>
      <c r="G34" s="17">
        <v>690</v>
      </c>
      <c r="H34" s="17">
        <v>592</v>
      </c>
      <c r="I34" s="17">
        <f t="shared" si="1"/>
        <v>98</v>
      </c>
      <c r="J34" s="16">
        <f t="shared" si="2"/>
        <v>0.33333333333333331</v>
      </c>
      <c r="K34" s="16">
        <f t="shared" si="3"/>
        <v>0.3218785796105384</v>
      </c>
      <c r="L34" s="18">
        <f t="shared" si="4"/>
        <v>1.1454753722794919</v>
      </c>
    </row>
    <row r="35" spans="1:12" x14ac:dyDescent="0.2">
      <c r="A35" t="s">
        <v>28</v>
      </c>
      <c r="B35" t="s">
        <v>71</v>
      </c>
      <c r="C35" t="s">
        <v>73</v>
      </c>
      <c r="D35" s="17">
        <v>615</v>
      </c>
      <c r="E35" s="17">
        <v>467</v>
      </c>
      <c r="F35" s="17">
        <f t="shared" si="0"/>
        <v>148</v>
      </c>
      <c r="G35" s="17">
        <v>879</v>
      </c>
      <c r="H35" s="17">
        <v>782</v>
      </c>
      <c r="I35" s="17">
        <f t="shared" si="1"/>
        <v>97</v>
      </c>
      <c r="J35" s="16">
        <f t="shared" si="2"/>
        <v>0.41164658634538154</v>
      </c>
      <c r="K35" s="16">
        <f t="shared" si="3"/>
        <v>0.37389911929543634</v>
      </c>
      <c r="L35" s="18">
        <f t="shared" si="4"/>
        <v>3.7747467049945191</v>
      </c>
    </row>
    <row r="36" spans="1:12" x14ac:dyDescent="0.2">
      <c r="A36" t="s">
        <v>28</v>
      </c>
      <c r="B36" t="s">
        <v>71</v>
      </c>
      <c r="C36" t="s">
        <v>74</v>
      </c>
      <c r="D36" s="17">
        <v>183</v>
      </c>
      <c r="E36" s="17">
        <v>136</v>
      </c>
      <c r="F36" s="17">
        <f t="shared" si="0"/>
        <v>47</v>
      </c>
      <c r="G36" s="17">
        <v>301</v>
      </c>
      <c r="H36" s="17">
        <v>278</v>
      </c>
      <c r="I36" s="17">
        <f t="shared" si="1"/>
        <v>23</v>
      </c>
      <c r="J36" s="16">
        <f t="shared" si="2"/>
        <v>0.37809917355371903</v>
      </c>
      <c r="K36" s="16">
        <f t="shared" si="3"/>
        <v>0.32850241545893721</v>
      </c>
      <c r="L36" s="18">
        <f t="shared" si="4"/>
        <v>4.9596758094781812</v>
      </c>
    </row>
    <row r="37" spans="1:12" x14ac:dyDescent="0.2">
      <c r="A37" t="s">
        <v>28</v>
      </c>
      <c r="B37" t="s">
        <v>75</v>
      </c>
      <c r="C37" t="s">
        <v>75</v>
      </c>
      <c r="D37" s="17">
        <v>80</v>
      </c>
      <c r="E37" s="17">
        <v>68</v>
      </c>
      <c r="F37" s="17">
        <f t="shared" si="0"/>
        <v>12</v>
      </c>
      <c r="G37" s="17">
        <v>179</v>
      </c>
      <c r="H37" s="17">
        <v>153</v>
      </c>
      <c r="I37" s="17">
        <f t="shared" si="1"/>
        <v>26</v>
      </c>
      <c r="J37" s="16">
        <f t="shared" si="2"/>
        <v>0.30888030888030887</v>
      </c>
      <c r="K37" s="16">
        <f t="shared" si="3"/>
        <v>0.30769230769230771</v>
      </c>
      <c r="L37" s="18">
        <f t="shared" si="4"/>
        <v>0.11880011880011643</v>
      </c>
    </row>
    <row r="38" spans="1:12" x14ac:dyDescent="0.2">
      <c r="A38" t="s">
        <v>28</v>
      </c>
      <c r="B38" t="s">
        <v>76</v>
      </c>
      <c r="C38" t="s">
        <v>77</v>
      </c>
      <c r="D38" s="17">
        <v>501</v>
      </c>
      <c r="E38" s="17">
        <v>432</v>
      </c>
      <c r="F38" s="17">
        <f t="shared" si="0"/>
        <v>69</v>
      </c>
      <c r="G38" s="17">
        <v>830</v>
      </c>
      <c r="H38" s="17">
        <v>705</v>
      </c>
      <c r="I38" s="17">
        <f t="shared" si="1"/>
        <v>125</v>
      </c>
      <c r="J38" s="16">
        <f t="shared" si="2"/>
        <v>0.37640871525169045</v>
      </c>
      <c r="K38" s="16">
        <f t="shared" si="3"/>
        <v>0.37994722955145116</v>
      </c>
      <c r="L38" s="18">
        <f t="shared" si="4"/>
        <v>-0.35385142997607089</v>
      </c>
    </row>
    <row r="39" spans="1:12" x14ac:dyDescent="0.2">
      <c r="A39" t="s">
        <v>28</v>
      </c>
      <c r="B39" t="s">
        <v>76</v>
      </c>
      <c r="C39" t="s">
        <v>78</v>
      </c>
      <c r="D39" s="17">
        <v>335</v>
      </c>
      <c r="E39" s="17">
        <v>296</v>
      </c>
      <c r="F39" s="17">
        <f t="shared" si="0"/>
        <v>39</v>
      </c>
      <c r="G39" s="17">
        <v>639</v>
      </c>
      <c r="H39" s="17">
        <v>529</v>
      </c>
      <c r="I39" s="17">
        <f t="shared" si="1"/>
        <v>110</v>
      </c>
      <c r="J39" s="16">
        <f t="shared" si="2"/>
        <v>0.34394250513347024</v>
      </c>
      <c r="K39" s="16">
        <f t="shared" si="3"/>
        <v>0.35878787878787877</v>
      </c>
      <c r="L39" s="18">
        <f t="shared" si="4"/>
        <v>-1.4845373654408522</v>
      </c>
    </row>
    <row r="40" spans="1:12" x14ac:dyDescent="0.2">
      <c r="A40" t="s">
        <v>28</v>
      </c>
      <c r="B40" t="s">
        <v>76</v>
      </c>
      <c r="C40" t="s">
        <v>79</v>
      </c>
      <c r="D40" s="17">
        <v>544</v>
      </c>
      <c r="E40" s="17">
        <v>460</v>
      </c>
      <c r="F40" s="17">
        <f t="shared" si="0"/>
        <v>84</v>
      </c>
      <c r="G40" s="17">
        <v>932</v>
      </c>
      <c r="H40" s="17">
        <v>791</v>
      </c>
      <c r="I40" s="17">
        <f t="shared" si="1"/>
        <v>141</v>
      </c>
      <c r="J40" s="16">
        <f t="shared" si="2"/>
        <v>0.36856368563685638</v>
      </c>
      <c r="K40" s="16">
        <f t="shared" si="3"/>
        <v>0.36770583533173462</v>
      </c>
      <c r="L40" s="18">
        <f t="shared" si="4"/>
        <v>8.5785030512175453E-2</v>
      </c>
    </row>
    <row r="41" spans="1:12" x14ac:dyDescent="0.2">
      <c r="A41" t="s">
        <v>28</v>
      </c>
      <c r="B41" t="s">
        <v>76</v>
      </c>
      <c r="C41" t="s">
        <v>80</v>
      </c>
      <c r="D41" s="17">
        <v>426</v>
      </c>
      <c r="E41" s="17">
        <v>425</v>
      </c>
      <c r="F41" s="17">
        <f t="shared" si="0"/>
        <v>1</v>
      </c>
      <c r="G41" s="17">
        <v>1031</v>
      </c>
      <c r="H41" s="17">
        <v>920</v>
      </c>
      <c r="I41" s="17">
        <f t="shared" si="1"/>
        <v>111</v>
      </c>
      <c r="J41" s="16">
        <f t="shared" si="2"/>
        <v>0.29238160603980784</v>
      </c>
      <c r="K41" s="16">
        <f t="shared" si="3"/>
        <v>0.31598513011152418</v>
      </c>
      <c r="L41" s="18">
        <f t="shared" si="4"/>
        <v>-2.360352407171634</v>
      </c>
    </row>
    <row r="42" spans="1:12" x14ac:dyDescent="0.2">
      <c r="A42" t="s">
        <v>28</v>
      </c>
      <c r="B42" t="s">
        <v>76</v>
      </c>
      <c r="C42" t="s">
        <v>81</v>
      </c>
      <c r="D42" s="17">
        <v>453</v>
      </c>
      <c r="E42" s="17">
        <v>397</v>
      </c>
      <c r="F42" s="17">
        <f t="shared" si="0"/>
        <v>56</v>
      </c>
      <c r="G42" s="17">
        <v>827</v>
      </c>
      <c r="H42" s="17">
        <v>692</v>
      </c>
      <c r="I42" s="17">
        <f t="shared" si="1"/>
        <v>135</v>
      </c>
      <c r="J42" s="16">
        <f t="shared" si="2"/>
        <v>0.35390624999999998</v>
      </c>
      <c r="K42" s="16">
        <f t="shared" si="3"/>
        <v>0.36455463728191001</v>
      </c>
      <c r="L42" s="18">
        <f t="shared" si="4"/>
        <v>-1.0648387281910032</v>
      </c>
    </row>
    <row r="43" spans="1:12" x14ac:dyDescent="0.2">
      <c r="A43" t="s">
        <v>28</v>
      </c>
      <c r="B43" t="s">
        <v>82</v>
      </c>
      <c r="C43" t="s">
        <v>83</v>
      </c>
      <c r="D43" s="17">
        <v>200</v>
      </c>
      <c r="E43" s="17">
        <v>175</v>
      </c>
      <c r="F43" s="17">
        <f t="shared" si="0"/>
        <v>25</v>
      </c>
      <c r="G43" s="17">
        <v>198</v>
      </c>
      <c r="H43" s="17">
        <v>212</v>
      </c>
      <c r="I43" s="17">
        <f t="shared" si="1"/>
        <v>-14</v>
      </c>
      <c r="J43" s="16">
        <f t="shared" si="2"/>
        <v>0.50251256281407031</v>
      </c>
      <c r="K43" s="16">
        <f t="shared" si="3"/>
        <v>0.45219638242894056</v>
      </c>
      <c r="L43" s="18">
        <f t="shared" si="4"/>
        <v>5.031618038512975</v>
      </c>
    </row>
    <row r="44" spans="1:12" x14ac:dyDescent="0.2">
      <c r="A44" t="s">
        <v>28</v>
      </c>
      <c r="B44" t="s">
        <v>82</v>
      </c>
      <c r="C44" t="s">
        <v>84</v>
      </c>
      <c r="D44" s="17">
        <v>216</v>
      </c>
      <c r="E44" s="17">
        <v>184</v>
      </c>
      <c r="F44" s="17">
        <f t="shared" si="0"/>
        <v>32</v>
      </c>
      <c r="G44" s="17">
        <v>203</v>
      </c>
      <c r="H44" s="17">
        <v>208</v>
      </c>
      <c r="I44" s="17">
        <f t="shared" si="1"/>
        <v>-5</v>
      </c>
      <c r="J44" s="16">
        <f t="shared" si="2"/>
        <v>0.51551312649164682</v>
      </c>
      <c r="K44" s="16">
        <f t="shared" si="3"/>
        <v>0.46938775510204084</v>
      </c>
      <c r="L44" s="18">
        <f t="shared" si="4"/>
        <v>4.6125371389605982</v>
      </c>
    </row>
    <row r="45" spans="1:12" x14ac:dyDescent="0.2">
      <c r="A45" t="s">
        <v>28</v>
      </c>
      <c r="B45" t="s">
        <v>82</v>
      </c>
      <c r="C45" t="s">
        <v>85</v>
      </c>
      <c r="D45" s="17">
        <v>145</v>
      </c>
      <c r="E45" s="17">
        <v>102</v>
      </c>
      <c r="F45" s="17">
        <f t="shared" si="0"/>
        <v>43</v>
      </c>
      <c r="G45" s="17">
        <v>208</v>
      </c>
      <c r="H45" s="17">
        <v>192</v>
      </c>
      <c r="I45" s="17">
        <f t="shared" si="1"/>
        <v>16</v>
      </c>
      <c r="J45" s="16">
        <f t="shared" si="2"/>
        <v>0.41076487252124644</v>
      </c>
      <c r="K45" s="16">
        <f t="shared" si="3"/>
        <v>0.34693877551020408</v>
      </c>
      <c r="L45" s="18">
        <f t="shared" si="4"/>
        <v>6.3826097011042364</v>
      </c>
    </row>
    <row r="46" spans="1:12" x14ac:dyDescent="0.2">
      <c r="A46" t="s">
        <v>28</v>
      </c>
      <c r="B46" t="s">
        <v>82</v>
      </c>
      <c r="C46" t="s">
        <v>86</v>
      </c>
      <c r="D46" s="17">
        <v>232</v>
      </c>
      <c r="E46" s="17">
        <v>194</v>
      </c>
      <c r="F46" s="17">
        <f t="shared" si="0"/>
        <v>38</v>
      </c>
      <c r="G46" s="17">
        <v>321</v>
      </c>
      <c r="H46" s="17">
        <v>296</v>
      </c>
      <c r="I46" s="17">
        <f t="shared" si="1"/>
        <v>25</v>
      </c>
      <c r="J46" s="16">
        <f t="shared" si="2"/>
        <v>0.41952983725135623</v>
      </c>
      <c r="K46" s="16">
        <f t="shared" si="3"/>
        <v>0.39591836734693875</v>
      </c>
      <c r="L46" s="18">
        <f t="shared" si="4"/>
        <v>2.3611469904417479</v>
      </c>
    </row>
    <row r="47" spans="1:12" x14ac:dyDescent="0.2">
      <c r="A47" t="s">
        <v>28</v>
      </c>
      <c r="B47" t="s">
        <v>87</v>
      </c>
      <c r="C47" t="s">
        <v>88</v>
      </c>
      <c r="D47" s="17">
        <v>291</v>
      </c>
      <c r="E47" s="17">
        <v>298</v>
      </c>
      <c r="F47" s="17">
        <f t="shared" si="0"/>
        <v>-7</v>
      </c>
      <c r="G47" s="17">
        <v>745</v>
      </c>
      <c r="H47" s="17">
        <v>649</v>
      </c>
      <c r="I47" s="17">
        <f t="shared" si="1"/>
        <v>96</v>
      </c>
      <c r="J47" s="16">
        <f t="shared" si="2"/>
        <v>0.28088803088803088</v>
      </c>
      <c r="K47" s="16">
        <f t="shared" si="3"/>
        <v>0.3146779303062302</v>
      </c>
      <c r="L47" s="18">
        <f t="shared" si="4"/>
        <v>-3.3789899418199321</v>
      </c>
    </row>
    <row r="48" spans="1:12" x14ac:dyDescent="0.2">
      <c r="A48" t="s">
        <v>28</v>
      </c>
      <c r="B48" t="s">
        <v>87</v>
      </c>
      <c r="C48" t="s">
        <v>89</v>
      </c>
      <c r="D48" s="17">
        <v>299</v>
      </c>
      <c r="E48" s="17">
        <v>253</v>
      </c>
      <c r="F48" s="17">
        <f t="shared" si="0"/>
        <v>46</v>
      </c>
      <c r="G48" s="17">
        <v>776</v>
      </c>
      <c r="H48" s="17">
        <v>710</v>
      </c>
      <c r="I48" s="17">
        <f t="shared" si="1"/>
        <v>66</v>
      </c>
      <c r="J48" s="16">
        <f t="shared" si="2"/>
        <v>0.27813953488372095</v>
      </c>
      <c r="K48" s="16">
        <f t="shared" si="3"/>
        <v>0.26272066458982346</v>
      </c>
      <c r="L48" s="18">
        <f t="shared" si="4"/>
        <v>1.5418870293897491</v>
      </c>
    </row>
    <row r="49" spans="1:12" x14ac:dyDescent="0.2">
      <c r="A49" t="s">
        <v>28</v>
      </c>
      <c r="B49" t="s">
        <v>87</v>
      </c>
      <c r="C49" t="s">
        <v>90</v>
      </c>
      <c r="D49" s="17">
        <v>298</v>
      </c>
      <c r="E49" s="17">
        <v>238</v>
      </c>
      <c r="F49" s="17">
        <f t="shared" si="0"/>
        <v>60</v>
      </c>
      <c r="G49" s="17">
        <v>706</v>
      </c>
      <c r="H49" s="17">
        <v>586</v>
      </c>
      <c r="I49" s="17">
        <f t="shared" si="1"/>
        <v>120</v>
      </c>
      <c r="J49" s="16">
        <f t="shared" si="2"/>
        <v>0.29681274900398408</v>
      </c>
      <c r="K49" s="16">
        <f t="shared" si="3"/>
        <v>0.28883495145631066</v>
      </c>
      <c r="L49" s="18">
        <f t="shared" si="4"/>
        <v>0.79777975476734153</v>
      </c>
    </row>
    <row r="50" spans="1:12" x14ac:dyDescent="0.2">
      <c r="A50" t="s">
        <v>28</v>
      </c>
      <c r="B50" t="s">
        <v>91</v>
      </c>
      <c r="C50" t="s">
        <v>92</v>
      </c>
      <c r="D50" s="17">
        <v>266</v>
      </c>
      <c r="E50" s="17">
        <v>238</v>
      </c>
      <c r="F50" s="17">
        <f t="shared" si="0"/>
        <v>28</v>
      </c>
      <c r="G50" s="17">
        <v>718</v>
      </c>
      <c r="H50" s="17">
        <v>541</v>
      </c>
      <c r="I50" s="17">
        <f t="shared" si="1"/>
        <v>177</v>
      </c>
      <c r="J50" s="16">
        <f t="shared" si="2"/>
        <v>0.27032520325203252</v>
      </c>
      <c r="K50" s="16">
        <f t="shared" si="3"/>
        <v>0.30551989730423618</v>
      </c>
      <c r="L50" s="18">
        <f t="shared" si="4"/>
        <v>-3.5194694052203657</v>
      </c>
    </row>
    <row r="51" spans="1:12" x14ac:dyDescent="0.2">
      <c r="A51" t="s">
        <v>28</v>
      </c>
      <c r="B51" t="s">
        <v>91</v>
      </c>
      <c r="C51" t="s">
        <v>93</v>
      </c>
      <c r="D51" s="17">
        <v>125</v>
      </c>
      <c r="E51" s="17">
        <v>103</v>
      </c>
      <c r="F51" s="17">
        <f t="shared" si="0"/>
        <v>22</v>
      </c>
      <c r="G51" s="17">
        <v>325</v>
      </c>
      <c r="H51" s="17">
        <v>292</v>
      </c>
      <c r="I51" s="17">
        <f t="shared" si="1"/>
        <v>33</v>
      </c>
      <c r="J51" s="16">
        <f t="shared" si="2"/>
        <v>0.27777777777777779</v>
      </c>
      <c r="K51" s="16">
        <f t="shared" si="3"/>
        <v>0.26075949367088608</v>
      </c>
      <c r="L51" s="18">
        <f t="shared" si="4"/>
        <v>1.7018284106891712</v>
      </c>
    </row>
    <row r="52" spans="1:12" x14ac:dyDescent="0.2">
      <c r="A52" t="s">
        <v>28</v>
      </c>
      <c r="B52" t="s">
        <v>94</v>
      </c>
      <c r="C52" t="s">
        <v>94</v>
      </c>
      <c r="D52" s="17">
        <v>70</v>
      </c>
      <c r="E52" s="17">
        <v>53</v>
      </c>
      <c r="F52" s="17">
        <f t="shared" si="0"/>
        <v>17</v>
      </c>
      <c r="G52" s="17">
        <v>109</v>
      </c>
      <c r="H52" s="17">
        <v>99</v>
      </c>
      <c r="I52" s="17">
        <f t="shared" si="1"/>
        <v>10</v>
      </c>
      <c r="J52" s="16">
        <f t="shared" si="2"/>
        <v>0.39106145251396646</v>
      </c>
      <c r="K52" s="16">
        <f t="shared" si="3"/>
        <v>0.34868421052631576</v>
      </c>
      <c r="L52" s="18">
        <f t="shared" si="4"/>
        <v>4.2377241987650693</v>
      </c>
    </row>
    <row r="53" spans="1:12" x14ac:dyDescent="0.2">
      <c r="A53" t="s">
        <v>95</v>
      </c>
      <c r="B53" t="s">
        <v>96</v>
      </c>
      <c r="C53" t="s">
        <v>96</v>
      </c>
      <c r="D53" s="17">
        <v>780</v>
      </c>
      <c r="E53" s="17">
        <v>601</v>
      </c>
      <c r="F53" s="17">
        <f t="shared" si="0"/>
        <v>179</v>
      </c>
      <c r="G53" s="17">
        <v>864</v>
      </c>
      <c r="H53" s="17">
        <v>766</v>
      </c>
      <c r="I53" s="17">
        <f t="shared" si="1"/>
        <v>98</v>
      </c>
      <c r="J53" s="16">
        <f t="shared" si="2"/>
        <v>0.47445255474452552</v>
      </c>
      <c r="K53" s="16">
        <f t="shared" si="3"/>
        <v>0.43964886613021215</v>
      </c>
      <c r="L53" s="18">
        <f t="shared" si="4"/>
        <v>3.4803688614313377</v>
      </c>
    </row>
    <row r="54" spans="1:12" x14ac:dyDescent="0.2">
      <c r="A54" t="s">
        <v>95</v>
      </c>
      <c r="B54" t="s">
        <v>97</v>
      </c>
      <c r="C54" t="s">
        <v>98</v>
      </c>
      <c r="D54" s="17">
        <v>426</v>
      </c>
      <c r="E54" s="17">
        <v>437</v>
      </c>
      <c r="F54" s="17">
        <f t="shared" si="0"/>
        <v>-11</v>
      </c>
      <c r="G54" s="17">
        <v>119</v>
      </c>
      <c r="H54" s="17">
        <v>173</v>
      </c>
      <c r="I54" s="17">
        <f t="shared" si="1"/>
        <v>-54</v>
      </c>
      <c r="J54" s="16">
        <f t="shared" si="2"/>
        <v>0.78165137614678903</v>
      </c>
      <c r="K54" s="16">
        <f t="shared" si="3"/>
        <v>0.71639344262295079</v>
      </c>
      <c r="L54" s="18">
        <f t="shared" si="4"/>
        <v>6.5257933523838236</v>
      </c>
    </row>
    <row r="55" spans="1:12" x14ac:dyDescent="0.2">
      <c r="A55" t="s">
        <v>95</v>
      </c>
      <c r="B55" t="s">
        <v>97</v>
      </c>
      <c r="C55" t="s">
        <v>99</v>
      </c>
      <c r="D55" s="17">
        <v>331</v>
      </c>
      <c r="E55" s="17">
        <v>328</v>
      </c>
      <c r="F55" s="17">
        <f t="shared" si="0"/>
        <v>3</v>
      </c>
      <c r="G55" s="17">
        <v>111</v>
      </c>
      <c r="H55" s="17">
        <v>173</v>
      </c>
      <c r="I55" s="17">
        <f t="shared" si="1"/>
        <v>-62</v>
      </c>
      <c r="J55" s="16">
        <f t="shared" si="2"/>
        <v>0.74886877828054299</v>
      </c>
      <c r="K55" s="16">
        <f t="shared" si="3"/>
        <v>0.65469061876247503</v>
      </c>
      <c r="L55" s="18">
        <f t="shared" si="4"/>
        <v>9.4178159518067961</v>
      </c>
    </row>
    <row r="56" spans="1:12" x14ac:dyDescent="0.2">
      <c r="A56" t="s">
        <v>95</v>
      </c>
      <c r="B56" t="s">
        <v>97</v>
      </c>
      <c r="C56" t="s">
        <v>100</v>
      </c>
      <c r="D56" s="17">
        <v>324</v>
      </c>
      <c r="E56" s="17">
        <v>347</v>
      </c>
      <c r="F56" s="17">
        <f t="shared" si="0"/>
        <v>-23</v>
      </c>
      <c r="G56" s="17">
        <v>86</v>
      </c>
      <c r="H56" s="17">
        <v>147</v>
      </c>
      <c r="I56" s="17">
        <f t="shared" si="1"/>
        <v>-61</v>
      </c>
      <c r="J56" s="16">
        <f t="shared" si="2"/>
        <v>0.79024390243902443</v>
      </c>
      <c r="K56" s="16">
        <f t="shared" si="3"/>
        <v>0.70242914979757087</v>
      </c>
      <c r="L56" s="18">
        <f t="shared" si="4"/>
        <v>8.7814752641453548</v>
      </c>
    </row>
    <row r="57" spans="1:12" x14ac:dyDescent="0.2">
      <c r="A57" t="s">
        <v>95</v>
      </c>
      <c r="B57" t="s">
        <v>97</v>
      </c>
      <c r="C57" t="s">
        <v>101</v>
      </c>
      <c r="D57" s="17">
        <v>309</v>
      </c>
      <c r="E57" s="17">
        <v>314</v>
      </c>
      <c r="F57" s="17">
        <f t="shared" si="0"/>
        <v>-5</v>
      </c>
      <c r="G57" s="17">
        <v>101</v>
      </c>
      <c r="H57" s="17">
        <v>149</v>
      </c>
      <c r="I57" s="17">
        <f t="shared" si="1"/>
        <v>-48</v>
      </c>
      <c r="J57" s="16">
        <f t="shared" si="2"/>
        <v>0.75365853658536586</v>
      </c>
      <c r="K57" s="16">
        <f t="shared" si="3"/>
        <v>0.67818574514038876</v>
      </c>
      <c r="L57" s="18">
        <f t="shared" si="4"/>
        <v>7.5472791444977094</v>
      </c>
    </row>
    <row r="58" spans="1:12" x14ac:dyDescent="0.2">
      <c r="A58" t="s">
        <v>95</v>
      </c>
      <c r="B58" t="s">
        <v>97</v>
      </c>
      <c r="C58" t="s">
        <v>102</v>
      </c>
      <c r="D58" s="17">
        <v>339</v>
      </c>
      <c r="E58" s="17">
        <v>364</v>
      </c>
      <c r="F58" s="17">
        <f t="shared" si="0"/>
        <v>-25</v>
      </c>
      <c r="G58" s="17">
        <v>94</v>
      </c>
      <c r="H58" s="17">
        <v>137</v>
      </c>
      <c r="I58" s="17">
        <f t="shared" si="1"/>
        <v>-43</v>
      </c>
      <c r="J58" s="16">
        <f t="shared" si="2"/>
        <v>0.78290993071593529</v>
      </c>
      <c r="K58" s="16">
        <f t="shared" si="3"/>
        <v>0.72654690618762474</v>
      </c>
      <c r="L58" s="18">
        <f t="shared" si="4"/>
        <v>5.636302452831055</v>
      </c>
    </row>
    <row r="59" spans="1:12" x14ac:dyDescent="0.2">
      <c r="A59" t="s">
        <v>95</v>
      </c>
      <c r="B59" t="s">
        <v>97</v>
      </c>
      <c r="C59" t="s">
        <v>103</v>
      </c>
      <c r="D59" s="17">
        <v>417</v>
      </c>
      <c r="E59" s="17">
        <v>399</v>
      </c>
      <c r="F59" s="17">
        <f t="shared" si="0"/>
        <v>18</v>
      </c>
      <c r="G59" s="17">
        <v>153</v>
      </c>
      <c r="H59" s="17">
        <v>171</v>
      </c>
      <c r="I59" s="17">
        <f t="shared" si="1"/>
        <v>-18</v>
      </c>
      <c r="J59" s="16">
        <f t="shared" si="2"/>
        <v>0.73157894736842111</v>
      </c>
      <c r="K59" s="16">
        <f t="shared" si="3"/>
        <v>0.7</v>
      </c>
      <c r="L59" s="18">
        <f t="shared" si="4"/>
        <v>3.1578947368421151</v>
      </c>
    </row>
    <row r="60" spans="1:12" x14ac:dyDescent="0.2">
      <c r="A60" t="s">
        <v>95</v>
      </c>
      <c r="B60" t="s">
        <v>97</v>
      </c>
      <c r="C60" t="s">
        <v>104</v>
      </c>
      <c r="D60" s="17">
        <v>649</v>
      </c>
      <c r="E60" s="17">
        <v>1034</v>
      </c>
      <c r="F60" s="17">
        <f t="shared" si="0"/>
        <v>-385</v>
      </c>
      <c r="G60" s="17">
        <v>184</v>
      </c>
      <c r="H60" s="17">
        <v>285</v>
      </c>
      <c r="I60" s="17">
        <f t="shared" si="1"/>
        <v>-101</v>
      </c>
      <c r="J60" s="16">
        <f t="shared" si="2"/>
        <v>0.7791116446578632</v>
      </c>
      <c r="K60" s="16">
        <f t="shared" si="3"/>
        <v>0.78392721758908268</v>
      </c>
      <c r="L60" s="18">
        <f t="shared" si="4"/>
        <v>-0.48155729312194806</v>
      </c>
    </row>
    <row r="61" spans="1:12" x14ac:dyDescent="0.2">
      <c r="A61" t="s">
        <v>95</v>
      </c>
      <c r="B61" t="s">
        <v>97</v>
      </c>
      <c r="C61" t="s">
        <v>105</v>
      </c>
      <c r="D61" s="17">
        <v>386</v>
      </c>
      <c r="E61" s="17">
        <v>377</v>
      </c>
      <c r="F61" s="17">
        <f t="shared" si="0"/>
        <v>9</v>
      </c>
      <c r="G61" s="17">
        <v>200</v>
      </c>
      <c r="H61" s="17">
        <v>190</v>
      </c>
      <c r="I61" s="17">
        <f t="shared" si="1"/>
        <v>10</v>
      </c>
      <c r="J61" s="16">
        <f t="shared" si="2"/>
        <v>0.65870307167235498</v>
      </c>
      <c r="K61" s="16">
        <f t="shared" si="3"/>
        <v>0.66490299823633159</v>
      </c>
      <c r="L61" s="18">
        <f t="shared" si="4"/>
        <v>-0.61999265639766099</v>
      </c>
    </row>
    <row r="62" spans="1:12" x14ac:dyDescent="0.2">
      <c r="A62" t="s">
        <v>95</v>
      </c>
      <c r="B62" t="s">
        <v>97</v>
      </c>
      <c r="C62" t="s">
        <v>106</v>
      </c>
      <c r="D62" s="17">
        <v>647</v>
      </c>
      <c r="E62" s="17">
        <v>619</v>
      </c>
      <c r="F62" s="17">
        <f t="shared" si="0"/>
        <v>28</v>
      </c>
      <c r="G62" s="17">
        <v>427</v>
      </c>
      <c r="H62" s="17">
        <v>400</v>
      </c>
      <c r="I62" s="17">
        <f t="shared" si="1"/>
        <v>27</v>
      </c>
      <c r="J62" s="16">
        <f t="shared" si="2"/>
        <v>0.60242085661080069</v>
      </c>
      <c r="K62" s="16">
        <f t="shared" si="3"/>
        <v>0.60745829244357208</v>
      </c>
      <c r="L62" s="18">
        <f t="shared" si="4"/>
        <v>-0.50374358327713864</v>
      </c>
    </row>
    <row r="63" spans="1:12" x14ac:dyDescent="0.2">
      <c r="A63" t="s">
        <v>95</v>
      </c>
      <c r="B63" t="s">
        <v>97</v>
      </c>
      <c r="C63" t="s">
        <v>107</v>
      </c>
      <c r="D63" s="17">
        <v>472</v>
      </c>
      <c r="E63" s="17">
        <v>438</v>
      </c>
      <c r="F63" s="17">
        <f t="shared" si="0"/>
        <v>34</v>
      </c>
      <c r="G63" s="17">
        <v>317</v>
      </c>
      <c r="H63" s="17">
        <v>259</v>
      </c>
      <c r="I63" s="17">
        <f t="shared" si="1"/>
        <v>58</v>
      </c>
      <c r="J63" s="16">
        <f t="shared" si="2"/>
        <v>0.59822560202788344</v>
      </c>
      <c r="K63" s="16">
        <f t="shared" si="3"/>
        <v>0.6284074605451937</v>
      </c>
      <c r="L63" s="18">
        <f t="shared" si="4"/>
        <v>-3.0181858517310256</v>
      </c>
    </row>
    <row r="64" spans="1:12" x14ac:dyDescent="0.2">
      <c r="A64" t="s">
        <v>95</v>
      </c>
      <c r="B64" t="s">
        <v>97</v>
      </c>
      <c r="C64" t="s">
        <v>108</v>
      </c>
      <c r="D64" s="17">
        <v>434</v>
      </c>
      <c r="E64" s="17">
        <v>428</v>
      </c>
      <c r="F64" s="17">
        <f t="shared" si="0"/>
        <v>6</v>
      </c>
      <c r="G64" s="17">
        <v>158</v>
      </c>
      <c r="H64" s="17">
        <v>195</v>
      </c>
      <c r="I64" s="17">
        <f t="shared" si="1"/>
        <v>-37</v>
      </c>
      <c r="J64" s="16">
        <f t="shared" si="2"/>
        <v>0.73310810810810811</v>
      </c>
      <c r="K64" s="16">
        <f t="shared" si="3"/>
        <v>0.6869983948635634</v>
      </c>
      <c r="L64" s="18">
        <f t="shared" si="4"/>
        <v>4.6109713244544714</v>
      </c>
    </row>
    <row r="65" spans="1:12" x14ac:dyDescent="0.2">
      <c r="A65" t="s">
        <v>95</v>
      </c>
      <c r="B65" t="s">
        <v>97</v>
      </c>
      <c r="C65" t="s">
        <v>109</v>
      </c>
      <c r="D65" s="17">
        <v>553</v>
      </c>
      <c r="E65" s="17">
        <v>563</v>
      </c>
      <c r="F65" s="17">
        <f t="shared" si="0"/>
        <v>-10</v>
      </c>
      <c r="G65" s="17">
        <v>239</v>
      </c>
      <c r="H65" s="17">
        <v>322</v>
      </c>
      <c r="I65" s="17">
        <f t="shared" si="1"/>
        <v>-83</v>
      </c>
      <c r="J65" s="16">
        <f t="shared" si="2"/>
        <v>0.6982323232323232</v>
      </c>
      <c r="K65" s="16">
        <f t="shared" si="3"/>
        <v>0.63615819209039548</v>
      </c>
      <c r="L65" s="18">
        <f t="shared" si="4"/>
        <v>6.2074131141927724</v>
      </c>
    </row>
    <row r="66" spans="1:12" x14ac:dyDescent="0.2">
      <c r="A66" t="s">
        <v>95</v>
      </c>
      <c r="B66" t="s">
        <v>97</v>
      </c>
      <c r="C66" t="s">
        <v>110</v>
      </c>
      <c r="D66" s="17">
        <v>432</v>
      </c>
      <c r="E66" s="17">
        <v>472</v>
      </c>
      <c r="F66" s="17">
        <f t="shared" ref="F66:F129" si="5">IF(E66="","",D66-E66)</f>
        <v>-40</v>
      </c>
      <c r="G66" s="17">
        <v>264</v>
      </c>
      <c r="H66" s="17">
        <v>273</v>
      </c>
      <c r="I66" s="17">
        <f t="shared" ref="I66:I129" si="6">IF(H66="","",G66-H66)</f>
        <v>-9</v>
      </c>
      <c r="J66" s="16">
        <f t="shared" ref="J66:J129" si="7">IF(D66+G66=0,"",D66/(D66+G66))</f>
        <v>0.62068965517241381</v>
      </c>
      <c r="K66" s="16">
        <f t="shared" ref="K66:K129" si="8">IF(E66="","",E66/(E66+H66))</f>
        <v>0.63355704697986581</v>
      </c>
      <c r="L66" s="18">
        <f t="shared" ref="L66:L129" si="9">IF(OR(K66="",J66=""),"",(J66-K66)*100)</f>
        <v>-1.2867391807452</v>
      </c>
    </row>
    <row r="67" spans="1:12" x14ac:dyDescent="0.2">
      <c r="A67" t="s">
        <v>95</v>
      </c>
      <c r="B67" t="s">
        <v>97</v>
      </c>
      <c r="C67" t="s">
        <v>111</v>
      </c>
      <c r="D67" s="17">
        <v>470</v>
      </c>
      <c r="E67" s="17">
        <v>426</v>
      </c>
      <c r="F67" s="17">
        <f t="shared" si="5"/>
        <v>44</v>
      </c>
      <c r="G67" s="17">
        <v>360</v>
      </c>
      <c r="H67" s="17">
        <v>331</v>
      </c>
      <c r="I67" s="17">
        <f t="shared" si="6"/>
        <v>29</v>
      </c>
      <c r="J67" s="16">
        <f t="shared" si="7"/>
        <v>0.5662650602409639</v>
      </c>
      <c r="K67" s="16">
        <f t="shared" si="8"/>
        <v>0.56274768824306476</v>
      </c>
      <c r="L67" s="18">
        <f t="shared" si="9"/>
        <v>0.35173719978991436</v>
      </c>
    </row>
    <row r="68" spans="1:12" x14ac:dyDescent="0.2">
      <c r="A68" t="s">
        <v>95</v>
      </c>
      <c r="B68" t="s">
        <v>97</v>
      </c>
      <c r="C68" t="s">
        <v>112</v>
      </c>
      <c r="D68" s="17">
        <v>497</v>
      </c>
      <c r="E68" s="17">
        <v>418</v>
      </c>
      <c r="F68" s="17">
        <f t="shared" si="5"/>
        <v>79</v>
      </c>
      <c r="G68" s="17">
        <v>221</v>
      </c>
      <c r="H68" s="17">
        <v>278</v>
      </c>
      <c r="I68" s="17">
        <f t="shared" si="6"/>
        <v>-57</v>
      </c>
      <c r="J68" s="16">
        <f t="shared" si="7"/>
        <v>0.69220055710306405</v>
      </c>
      <c r="K68" s="16">
        <f t="shared" si="8"/>
        <v>0.60057471264367812</v>
      </c>
      <c r="L68" s="18">
        <f t="shared" si="9"/>
        <v>9.1625844459385934</v>
      </c>
    </row>
    <row r="69" spans="1:12" x14ac:dyDescent="0.2">
      <c r="A69" t="s">
        <v>95</v>
      </c>
      <c r="B69" t="s">
        <v>97</v>
      </c>
      <c r="C69" t="s">
        <v>113</v>
      </c>
      <c r="D69" s="17">
        <v>408</v>
      </c>
      <c r="E69" s="17">
        <v>424</v>
      </c>
      <c r="F69" s="17">
        <f t="shared" si="5"/>
        <v>-16</v>
      </c>
      <c r="G69" s="17">
        <v>111</v>
      </c>
      <c r="H69" s="17">
        <v>188</v>
      </c>
      <c r="I69" s="17">
        <f t="shared" si="6"/>
        <v>-77</v>
      </c>
      <c r="J69" s="16">
        <f t="shared" si="7"/>
        <v>0.78612716763005785</v>
      </c>
      <c r="K69" s="16">
        <f t="shared" si="8"/>
        <v>0.69281045751633985</v>
      </c>
      <c r="L69" s="18">
        <f t="shared" si="9"/>
        <v>9.3316710113717996</v>
      </c>
    </row>
    <row r="70" spans="1:12" x14ac:dyDescent="0.2">
      <c r="A70" t="s">
        <v>95</v>
      </c>
      <c r="B70" t="s">
        <v>97</v>
      </c>
      <c r="C70" t="s">
        <v>114</v>
      </c>
      <c r="D70" s="17">
        <v>336</v>
      </c>
      <c r="E70" s="17">
        <v>330</v>
      </c>
      <c r="F70" s="17">
        <f t="shared" si="5"/>
        <v>6</v>
      </c>
      <c r="G70" s="17">
        <v>124</v>
      </c>
      <c r="H70" s="17">
        <v>195</v>
      </c>
      <c r="I70" s="17">
        <f t="shared" si="6"/>
        <v>-71</v>
      </c>
      <c r="J70" s="16">
        <f t="shared" si="7"/>
        <v>0.73043478260869565</v>
      </c>
      <c r="K70" s="16">
        <f t="shared" si="8"/>
        <v>0.62857142857142856</v>
      </c>
      <c r="L70" s="18">
        <f t="shared" si="9"/>
        <v>10.186335403726709</v>
      </c>
    </row>
    <row r="71" spans="1:12" x14ac:dyDescent="0.2">
      <c r="A71" t="s">
        <v>95</v>
      </c>
      <c r="B71" t="s">
        <v>97</v>
      </c>
      <c r="C71" t="s">
        <v>115</v>
      </c>
      <c r="D71" s="17">
        <v>439</v>
      </c>
      <c r="E71" s="17">
        <v>441</v>
      </c>
      <c r="F71" s="17">
        <f t="shared" si="5"/>
        <v>-2</v>
      </c>
      <c r="G71" s="17">
        <v>196</v>
      </c>
      <c r="H71" s="17">
        <v>232</v>
      </c>
      <c r="I71" s="17">
        <f t="shared" si="6"/>
        <v>-36</v>
      </c>
      <c r="J71" s="16">
        <f t="shared" si="7"/>
        <v>0.6913385826771653</v>
      </c>
      <c r="K71" s="16">
        <f t="shared" si="8"/>
        <v>0.65527488855869243</v>
      </c>
      <c r="L71" s="18">
        <f t="shared" si="9"/>
        <v>3.6063694118472878</v>
      </c>
    </row>
    <row r="72" spans="1:12" x14ac:dyDescent="0.2">
      <c r="A72" t="s">
        <v>95</v>
      </c>
      <c r="B72" t="s">
        <v>97</v>
      </c>
      <c r="C72" t="s">
        <v>116</v>
      </c>
      <c r="D72" s="17">
        <v>314</v>
      </c>
      <c r="E72" s="17">
        <v>313</v>
      </c>
      <c r="F72" s="17">
        <f t="shared" si="5"/>
        <v>1</v>
      </c>
      <c r="G72" s="17">
        <v>126</v>
      </c>
      <c r="H72" s="17">
        <v>155</v>
      </c>
      <c r="I72" s="17">
        <f t="shared" si="6"/>
        <v>-29</v>
      </c>
      <c r="J72" s="16">
        <f t="shared" si="7"/>
        <v>0.71363636363636362</v>
      </c>
      <c r="K72" s="16">
        <f t="shared" si="8"/>
        <v>0.66880341880341876</v>
      </c>
      <c r="L72" s="18">
        <f t="shared" si="9"/>
        <v>4.4832944832944861</v>
      </c>
    </row>
    <row r="73" spans="1:12" x14ac:dyDescent="0.2">
      <c r="A73" t="s">
        <v>95</v>
      </c>
      <c r="B73" t="s">
        <v>97</v>
      </c>
      <c r="C73" t="s">
        <v>117</v>
      </c>
      <c r="D73" s="17">
        <v>679</v>
      </c>
      <c r="E73" s="17">
        <v>658</v>
      </c>
      <c r="F73" s="17">
        <f t="shared" si="5"/>
        <v>21</v>
      </c>
      <c r="G73" s="17">
        <v>285</v>
      </c>
      <c r="H73" s="17">
        <v>375</v>
      </c>
      <c r="I73" s="17">
        <f t="shared" si="6"/>
        <v>-90</v>
      </c>
      <c r="J73" s="16">
        <f t="shared" si="7"/>
        <v>0.7043568464730291</v>
      </c>
      <c r="K73" s="16">
        <f t="shared" si="8"/>
        <v>0.63697967086156826</v>
      </c>
      <c r="L73" s="18">
        <f t="shared" si="9"/>
        <v>6.7377175611460842</v>
      </c>
    </row>
    <row r="74" spans="1:12" x14ac:dyDescent="0.2">
      <c r="A74" t="s">
        <v>95</v>
      </c>
      <c r="B74" t="s">
        <v>97</v>
      </c>
      <c r="C74" t="s">
        <v>118</v>
      </c>
      <c r="D74" s="17">
        <v>698</v>
      </c>
      <c r="E74" s="17">
        <v>693</v>
      </c>
      <c r="F74" s="17">
        <f t="shared" si="5"/>
        <v>5</v>
      </c>
      <c r="G74" s="17">
        <v>270</v>
      </c>
      <c r="H74" s="17">
        <v>389</v>
      </c>
      <c r="I74" s="17">
        <f t="shared" si="6"/>
        <v>-119</v>
      </c>
      <c r="J74" s="16">
        <f t="shared" si="7"/>
        <v>0.72107438016528924</v>
      </c>
      <c r="K74" s="16">
        <f t="shared" si="8"/>
        <v>0.64048059149722736</v>
      </c>
      <c r="L74" s="18">
        <f t="shared" si="9"/>
        <v>8.0593788668061883</v>
      </c>
    </row>
    <row r="75" spans="1:12" x14ac:dyDescent="0.2">
      <c r="A75" t="s">
        <v>95</v>
      </c>
      <c r="B75" t="s">
        <v>97</v>
      </c>
      <c r="C75" t="s">
        <v>119</v>
      </c>
      <c r="D75" s="17">
        <v>514</v>
      </c>
      <c r="E75" s="17">
        <v>446</v>
      </c>
      <c r="F75" s="17">
        <f t="shared" si="5"/>
        <v>68</v>
      </c>
      <c r="G75" s="17">
        <v>297</v>
      </c>
      <c r="H75" s="17">
        <v>382</v>
      </c>
      <c r="I75" s="17">
        <f t="shared" si="6"/>
        <v>-85</v>
      </c>
      <c r="J75" s="16">
        <f t="shared" si="7"/>
        <v>0.63378545006165232</v>
      </c>
      <c r="K75" s="16">
        <f t="shared" si="8"/>
        <v>0.53864734299516903</v>
      </c>
      <c r="L75" s="18">
        <f t="shared" si="9"/>
        <v>9.5138107066483286</v>
      </c>
    </row>
    <row r="76" spans="1:12" x14ac:dyDescent="0.2">
      <c r="A76" t="s">
        <v>95</v>
      </c>
      <c r="B76" t="s">
        <v>97</v>
      </c>
      <c r="C76" t="s">
        <v>120</v>
      </c>
      <c r="D76" s="17">
        <v>672</v>
      </c>
      <c r="E76" s="17">
        <v>627</v>
      </c>
      <c r="F76" s="17">
        <f t="shared" si="5"/>
        <v>45</v>
      </c>
      <c r="G76" s="17">
        <v>296</v>
      </c>
      <c r="H76" s="17">
        <v>389</v>
      </c>
      <c r="I76" s="17">
        <f t="shared" si="6"/>
        <v>-93</v>
      </c>
      <c r="J76" s="16">
        <f t="shared" si="7"/>
        <v>0.69421487603305787</v>
      </c>
      <c r="K76" s="16">
        <f t="shared" si="8"/>
        <v>0.61712598425196852</v>
      </c>
      <c r="L76" s="18">
        <f t="shared" si="9"/>
        <v>7.7088891781089348</v>
      </c>
    </row>
    <row r="77" spans="1:12" x14ac:dyDescent="0.2">
      <c r="A77" t="s">
        <v>95</v>
      </c>
      <c r="B77" t="s">
        <v>97</v>
      </c>
      <c r="C77" t="s">
        <v>121</v>
      </c>
      <c r="D77" s="17">
        <v>661</v>
      </c>
      <c r="E77" s="17">
        <v>645</v>
      </c>
      <c r="F77" s="17">
        <f t="shared" si="5"/>
        <v>16</v>
      </c>
      <c r="G77" s="17">
        <v>388</v>
      </c>
      <c r="H77" s="17">
        <v>418</v>
      </c>
      <c r="I77" s="17">
        <f t="shared" si="6"/>
        <v>-30</v>
      </c>
      <c r="J77" s="16">
        <f t="shared" si="7"/>
        <v>0.63012392755004765</v>
      </c>
      <c r="K77" s="16">
        <f t="shared" si="8"/>
        <v>0.60677328316086543</v>
      </c>
      <c r="L77" s="18">
        <f t="shared" si="9"/>
        <v>2.3350644389182218</v>
      </c>
    </row>
    <row r="78" spans="1:12" x14ac:dyDescent="0.2">
      <c r="A78" t="s">
        <v>95</v>
      </c>
      <c r="B78" t="s">
        <v>97</v>
      </c>
      <c r="C78" t="s">
        <v>122</v>
      </c>
      <c r="D78" s="17">
        <v>507</v>
      </c>
      <c r="E78" s="17">
        <v>452</v>
      </c>
      <c r="F78" s="17">
        <f t="shared" si="5"/>
        <v>55</v>
      </c>
      <c r="G78" s="17">
        <v>256</v>
      </c>
      <c r="H78" s="17">
        <v>341</v>
      </c>
      <c r="I78" s="17">
        <f t="shared" si="6"/>
        <v>-85</v>
      </c>
      <c r="J78" s="16">
        <f t="shared" si="7"/>
        <v>0.66448230668414154</v>
      </c>
      <c r="K78" s="16">
        <f t="shared" si="8"/>
        <v>0.56998738965952078</v>
      </c>
      <c r="L78" s="18">
        <f t="shared" si="9"/>
        <v>9.4494917024620761</v>
      </c>
    </row>
    <row r="79" spans="1:12" x14ac:dyDescent="0.2">
      <c r="A79" t="s">
        <v>95</v>
      </c>
      <c r="B79" t="s">
        <v>97</v>
      </c>
      <c r="C79" t="s">
        <v>123</v>
      </c>
      <c r="D79" s="17">
        <v>576</v>
      </c>
      <c r="E79" s="17">
        <v>541</v>
      </c>
      <c r="F79" s="17">
        <f t="shared" si="5"/>
        <v>35</v>
      </c>
      <c r="G79" s="17">
        <v>262</v>
      </c>
      <c r="H79" s="17">
        <v>325</v>
      </c>
      <c r="I79" s="17">
        <f t="shared" si="6"/>
        <v>-63</v>
      </c>
      <c r="J79" s="16">
        <f t="shared" si="7"/>
        <v>0.68735083532219565</v>
      </c>
      <c r="K79" s="16">
        <f t="shared" si="8"/>
        <v>0.62471131639722866</v>
      </c>
      <c r="L79" s="18">
        <f t="shared" si="9"/>
        <v>6.2639518924966993</v>
      </c>
    </row>
    <row r="80" spans="1:12" x14ac:dyDescent="0.2">
      <c r="A80" t="s">
        <v>95</v>
      </c>
      <c r="B80" t="s">
        <v>97</v>
      </c>
      <c r="C80" t="s">
        <v>124</v>
      </c>
      <c r="D80" s="17">
        <v>845</v>
      </c>
      <c r="E80" s="17">
        <v>783</v>
      </c>
      <c r="F80" s="17">
        <f t="shared" si="5"/>
        <v>62</v>
      </c>
      <c r="G80" s="17">
        <v>406</v>
      </c>
      <c r="H80" s="17">
        <v>562</v>
      </c>
      <c r="I80" s="17">
        <f t="shared" si="6"/>
        <v>-156</v>
      </c>
      <c r="J80" s="16">
        <f t="shared" si="7"/>
        <v>0.67545963229416461</v>
      </c>
      <c r="K80" s="16">
        <f t="shared" si="8"/>
        <v>0.58215613382899634</v>
      </c>
      <c r="L80" s="18">
        <f t="shared" si="9"/>
        <v>9.3303498465168282</v>
      </c>
    </row>
    <row r="81" spans="1:13" x14ac:dyDescent="0.2">
      <c r="A81" t="s">
        <v>95</v>
      </c>
      <c r="B81" t="s">
        <v>97</v>
      </c>
      <c r="C81" t="s">
        <v>125</v>
      </c>
      <c r="D81" s="17">
        <v>471</v>
      </c>
      <c r="E81" s="17">
        <v>454</v>
      </c>
      <c r="F81" s="17">
        <f t="shared" si="5"/>
        <v>17</v>
      </c>
      <c r="G81" s="17">
        <v>231</v>
      </c>
      <c r="H81" s="17">
        <v>218</v>
      </c>
      <c r="I81" s="17">
        <f t="shared" si="6"/>
        <v>13</v>
      </c>
      <c r="J81" s="16">
        <f t="shared" si="7"/>
        <v>0.67094017094017089</v>
      </c>
      <c r="K81" s="16">
        <f t="shared" si="8"/>
        <v>0.67559523809523814</v>
      </c>
      <c r="L81" s="18">
        <f t="shared" si="9"/>
        <v>-0.46550671550672496</v>
      </c>
    </row>
    <row r="82" spans="1:13" x14ac:dyDescent="0.2">
      <c r="A82" t="s">
        <v>95</v>
      </c>
      <c r="B82" t="s">
        <v>97</v>
      </c>
      <c r="C82" t="s">
        <v>126</v>
      </c>
      <c r="D82" s="17">
        <v>505</v>
      </c>
      <c r="E82" s="17">
        <v>502</v>
      </c>
      <c r="F82" s="17">
        <f t="shared" si="5"/>
        <v>3</v>
      </c>
      <c r="G82" s="17">
        <v>303</v>
      </c>
      <c r="H82" s="17">
        <v>274</v>
      </c>
      <c r="I82" s="17">
        <f t="shared" si="6"/>
        <v>29</v>
      </c>
      <c r="J82" s="16">
        <f t="shared" si="7"/>
        <v>0.625</v>
      </c>
      <c r="K82" s="16">
        <f t="shared" si="8"/>
        <v>0.64690721649484539</v>
      </c>
      <c r="L82" s="18">
        <f t="shared" si="9"/>
        <v>-2.1907216494845394</v>
      </c>
    </row>
    <row r="83" spans="1:13" x14ac:dyDescent="0.2">
      <c r="A83" t="s">
        <v>95</v>
      </c>
      <c r="B83" t="s">
        <v>97</v>
      </c>
      <c r="C83" t="s">
        <v>127</v>
      </c>
      <c r="D83" s="17">
        <v>525</v>
      </c>
      <c r="E83" s="17">
        <v>502</v>
      </c>
      <c r="F83" s="17">
        <f t="shared" si="5"/>
        <v>23</v>
      </c>
      <c r="G83" s="17">
        <v>319</v>
      </c>
      <c r="H83" s="17">
        <v>283</v>
      </c>
      <c r="I83" s="17">
        <f t="shared" si="6"/>
        <v>36</v>
      </c>
      <c r="J83" s="16">
        <f t="shared" si="7"/>
        <v>0.62203791469194314</v>
      </c>
      <c r="K83" s="16">
        <f t="shared" si="8"/>
        <v>0.63949044585987258</v>
      </c>
      <c r="L83" s="18">
        <f t="shared" si="9"/>
        <v>-1.7452531167929441</v>
      </c>
    </row>
    <row r="84" spans="1:13" ht="32" x14ac:dyDescent="0.2">
      <c r="A84" t="s">
        <v>95</v>
      </c>
      <c r="B84" t="s">
        <v>97</v>
      </c>
      <c r="C84" t="s">
        <v>128</v>
      </c>
      <c r="D84" s="17">
        <v>386</v>
      </c>
      <c r="E84" s="17"/>
      <c r="F84" s="17" t="str">
        <f t="shared" si="5"/>
        <v/>
      </c>
      <c r="G84" s="17">
        <v>248</v>
      </c>
      <c r="H84" s="17"/>
      <c r="I84" s="17" t="str">
        <f t="shared" si="6"/>
        <v/>
      </c>
      <c r="J84" s="16">
        <f t="shared" si="7"/>
        <v>0.60883280757097791</v>
      </c>
      <c r="K84" s="16" t="str">
        <f t="shared" si="8"/>
        <v/>
      </c>
      <c r="L84" s="18" t="str">
        <f t="shared" si="9"/>
        <v/>
      </c>
      <c r="M84" s="12" t="s">
        <v>519</v>
      </c>
    </row>
    <row r="85" spans="1:13" ht="32" x14ac:dyDescent="0.2">
      <c r="A85" t="s">
        <v>95</v>
      </c>
      <c r="B85" t="s">
        <v>97</v>
      </c>
      <c r="C85" t="s">
        <v>129</v>
      </c>
      <c r="D85" s="17">
        <v>1007</v>
      </c>
      <c r="E85" s="17"/>
      <c r="F85" s="17" t="str">
        <f t="shared" si="5"/>
        <v/>
      </c>
      <c r="G85" s="17">
        <v>829</v>
      </c>
      <c r="H85" s="17"/>
      <c r="I85" s="17" t="str">
        <f t="shared" si="6"/>
        <v/>
      </c>
      <c r="J85" s="16">
        <f t="shared" si="7"/>
        <v>0.54847494553376908</v>
      </c>
      <c r="K85" s="16" t="str">
        <f t="shared" si="8"/>
        <v/>
      </c>
      <c r="L85" s="18" t="str">
        <f t="shared" si="9"/>
        <v/>
      </c>
      <c r="M85" s="12" t="s">
        <v>520</v>
      </c>
    </row>
    <row r="86" spans="1:13" x14ac:dyDescent="0.2">
      <c r="A86" t="s">
        <v>95</v>
      </c>
      <c r="B86" t="s">
        <v>97</v>
      </c>
      <c r="C86" t="s">
        <v>130</v>
      </c>
      <c r="D86" s="17">
        <v>518</v>
      </c>
      <c r="E86" s="17">
        <v>488</v>
      </c>
      <c r="F86" s="17">
        <f t="shared" si="5"/>
        <v>30</v>
      </c>
      <c r="G86" s="17">
        <v>243</v>
      </c>
      <c r="H86" s="17">
        <v>252</v>
      </c>
      <c r="I86" s="17">
        <f t="shared" si="6"/>
        <v>-9</v>
      </c>
      <c r="J86" s="16">
        <f t="shared" si="7"/>
        <v>0.68068331143232585</v>
      </c>
      <c r="K86" s="16">
        <f t="shared" si="8"/>
        <v>0.6594594594594595</v>
      </c>
      <c r="L86" s="18">
        <f t="shared" si="9"/>
        <v>2.1223851972866359</v>
      </c>
    </row>
    <row r="87" spans="1:13" x14ac:dyDescent="0.2">
      <c r="A87" t="s">
        <v>95</v>
      </c>
      <c r="B87" t="s">
        <v>97</v>
      </c>
      <c r="C87" t="s">
        <v>131</v>
      </c>
      <c r="D87" s="17">
        <v>639</v>
      </c>
      <c r="E87" s="17">
        <v>601</v>
      </c>
      <c r="F87" s="17">
        <f t="shared" si="5"/>
        <v>38</v>
      </c>
      <c r="G87" s="17">
        <v>412</v>
      </c>
      <c r="H87" s="17">
        <v>394</v>
      </c>
      <c r="I87" s="17">
        <f t="shared" si="6"/>
        <v>18</v>
      </c>
      <c r="J87" s="16">
        <f t="shared" si="7"/>
        <v>0.60799238820171264</v>
      </c>
      <c r="K87" s="16">
        <f t="shared" si="8"/>
        <v>0.60402010050251254</v>
      </c>
      <c r="L87" s="18">
        <f t="shared" si="9"/>
        <v>0.39722876992001055</v>
      </c>
    </row>
    <row r="88" spans="1:13" ht="32" x14ac:dyDescent="0.2">
      <c r="A88" t="s">
        <v>95</v>
      </c>
      <c r="B88" t="s">
        <v>97</v>
      </c>
      <c r="C88" t="s">
        <v>132</v>
      </c>
      <c r="D88" s="17">
        <v>17</v>
      </c>
      <c r="E88" s="17"/>
      <c r="F88" s="17" t="str">
        <f t="shared" si="5"/>
        <v/>
      </c>
      <c r="G88" s="17">
        <v>17</v>
      </c>
      <c r="H88" s="17"/>
      <c r="I88" s="17" t="str">
        <f t="shared" si="6"/>
        <v/>
      </c>
      <c r="J88" s="16">
        <f t="shared" si="7"/>
        <v>0.5</v>
      </c>
      <c r="K88" s="16" t="str">
        <f t="shared" si="8"/>
        <v/>
      </c>
      <c r="L88" s="18" t="str">
        <f t="shared" si="9"/>
        <v/>
      </c>
      <c r="M88" s="12" t="s">
        <v>520</v>
      </c>
    </row>
    <row r="89" spans="1:13" x14ac:dyDescent="0.2">
      <c r="A89" t="s">
        <v>95</v>
      </c>
      <c r="B89" t="s">
        <v>97</v>
      </c>
      <c r="C89" t="s">
        <v>133</v>
      </c>
      <c r="D89" s="17">
        <v>367</v>
      </c>
      <c r="E89" s="17">
        <v>330</v>
      </c>
      <c r="F89" s="17">
        <f t="shared" si="5"/>
        <v>37</v>
      </c>
      <c r="G89" s="17">
        <v>238</v>
      </c>
      <c r="H89" s="17">
        <v>270</v>
      </c>
      <c r="I89" s="17">
        <f t="shared" si="6"/>
        <v>-32</v>
      </c>
      <c r="J89" s="16">
        <f t="shared" si="7"/>
        <v>0.60661157024793388</v>
      </c>
      <c r="K89" s="16">
        <f t="shared" si="8"/>
        <v>0.55000000000000004</v>
      </c>
      <c r="L89" s="18">
        <f t="shared" si="9"/>
        <v>5.6611570247933845</v>
      </c>
    </row>
    <row r="90" spans="1:13" x14ac:dyDescent="0.2">
      <c r="A90" t="s">
        <v>95</v>
      </c>
      <c r="B90" t="s">
        <v>97</v>
      </c>
      <c r="C90" t="s">
        <v>134</v>
      </c>
      <c r="D90" s="17">
        <v>613</v>
      </c>
      <c r="E90" s="17">
        <v>591</v>
      </c>
      <c r="F90" s="17">
        <f t="shared" si="5"/>
        <v>22</v>
      </c>
      <c r="G90" s="17">
        <v>255</v>
      </c>
      <c r="H90" s="17">
        <v>333</v>
      </c>
      <c r="I90" s="17">
        <f t="shared" si="6"/>
        <v>-78</v>
      </c>
      <c r="J90" s="16">
        <f t="shared" si="7"/>
        <v>0.70622119815668205</v>
      </c>
      <c r="K90" s="16">
        <f t="shared" si="8"/>
        <v>0.63961038961038963</v>
      </c>
      <c r="L90" s="18">
        <f t="shared" si="9"/>
        <v>6.6610808546292422</v>
      </c>
    </row>
    <row r="91" spans="1:13" x14ac:dyDescent="0.2">
      <c r="A91" t="s">
        <v>95</v>
      </c>
      <c r="B91" t="s">
        <v>97</v>
      </c>
      <c r="C91" t="s">
        <v>135</v>
      </c>
      <c r="D91" s="17">
        <v>381</v>
      </c>
      <c r="E91" s="17">
        <v>347</v>
      </c>
      <c r="F91" s="17">
        <f t="shared" si="5"/>
        <v>34</v>
      </c>
      <c r="G91" s="17">
        <v>271</v>
      </c>
      <c r="H91" s="17">
        <v>243</v>
      </c>
      <c r="I91" s="17">
        <f t="shared" si="6"/>
        <v>28</v>
      </c>
      <c r="J91" s="16">
        <f t="shared" si="7"/>
        <v>0.58435582822085885</v>
      </c>
      <c r="K91" s="16">
        <f t="shared" si="8"/>
        <v>0.58813559322033904</v>
      </c>
      <c r="L91" s="18">
        <f t="shared" si="9"/>
        <v>-0.37797649994801841</v>
      </c>
    </row>
    <row r="92" spans="1:13" x14ac:dyDescent="0.2">
      <c r="A92" t="s">
        <v>95</v>
      </c>
      <c r="B92" t="s">
        <v>97</v>
      </c>
      <c r="C92" t="s">
        <v>136</v>
      </c>
      <c r="D92" s="17">
        <v>494</v>
      </c>
      <c r="E92" s="17">
        <v>440</v>
      </c>
      <c r="F92" s="17">
        <f t="shared" si="5"/>
        <v>54</v>
      </c>
      <c r="G92" s="17">
        <v>210</v>
      </c>
      <c r="H92" s="17">
        <v>259</v>
      </c>
      <c r="I92" s="17">
        <f t="shared" si="6"/>
        <v>-49</v>
      </c>
      <c r="J92" s="16">
        <f t="shared" si="7"/>
        <v>0.70170454545454541</v>
      </c>
      <c r="K92" s="16">
        <f t="shared" si="8"/>
        <v>0.62947067238912735</v>
      </c>
      <c r="L92" s="18">
        <f t="shared" si="9"/>
        <v>7.2233873065418059</v>
      </c>
    </row>
    <row r="93" spans="1:13" x14ac:dyDescent="0.2">
      <c r="A93" t="s">
        <v>95</v>
      </c>
      <c r="B93" t="s">
        <v>97</v>
      </c>
      <c r="C93" t="s">
        <v>137</v>
      </c>
      <c r="D93" s="17">
        <v>591</v>
      </c>
      <c r="E93" s="17">
        <v>553</v>
      </c>
      <c r="F93" s="17">
        <f t="shared" si="5"/>
        <v>38</v>
      </c>
      <c r="G93" s="17">
        <v>417</v>
      </c>
      <c r="H93" s="17">
        <v>367</v>
      </c>
      <c r="I93" s="17">
        <f t="shared" si="6"/>
        <v>50</v>
      </c>
      <c r="J93" s="16">
        <f t="shared" si="7"/>
        <v>0.58630952380952384</v>
      </c>
      <c r="K93" s="16">
        <f t="shared" si="8"/>
        <v>0.60108695652173916</v>
      </c>
      <c r="L93" s="18">
        <f t="shared" si="9"/>
        <v>-1.4777432712215322</v>
      </c>
    </row>
    <row r="94" spans="1:13" ht="32" x14ac:dyDescent="0.2">
      <c r="A94" t="s">
        <v>95</v>
      </c>
      <c r="B94" t="s">
        <v>97</v>
      </c>
      <c r="C94" t="s">
        <v>138</v>
      </c>
      <c r="D94" s="17">
        <v>1</v>
      </c>
      <c r="E94" s="17"/>
      <c r="F94" s="17" t="str">
        <f t="shared" si="5"/>
        <v/>
      </c>
      <c r="G94" s="17">
        <v>1</v>
      </c>
      <c r="H94" s="17"/>
      <c r="I94" s="17" t="str">
        <f t="shared" si="6"/>
        <v/>
      </c>
      <c r="J94" s="16">
        <f t="shared" si="7"/>
        <v>0.5</v>
      </c>
      <c r="K94" s="16" t="str">
        <f t="shared" si="8"/>
        <v/>
      </c>
      <c r="L94" s="18" t="str">
        <f t="shared" si="9"/>
        <v/>
      </c>
      <c r="M94" s="12" t="s">
        <v>520</v>
      </c>
    </row>
    <row r="95" spans="1:13" x14ac:dyDescent="0.2">
      <c r="A95" t="s">
        <v>95</v>
      </c>
      <c r="B95" t="s">
        <v>97</v>
      </c>
      <c r="C95" t="s">
        <v>139</v>
      </c>
      <c r="D95" s="17">
        <v>922</v>
      </c>
      <c r="E95" s="17">
        <v>821</v>
      </c>
      <c r="F95" s="17">
        <f t="shared" si="5"/>
        <v>101</v>
      </c>
      <c r="G95" s="17">
        <v>441</v>
      </c>
      <c r="H95" s="17">
        <v>504</v>
      </c>
      <c r="I95" s="17">
        <f t="shared" si="6"/>
        <v>-63</v>
      </c>
      <c r="J95" s="16">
        <f t="shared" si="7"/>
        <v>0.67644900953778431</v>
      </c>
      <c r="K95" s="16">
        <f t="shared" si="8"/>
        <v>0.61962264150943391</v>
      </c>
      <c r="L95" s="18">
        <f t="shared" si="9"/>
        <v>5.6826368028350398</v>
      </c>
    </row>
    <row r="96" spans="1:13" x14ac:dyDescent="0.2">
      <c r="A96" t="s">
        <v>95</v>
      </c>
      <c r="B96" t="s">
        <v>97</v>
      </c>
      <c r="C96" t="s">
        <v>140</v>
      </c>
      <c r="D96" s="17">
        <v>414</v>
      </c>
      <c r="E96" s="17">
        <v>487</v>
      </c>
      <c r="F96" s="17">
        <f t="shared" si="5"/>
        <v>-73</v>
      </c>
      <c r="G96" s="17">
        <v>113</v>
      </c>
      <c r="H96" s="17">
        <v>191</v>
      </c>
      <c r="I96" s="17">
        <f t="shared" si="6"/>
        <v>-78</v>
      </c>
      <c r="J96" s="16">
        <f t="shared" si="7"/>
        <v>0.78557874762808344</v>
      </c>
      <c r="K96" s="16">
        <f t="shared" si="8"/>
        <v>0.71828908554572268</v>
      </c>
      <c r="L96" s="18">
        <f t="shared" si="9"/>
        <v>6.7289662082360753</v>
      </c>
    </row>
    <row r="97" spans="1:12" x14ac:dyDescent="0.2">
      <c r="A97" t="s">
        <v>95</v>
      </c>
      <c r="B97" t="s">
        <v>97</v>
      </c>
      <c r="C97" t="s">
        <v>141</v>
      </c>
      <c r="D97" s="17">
        <v>393</v>
      </c>
      <c r="E97" s="17">
        <v>418</v>
      </c>
      <c r="F97" s="17">
        <f t="shared" si="5"/>
        <v>-25</v>
      </c>
      <c r="G97" s="17">
        <v>115</v>
      </c>
      <c r="H97" s="17">
        <v>181</v>
      </c>
      <c r="I97" s="17">
        <f t="shared" si="6"/>
        <v>-66</v>
      </c>
      <c r="J97" s="16">
        <f t="shared" si="7"/>
        <v>0.77362204724409445</v>
      </c>
      <c r="K97" s="16">
        <f t="shared" si="8"/>
        <v>0.69782971619365608</v>
      </c>
      <c r="L97" s="18">
        <f t="shared" si="9"/>
        <v>7.5792331050438371</v>
      </c>
    </row>
    <row r="98" spans="1:12" x14ac:dyDescent="0.2">
      <c r="A98" t="s">
        <v>95</v>
      </c>
      <c r="B98" t="s">
        <v>97</v>
      </c>
      <c r="C98" t="s">
        <v>142</v>
      </c>
      <c r="D98" s="17">
        <v>444</v>
      </c>
      <c r="E98" s="17">
        <v>677</v>
      </c>
      <c r="F98" s="17">
        <f t="shared" si="5"/>
        <v>-233</v>
      </c>
      <c r="G98" s="17">
        <v>123</v>
      </c>
      <c r="H98" s="17">
        <v>264</v>
      </c>
      <c r="I98" s="17">
        <f t="shared" si="6"/>
        <v>-141</v>
      </c>
      <c r="J98" s="16">
        <f t="shared" si="7"/>
        <v>0.78306878306878303</v>
      </c>
      <c r="K98" s="16">
        <f t="shared" si="8"/>
        <v>0.71944739638682254</v>
      </c>
      <c r="L98" s="18">
        <f t="shared" si="9"/>
        <v>6.3621386681960495</v>
      </c>
    </row>
    <row r="99" spans="1:12" x14ac:dyDescent="0.2">
      <c r="A99" t="s">
        <v>95</v>
      </c>
      <c r="B99" t="s">
        <v>97</v>
      </c>
      <c r="C99" t="s">
        <v>143</v>
      </c>
      <c r="D99" s="17">
        <v>281</v>
      </c>
      <c r="E99" s="17">
        <v>283</v>
      </c>
      <c r="F99" s="17">
        <f t="shared" si="5"/>
        <v>-2</v>
      </c>
      <c r="G99" s="17">
        <v>100</v>
      </c>
      <c r="H99" s="17">
        <v>138</v>
      </c>
      <c r="I99" s="17">
        <f t="shared" si="6"/>
        <v>-38</v>
      </c>
      <c r="J99" s="16">
        <f t="shared" si="7"/>
        <v>0.73753280839895008</v>
      </c>
      <c r="K99" s="16">
        <f t="shared" si="8"/>
        <v>0.67220902612826605</v>
      </c>
      <c r="L99" s="18">
        <f t="shared" si="9"/>
        <v>6.5323782270684028</v>
      </c>
    </row>
    <row r="100" spans="1:12" x14ac:dyDescent="0.2">
      <c r="A100" t="s">
        <v>95</v>
      </c>
      <c r="B100" t="s">
        <v>97</v>
      </c>
      <c r="C100" t="s">
        <v>144</v>
      </c>
      <c r="D100" s="17">
        <v>342</v>
      </c>
      <c r="E100" s="17">
        <v>447</v>
      </c>
      <c r="F100" s="17">
        <f t="shared" si="5"/>
        <v>-105</v>
      </c>
      <c r="G100" s="17">
        <v>90</v>
      </c>
      <c r="H100" s="17">
        <v>152</v>
      </c>
      <c r="I100" s="17">
        <f t="shared" si="6"/>
        <v>-62</v>
      </c>
      <c r="J100" s="16">
        <f t="shared" si="7"/>
        <v>0.79166666666666663</v>
      </c>
      <c r="K100" s="16">
        <f t="shared" si="8"/>
        <v>0.74624373956594325</v>
      </c>
      <c r="L100" s="18">
        <f t="shared" si="9"/>
        <v>4.5422927100723376</v>
      </c>
    </row>
    <row r="101" spans="1:12" x14ac:dyDescent="0.2">
      <c r="A101" t="s">
        <v>95</v>
      </c>
      <c r="B101" t="s">
        <v>97</v>
      </c>
      <c r="C101" t="s">
        <v>145</v>
      </c>
      <c r="D101" s="17">
        <v>200</v>
      </c>
      <c r="E101" s="17">
        <v>179</v>
      </c>
      <c r="F101" s="17">
        <f t="shared" si="5"/>
        <v>21</v>
      </c>
      <c r="G101" s="17">
        <v>63</v>
      </c>
      <c r="H101" s="17">
        <v>112</v>
      </c>
      <c r="I101" s="17">
        <f t="shared" si="6"/>
        <v>-49</v>
      </c>
      <c r="J101" s="16">
        <f t="shared" si="7"/>
        <v>0.76045627376425851</v>
      </c>
      <c r="K101" s="16">
        <f t="shared" si="8"/>
        <v>0.61512027491408938</v>
      </c>
      <c r="L101" s="18">
        <f t="shared" si="9"/>
        <v>14.533599885016912</v>
      </c>
    </row>
    <row r="102" spans="1:12" x14ac:dyDescent="0.2">
      <c r="A102" t="s">
        <v>95</v>
      </c>
      <c r="B102" t="s">
        <v>97</v>
      </c>
      <c r="C102" t="s">
        <v>146</v>
      </c>
      <c r="D102" s="17">
        <v>356</v>
      </c>
      <c r="E102" s="17">
        <v>357</v>
      </c>
      <c r="F102" s="17">
        <f t="shared" si="5"/>
        <v>-1</v>
      </c>
      <c r="G102" s="17">
        <v>129</v>
      </c>
      <c r="H102" s="17">
        <v>225</v>
      </c>
      <c r="I102" s="17">
        <f t="shared" si="6"/>
        <v>-96</v>
      </c>
      <c r="J102" s="16">
        <f t="shared" si="7"/>
        <v>0.73402061855670098</v>
      </c>
      <c r="K102" s="16">
        <f t="shared" si="8"/>
        <v>0.61340206185567014</v>
      </c>
      <c r="L102" s="18">
        <f t="shared" si="9"/>
        <v>12.061855670103084</v>
      </c>
    </row>
    <row r="103" spans="1:12" x14ac:dyDescent="0.2">
      <c r="A103" t="s">
        <v>95</v>
      </c>
      <c r="B103" t="s">
        <v>97</v>
      </c>
      <c r="C103" t="s">
        <v>147</v>
      </c>
      <c r="D103" s="17">
        <v>542</v>
      </c>
      <c r="E103" s="17">
        <v>520</v>
      </c>
      <c r="F103" s="17">
        <f t="shared" si="5"/>
        <v>22</v>
      </c>
      <c r="G103" s="17">
        <v>166</v>
      </c>
      <c r="H103" s="17">
        <v>193</v>
      </c>
      <c r="I103" s="17">
        <f t="shared" si="6"/>
        <v>-27</v>
      </c>
      <c r="J103" s="16">
        <f t="shared" si="7"/>
        <v>0.7655367231638418</v>
      </c>
      <c r="K103" s="16">
        <f t="shared" si="8"/>
        <v>0.72931276297335201</v>
      </c>
      <c r="L103" s="18">
        <f t="shared" si="9"/>
        <v>3.622396019048979</v>
      </c>
    </row>
    <row r="104" spans="1:12" x14ac:dyDescent="0.2">
      <c r="A104" t="s">
        <v>95</v>
      </c>
      <c r="B104" t="s">
        <v>97</v>
      </c>
      <c r="C104" t="s">
        <v>148</v>
      </c>
      <c r="D104" s="17">
        <v>190</v>
      </c>
      <c r="E104" s="17">
        <v>218</v>
      </c>
      <c r="F104" s="17">
        <f t="shared" si="5"/>
        <v>-28</v>
      </c>
      <c r="G104" s="17">
        <v>51</v>
      </c>
      <c r="H104" s="17">
        <v>86</v>
      </c>
      <c r="I104" s="17">
        <f t="shared" si="6"/>
        <v>-35</v>
      </c>
      <c r="J104" s="16">
        <f t="shared" si="7"/>
        <v>0.78838174273858919</v>
      </c>
      <c r="K104" s="16">
        <f t="shared" si="8"/>
        <v>0.71710526315789469</v>
      </c>
      <c r="L104" s="18">
        <f t="shared" si="9"/>
        <v>7.1276479580694492</v>
      </c>
    </row>
    <row r="105" spans="1:12" x14ac:dyDescent="0.2">
      <c r="A105" t="s">
        <v>95</v>
      </c>
      <c r="B105" t="s">
        <v>97</v>
      </c>
      <c r="C105" t="s">
        <v>149</v>
      </c>
      <c r="D105" s="17">
        <v>230</v>
      </c>
      <c r="E105" s="17">
        <v>262</v>
      </c>
      <c r="F105" s="17">
        <f t="shared" si="5"/>
        <v>-32</v>
      </c>
      <c r="G105" s="17">
        <v>64</v>
      </c>
      <c r="H105" s="17">
        <v>109</v>
      </c>
      <c r="I105" s="17">
        <f t="shared" si="6"/>
        <v>-45</v>
      </c>
      <c r="J105" s="16">
        <f t="shared" si="7"/>
        <v>0.78231292517006801</v>
      </c>
      <c r="K105" s="16">
        <f t="shared" si="8"/>
        <v>0.70619946091644203</v>
      </c>
      <c r="L105" s="18">
        <f t="shared" si="9"/>
        <v>7.6113464253625978</v>
      </c>
    </row>
    <row r="106" spans="1:12" x14ac:dyDescent="0.2">
      <c r="A106" t="s">
        <v>95</v>
      </c>
      <c r="B106" t="s">
        <v>97</v>
      </c>
      <c r="C106" t="s">
        <v>150</v>
      </c>
      <c r="D106" s="17">
        <v>384</v>
      </c>
      <c r="E106" s="17">
        <v>424</v>
      </c>
      <c r="F106" s="17">
        <f t="shared" si="5"/>
        <v>-40</v>
      </c>
      <c r="G106" s="17">
        <v>104</v>
      </c>
      <c r="H106" s="17">
        <v>151</v>
      </c>
      <c r="I106" s="17">
        <f t="shared" si="6"/>
        <v>-47</v>
      </c>
      <c r="J106" s="16">
        <f t="shared" si="7"/>
        <v>0.78688524590163933</v>
      </c>
      <c r="K106" s="16">
        <f t="shared" si="8"/>
        <v>0.73739130434782607</v>
      </c>
      <c r="L106" s="18">
        <f t="shared" si="9"/>
        <v>4.9493941553813254</v>
      </c>
    </row>
    <row r="107" spans="1:12" x14ac:dyDescent="0.2">
      <c r="A107" t="s">
        <v>95</v>
      </c>
      <c r="B107" t="s">
        <v>97</v>
      </c>
      <c r="C107" t="s">
        <v>151</v>
      </c>
      <c r="D107" s="17">
        <v>516</v>
      </c>
      <c r="E107" s="17">
        <v>565</v>
      </c>
      <c r="F107" s="17">
        <f t="shared" si="5"/>
        <v>-49</v>
      </c>
      <c r="G107" s="17">
        <v>206</v>
      </c>
      <c r="H107" s="17">
        <v>277</v>
      </c>
      <c r="I107" s="17">
        <f t="shared" si="6"/>
        <v>-71</v>
      </c>
      <c r="J107" s="16">
        <f t="shared" si="7"/>
        <v>0.71468144044321325</v>
      </c>
      <c r="K107" s="16">
        <f t="shared" si="8"/>
        <v>0.67102137767220904</v>
      </c>
      <c r="L107" s="18">
        <f t="shared" si="9"/>
        <v>4.3660062771004204</v>
      </c>
    </row>
    <row r="108" spans="1:12" x14ac:dyDescent="0.2">
      <c r="A108" t="s">
        <v>95</v>
      </c>
      <c r="B108" t="s">
        <v>97</v>
      </c>
      <c r="C108" t="s">
        <v>152</v>
      </c>
      <c r="D108" s="17">
        <v>238</v>
      </c>
      <c r="E108" s="17">
        <v>260</v>
      </c>
      <c r="F108" s="17">
        <f t="shared" si="5"/>
        <v>-22</v>
      </c>
      <c r="G108" s="17">
        <v>88</v>
      </c>
      <c r="H108" s="17">
        <v>121</v>
      </c>
      <c r="I108" s="17">
        <f t="shared" si="6"/>
        <v>-33</v>
      </c>
      <c r="J108" s="16">
        <f t="shared" si="7"/>
        <v>0.73006134969325154</v>
      </c>
      <c r="K108" s="16">
        <f t="shared" si="8"/>
        <v>0.6824146981627297</v>
      </c>
      <c r="L108" s="18">
        <f t="shared" si="9"/>
        <v>4.7646651530521833</v>
      </c>
    </row>
    <row r="109" spans="1:12" x14ac:dyDescent="0.2">
      <c r="A109" t="s">
        <v>95</v>
      </c>
      <c r="B109" t="s">
        <v>97</v>
      </c>
      <c r="C109" t="s">
        <v>153</v>
      </c>
      <c r="D109" s="17">
        <v>324</v>
      </c>
      <c r="E109" s="17">
        <v>317</v>
      </c>
      <c r="F109" s="17">
        <f t="shared" si="5"/>
        <v>7</v>
      </c>
      <c r="G109" s="17">
        <v>103</v>
      </c>
      <c r="H109" s="17">
        <v>152</v>
      </c>
      <c r="I109" s="17">
        <f t="shared" si="6"/>
        <v>-49</v>
      </c>
      <c r="J109" s="16">
        <f t="shared" si="7"/>
        <v>0.75878220140515218</v>
      </c>
      <c r="K109" s="16">
        <f t="shared" si="8"/>
        <v>0.67590618336886998</v>
      </c>
      <c r="L109" s="18">
        <f t="shared" si="9"/>
        <v>8.2876018036282204</v>
      </c>
    </row>
    <row r="110" spans="1:12" x14ac:dyDescent="0.2">
      <c r="A110" t="s">
        <v>95</v>
      </c>
      <c r="B110" t="s">
        <v>97</v>
      </c>
      <c r="C110" t="s">
        <v>154</v>
      </c>
      <c r="D110" s="17">
        <v>459</v>
      </c>
      <c r="E110" s="17">
        <v>424</v>
      </c>
      <c r="F110" s="17">
        <f t="shared" si="5"/>
        <v>35</v>
      </c>
      <c r="G110" s="17">
        <v>261</v>
      </c>
      <c r="H110" s="17">
        <v>264</v>
      </c>
      <c r="I110" s="17">
        <f t="shared" si="6"/>
        <v>-3</v>
      </c>
      <c r="J110" s="16">
        <f t="shared" si="7"/>
        <v>0.63749999999999996</v>
      </c>
      <c r="K110" s="16">
        <f t="shared" si="8"/>
        <v>0.61627906976744184</v>
      </c>
      <c r="L110" s="18">
        <f t="shared" si="9"/>
        <v>2.1220930232558111</v>
      </c>
    </row>
    <row r="111" spans="1:12" x14ac:dyDescent="0.2">
      <c r="A111" t="s">
        <v>95</v>
      </c>
      <c r="B111" t="s">
        <v>97</v>
      </c>
      <c r="C111" t="s">
        <v>155</v>
      </c>
      <c r="D111" s="17">
        <v>385</v>
      </c>
      <c r="E111" s="17">
        <v>469</v>
      </c>
      <c r="F111" s="17">
        <f t="shared" si="5"/>
        <v>-84</v>
      </c>
      <c r="G111" s="17">
        <v>102</v>
      </c>
      <c r="H111" s="17">
        <v>215</v>
      </c>
      <c r="I111" s="17">
        <f t="shared" si="6"/>
        <v>-113</v>
      </c>
      <c r="J111" s="16">
        <f t="shared" si="7"/>
        <v>0.79055441478439425</v>
      </c>
      <c r="K111" s="16">
        <f t="shared" si="8"/>
        <v>0.68567251461988299</v>
      </c>
      <c r="L111" s="18">
        <f t="shared" si="9"/>
        <v>10.488190016451126</v>
      </c>
    </row>
    <row r="112" spans="1:12" x14ac:dyDescent="0.2">
      <c r="A112" t="s">
        <v>95</v>
      </c>
      <c r="B112" t="s">
        <v>156</v>
      </c>
      <c r="C112" t="s">
        <v>157</v>
      </c>
      <c r="D112" s="17">
        <v>525</v>
      </c>
      <c r="E112" s="17">
        <v>598</v>
      </c>
      <c r="F112" s="17">
        <f t="shared" si="5"/>
        <v>-73</v>
      </c>
      <c r="G112" s="17">
        <v>211</v>
      </c>
      <c r="H112" s="17">
        <v>253</v>
      </c>
      <c r="I112" s="17">
        <f t="shared" si="6"/>
        <v>-42</v>
      </c>
      <c r="J112" s="16">
        <f t="shared" si="7"/>
        <v>0.71331521739130432</v>
      </c>
      <c r="K112" s="16">
        <f t="shared" si="8"/>
        <v>0.70270270270270274</v>
      </c>
      <c r="L112" s="18">
        <f t="shared" si="9"/>
        <v>1.0612514688601582</v>
      </c>
    </row>
    <row r="113" spans="1:12" x14ac:dyDescent="0.2">
      <c r="A113" t="s">
        <v>95</v>
      </c>
      <c r="B113" t="s">
        <v>156</v>
      </c>
      <c r="C113" t="s">
        <v>158</v>
      </c>
      <c r="D113" s="17">
        <v>409</v>
      </c>
      <c r="E113" s="17">
        <v>420</v>
      </c>
      <c r="F113" s="17">
        <f t="shared" si="5"/>
        <v>-11</v>
      </c>
      <c r="G113" s="17">
        <v>190</v>
      </c>
      <c r="H113" s="17">
        <v>214</v>
      </c>
      <c r="I113" s="17">
        <f t="shared" si="6"/>
        <v>-24</v>
      </c>
      <c r="J113" s="16">
        <f t="shared" si="7"/>
        <v>0.68280467445742909</v>
      </c>
      <c r="K113" s="16">
        <f t="shared" si="8"/>
        <v>0.66246056782334384</v>
      </c>
      <c r="L113" s="18">
        <f t="shared" si="9"/>
        <v>2.0344106634085257</v>
      </c>
    </row>
    <row r="114" spans="1:12" x14ac:dyDescent="0.2">
      <c r="A114" t="s">
        <v>95</v>
      </c>
      <c r="B114" t="s">
        <v>156</v>
      </c>
      <c r="C114" t="s">
        <v>159</v>
      </c>
      <c r="D114" s="17">
        <v>384</v>
      </c>
      <c r="E114" s="17">
        <v>438</v>
      </c>
      <c r="F114" s="17">
        <f t="shared" si="5"/>
        <v>-54</v>
      </c>
      <c r="G114" s="17">
        <v>155</v>
      </c>
      <c r="H114" s="17">
        <v>176</v>
      </c>
      <c r="I114" s="17">
        <f t="shared" si="6"/>
        <v>-21</v>
      </c>
      <c r="J114" s="16">
        <f t="shared" si="7"/>
        <v>0.71243042671614099</v>
      </c>
      <c r="K114" s="16">
        <f t="shared" si="8"/>
        <v>0.71335504885993484</v>
      </c>
      <c r="L114" s="18">
        <f t="shared" si="9"/>
        <v>-9.2462214379385177E-2</v>
      </c>
    </row>
    <row r="115" spans="1:12" x14ac:dyDescent="0.2">
      <c r="A115" t="s">
        <v>95</v>
      </c>
      <c r="B115" t="s">
        <v>156</v>
      </c>
      <c r="C115" t="s">
        <v>160</v>
      </c>
      <c r="D115" s="17">
        <v>477</v>
      </c>
      <c r="E115" s="17">
        <v>463</v>
      </c>
      <c r="F115" s="17">
        <f t="shared" si="5"/>
        <v>14</v>
      </c>
      <c r="G115" s="17">
        <v>217</v>
      </c>
      <c r="H115" s="17">
        <v>219</v>
      </c>
      <c r="I115" s="17">
        <f t="shared" si="6"/>
        <v>-2</v>
      </c>
      <c r="J115" s="16">
        <f t="shared" si="7"/>
        <v>0.68731988472622474</v>
      </c>
      <c r="K115" s="16">
        <f t="shared" si="8"/>
        <v>0.67888563049853368</v>
      </c>
      <c r="L115" s="18">
        <f t="shared" si="9"/>
        <v>0.84342542276910626</v>
      </c>
    </row>
    <row r="116" spans="1:12" x14ac:dyDescent="0.2">
      <c r="A116" t="s">
        <v>95</v>
      </c>
      <c r="B116" t="s">
        <v>156</v>
      </c>
      <c r="C116" t="s">
        <v>161</v>
      </c>
      <c r="D116" s="17">
        <v>806</v>
      </c>
      <c r="E116" s="17">
        <v>782</v>
      </c>
      <c r="F116" s="17">
        <f t="shared" si="5"/>
        <v>24</v>
      </c>
      <c r="G116" s="17">
        <v>455</v>
      </c>
      <c r="H116" s="17">
        <v>404</v>
      </c>
      <c r="I116" s="17">
        <f t="shared" si="6"/>
        <v>51</v>
      </c>
      <c r="J116" s="16">
        <f t="shared" si="7"/>
        <v>0.63917525773195871</v>
      </c>
      <c r="K116" s="16">
        <f t="shared" si="8"/>
        <v>0.65935919055649239</v>
      </c>
      <c r="L116" s="18">
        <f t="shared" si="9"/>
        <v>-2.0183932824533679</v>
      </c>
    </row>
    <row r="117" spans="1:12" x14ac:dyDescent="0.2">
      <c r="A117" t="s">
        <v>95</v>
      </c>
      <c r="B117" t="s">
        <v>156</v>
      </c>
      <c r="C117" t="s">
        <v>162</v>
      </c>
      <c r="D117" s="17">
        <v>525</v>
      </c>
      <c r="E117" s="17">
        <v>503</v>
      </c>
      <c r="F117" s="17">
        <f t="shared" si="5"/>
        <v>22</v>
      </c>
      <c r="G117" s="17">
        <v>299</v>
      </c>
      <c r="H117" s="17">
        <v>318</v>
      </c>
      <c r="I117" s="17">
        <f t="shared" si="6"/>
        <v>-19</v>
      </c>
      <c r="J117" s="16">
        <f t="shared" si="7"/>
        <v>0.63713592233009708</v>
      </c>
      <c r="K117" s="16">
        <f t="shared" si="8"/>
        <v>0.61266747868453109</v>
      </c>
      <c r="L117" s="18">
        <f t="shared" si="9"/>
        <v>2.4468443645565996</v>
      </c>
    </row>
    <row r="118" spans="1:12" x14ac:dyDescent="0.2">
      <c r="A118" t="s">
        <v>95</v>
      </c>
      <c r="B118" t="s">
        <v>156</v>
      </c>
      <c r="C118" t="s">
        <v>163</v>
      </c>
      <c r="D118" s="17">
        <v>681</v>
      </c>
      <c r="E118" s="17">
        <v>597</v>
      </c>
      <c r="F118" s="17">
        <f t="shared" si="5"/>
        <v>84</v>
      </c>
      <c r="G118" s="17">
        <v>472</v>
      </c>
      <c r="H118" s="17">
        <v>396</v>
      </c>
      <c r="I118" s="17">
        <f t="shared" si="6"/>
        <v>76</v>
      </c>
      <c r="J118" s="16">
        <f t="shared" si="7"/>
        <v>0.59063313096270598</v>
      </c>
      <c r="K118" s="16">
        <f t="shared" si="8"/>
        <v>0.6012084592145015</v>
      </c>
      <c r="L118" s="18">
        <f t="shared" si="9"/>
        <v>-1.0575328251795524</v>
      </c>
    </row>
    <row r="119" spans="1:12" x14ac:dyDescent="0.2">
      <c r="A119" t="s">
        <v>95</v>
      </c>
      <c r="B119" t="s">
        <v>156</v>
      </c>
      <c r="C119" t="s">
        <v>164</v>
      </c>
      <c r="D119" s="17">
        <v>724</v>
      </c>
      <c r="E119" s="17">
        <v>678</v>
      </c>
      <c r="F119" s="17">
        <f t="shared" si="5"/>
        <v>46</v>
      </c>
      <c r="G119" s="17">
        <v>447</v>
      </c>
      <c r="H119" s="17">
        <v>451</v>
      </c>
      <c r="I119" s="17">
        <f t="shared" si="6"/>
        <v>-4</v>
      </c>
      <c r="J119" s="16">
        <f t="shared" si="7"/>
        <v>0.61827497865072589</v>
      </c>
      <c r="K119" s="16">
        <f t="shared" si="8"/>
        <v>0.60053144375553591</v>
      </c>
      <c r="L119" s="18">
        <f t="shared" si="9"/>
        <v>1.7743534895189983</v>
      </c>
    </row>
    <row r="120" spans="1:12" x14ac:dyDescent="0.2">
      <c r="A120" t="s">
        <v>95</v>
      </c>
      <c r="B120" t="s">
        <v>156</v>
      </c>
      <c r="C120" t="s">
        <v>165</v>
      </c>
      <c r="D120" s="17">
        <v>557</v>
      </c>
      <c r="E120" s="17">
        <v>524</v>
      </c>
      <c r="F120" s="17">
        <f t="shared" si="5"/>
        <v>33</v>
      </c>
      <c r="G120" s="17">
        <v>345</v>
      </c>
      <c r="H120" s="17">
        <v>327</v>
      </c>
      <c r="I120" s="17">
        <f t="shared" si="6"/>
        <v>18</v>
      </c>
      <c r="J120" s="16">
        <f t="shared" si="7"/>
        <v>0.6175166297117517</v>
      </c>
      <c r="K120" s="16">
        <f t="shared" si="8"/>
        <v>0.61574618096357225</v>
      </c>
      <c r="L120" s="18">
        <f t="shared" si="9"/>
        <v>0.17704487481794429</v>
      </c>
    </row>
    <row r="121" spans="1:12" x14ac:dyDescent="0.2">
      <c r="A121" t="s">
        <v>95</v>
      </c>
      <c r="B121" t="s">
        <v>156</v>
      </c>
      <c r="C121" t="s">
        <v>166</v>
      </c>
      <c r="D121" s="17">
        <v>432</v>
      </c>
      <c r="E121" s="17">
        <v>437</v>
      </c>
      <c r="F121" s="17">
        <f t="shared" si="5"/>
        <v>-5</v>
      </c>
      <c r="G121" s="17">
        <v>374</v>
      </c>
      <c r="H121" s="17">
        <v>344</v>
      </c>
      <c r="I121" s="17">
        <f t="shared" si="6"/>
        <v>30</v>
      </c>
      <c r="J121" s="16">
        <f t="shared" si="7"/>
        <v>0.53598014888337464</v>
      </c>
      <c r="K121" s="16">
        <f t="shared" si="8"/>
        <v>0.55953905249679903</v>
      </c>
      <c r="L121" s="18">
        <f t="shared" si="9"/>
        <v>-2.3558903613424387</v>
      </c>
    </row>
    <row r="122" spans="1:12" x14ac:dyDescent="0.2">
      <c r="A122" t="s">
        <v>95</v>
      </c>
      <c r="B122" t="s">
        <v>156</v>
      </c>
      <c r="C122" t="s">
        <v>167</v>
      </c>
      <c r="D122" s="17">
        <v>560</v>
      </c>
      <c r="E122" s="17">
        <v>581</v>
      </c>
      <c r="F122" s="17">
        <f t="shared" si="5"/>
        <v>-21</v>
      </c>
      <c r="G122" s="17">
        <v>333</v>
      </c>
      <c r="H122" s="17">
        <v>342</v>
      </c>
      <c r="I122" s="17">
        <f t="shared" si="6"/>
        <v>-9</v>
      </c>
      <c r="J122" s="16">
        <f t="shared" si="7"/>
        <v>0.62709966405375139</v>
      </c>
      <c r="K122" s="16">
        <f t="shared" si="8"/>
        <v>0.62946912242686892</v>
      </c>
      <c r="L122" s="18">
        <f t="shared" si="9"/>
        <v>-0.23694583731175278</v>
      </c>
    </row>
    <row r="123" spans="1:12" x14ac:dyDescent="0.2">
      <c r="A123" t="s">
        <v>95</v>
      </c>
      <c r="B123" t="s">
        <v>156</v>
      </c>
      <c r="C123" t="s">
        <v>168</v>
      </c>
      <c r="D123" s="17">
        <v>596</v>
      </c>
      <c r="E123" s="17">
        <v>591</v>
      </c>
      <c r="F123" s="17">
        <f t="shared" si="5"/>
        <v>5</v>
      </c>
      <c r="G123" s="17">
        <v>406</v>
      </c>
      <c r="H123" s="17">
        <v>390</v>
      </c>
      <c r="I123" s="17">
        <f t="shared" si="6"/>
        <v>16</v>
      </c>
      <c r="J123" s="16">
        <f t="shared" si="7"/>
        <v>0.59481037924151692</v>
      </c>
      <c r="K123" s="16">
        <f t="shared" si="8"/>
        <v>0.60244648318042815</v>
      </c>
      <c r="L123" s="18">
        <f t="shared" si="9"/>
        <v>-0.76361039389112317</v>
      </c>
    </row>
    <row r="124" spans="1:12" x14ac:dyDescent="0.2">
      <c r="A124" t="s">
        <v>95</v>
      </c>
      <c r="B124" t="s">
        <v>169</v>
      </c>
      <c r="C124" t="s">
        <v>170</v>
      </c>
      <c r="D124" s="17">
        <v>615</v>
      </c>
      <c r="E124" s="17">
        <v>557</v>
      </c>
      <c r="F124" s="17">
        <f t="shared" si="5"/>
        <v>58</v>
      </c>
      <c r="G124" s="17">
        <v>396</v>
      </c>
      <c r="H124" s="17">
        <v>454</v>
      </c>
      <c r="I124" s="17">
        <f t="shared" si="6"/>
        <v>-58</v>
      </c>
      <c r="J124" s="16">
        <f t="shared" si="7"/>
        <v>0.60830860534124631</v>
      </c>
      <c r="K124" s="16">
        <f t="shared" si="8"/>
        <v>0.55093966369930758</v>
      </c>
      <c r="L124" s="18">
        <f t="shared" si="9"/>
        <v>5.7368941641938731</v>
      </c>
    </row>
    <row r="125" spans="1:12" x14ac:dyDescent="0.2">
      <c r="A125" t="s">
        <v>95</v>
      </c>
      <c r="B125" t="s">
        <v>169</v>
      </c>
      <c r="C125" t="s">
        <v>171</v>
      </c>
      <c r="D125" s="17">
        <v>565</v>
      </c>
      <c r="E125" s="17">
        <v>467</v>
      </c>
      <c r="F125" s="17">
        <f t="shared" si="5"/>
        <v>98</v>
      </c>
      <c r="G125" s="17">
        <v>648</v>
      </c>
      <c r="H125" s="17">
        <v>513</v>
      </c>
      <c r="I125" s="17">
        <f t="shared" si="6"/>
        <v>135</v>
      </c>
      <c r="J125" s="16">
        <f t="shared" si="7"/>
        <v>0.46578730420445175</v>
      </c>
      <c r="K125" s="16">
        <f t="shared" si="8"/>
        <v>0.47653061224489796</v>
      </c>
      <c r="L125" s="18">
        <f t="shared" si="9"/>
        <v>-1.0743308040446209</v>
      </c>
    </row>
    <row r="126" spans="1:12" x14ac:dyDescent="0.2">
      <c r="A126" t="s">
        <v>95</v>
      </c>
      <c r="B126" t="s">
        <v>169</v>
      </c>
      <c r="C126" t="s">
        <v>172</v>
      </c>
      <c r="D126" s="17">
        <v>629</v>
      </c>
      <c r="E126" s="17">
        <v>536</v>
      </c>
      <c r="F126" s="17">
        <f t="shared" si="5"/>
        <v>93</v>
      </c>
      <c r="G126" s="17">
        <v>625</v>
      </c>
      <c r="H126" s="17">
        <v>524</v>
      </c>
      <c r="I126" s="17">
        <f t="shared" si="6"/>
        <v>101</v>
      </c>
      <c r="J126" s="16">
        <f t="shared" si="7"/>
        <v>0.50159489633173848</v>
      </c>
      <c r="K126" s="16">
        <f t="shared" si="8"/>
        <v>0.50566037735849056</v>
      </c>
      <c r="L126" s="18">
        <f t="shared" si="9"/>
        <v>-0.40654810267520824</v>
      </c>
    </row>
    <row r="127" spans="1:12" x14ac:dyDescent="0.2">
      <c r="A127" t="s">
        <v>95</v>
      </c>
      <c r="B127" t="s">
        <v>173</v>
      </c>
      <c r="C127" t="s">
        <v>173</v>
      </c>
      <c r="D127" s="17">
        <v>849</v>
      </c>
      <c r="E127" s="17">
        <v>735</v>
      </c>
      <c r="F127" s="17">
        <f t="shared" si="5"/>
        <v>114</v>
      </c>
      <c r="G127" s="17">
        <v>870</v>
      </c>
      <c r="H127" s="17">
        <v>804</v>
      </c>
      <c r="I127" s="17">
        <f t="shared" si="6"/>
        <v>66</v>
      </c>
      <c r="J127" s="16">
        <f t="shared" si="7"/>
        <v>0.49389179755671903</v>
      </c>
      <c r="K127" s="16">
        <f t="shared" si="8"/>
        <v>0.47758284600389861</v>
      </c>
      <c r="L127" s="18">
        <f t="shared" si="9"/>
        <v>1.6308951552820417</v>
      </c>
    </row>
    <row r="128" spans="1:12" x14ac:dyDescent="0.2">
      <c r="A128" t="s">
        <v>95</v>
      </c>
      <c r="B128" t="s">
        <v>174</v>
      </c>
      <c r="C128" t="s">
        <v>175</v>
      </c>
      <c r="D128" s="17">
        <v>446</v>
      </c>
      <c r="E128" s="17">
        <v>372</v>
      </c>
      <c r="F128" s="17">
        <f t="shared" si="5"/>
        <v>74</v>
      </c>
      <c r="G128" s="17">
        <v>437</v>
      </c>
      <c r="H128" s="17">
        <v>383</v>
      </c>
      <c r="I128" s="17">
        <f t="shared" si="6"/>
        <v>54</v>
      </c>
      <c r="J128" s="16">
        <f t="shared" si="7"/>
        <v>0.50509626274065689</v>
      </c>
      <c r="K128" s="16">
        <f t="shared" si="8"/>
        <v>0.49271523178807947</v>
      </c>
      <c r="L128" s="18">
        <f t="shared" si="9"/>
        <v>1.2381030952577421</v>
      </c>
    </row>
    <row r="129" spans="1:12" x14ac:dyDescent="0.2">
      <c r="A129" t="s">
        <v>95</v>
      </c>
      <c r="B129" t="s">
        <v>174</v>
      </c>
      <c r="C129" t="s">
        <v>176</v>
      </c>
      <c r="D129" s="17">
        <v>570</v>
      </c>
      <c r="E129" s="17">
        <v>527</v>
      </c>
      <c r="F129" s="17">
        <f t="shared" si="5"/>
        <v>43</v>
      </c>
      <c r="G129" s="17">
        <v>540</v>
      </c>
      <c r="H129" s="17">
        <v>515</v>
      </c>
      <c r="I129" s="17">
        <f t="shared" si="6"/>
        <v>25</v>
      </c>
      <c r="J129" s="16">
        <f t="shared" si="7"/>
        <v>0.51351351351351349</v>
      </c>
      <c r="K129" s="16">
        <f t="shared" si="8"/>
        <v>0.50575815738963537</v>
      </c>
      <c r="L129" s="18">
        <f t="shared" si="9"/>
        <v>0.7755356123878121</v>
      </c>
    </row>
    <row r="130" spans="1:12" x14ac:dyDescent="0.2">
      <c r="A130" t="s">
        <v>95</v>
      </c>
      <c r="B130" t="s">
        <v>177</v>
      </c>
      <c r="C130" t="s">
        <v>178</v>
      </c>
      <c r="D130" s="17">
        <v>627</v>
      </c>
      <c r="E130" s="17">
        <v>562</v>
      </c>
      <c r="F130" s="17">
        <f t="shared" ref="F130:F193" si="10">IF(E130="","",D130-E130)</f>
        <v>65</v>
      </c>
      <c r="G130" s="17">
        <v>567</v>
      </c>
      <c r="H130" s="17">
        <v>497</v>
      </c>
      <c r="I130" s="17">
        <f t="shared" ref="I130:I193" si="11">IF(H130="","",G130-H130)</f>
        <v>70</v>
      </c>
      <c r="J130" s="16">
        <f t="shared" ref="J130:J193" si="12">IF(D130+G130=0,"",D130/(D130+G130))</f>
        <v>0.52512562814070352</v>
      </c>
      <c r="K130" s="16">
        <f t="shared" ref="K130:K193" si="13">IF(E130="","",E130/(E130+H130))</f>
        <v>0.53068932955618509</v>
      </c>
      <c r="L130" s="18">
        <f t="shared" ref="L130:L193" si="14">IF(OR(K130="",J130=""),"",(J130-K130)*100)</f>
        <v>-0.556370141548157</v>
      </c>
    </row>
    <row r="131" spans="1:12" x14ac:dyDescent="0.2">
      <c r="A131" t="s">
        <v>95</v>
      </c>
      <c r="B131" t="s">
        <v>177</v>
      </c>
      <c r="C131" t="s">
        <v>179</v>
      </c>
      <c r="D131" s="17">
        <v>634</v>
      </c>
      <c r="E131" s="17">
        <v>566</v>
      </c>
      <c r="F131" s="17">
        <f t="shared" si="10"/>
        <v>68</v>
      </c>
      <c r="G131" s="17">
        <v>545</v>
      </c>
      <c r="H131" s="17">
        <v>509</v>
      </c>
      <c r="I131" s="17">
        <f t="shared" si="11"/>
        <v>36</v>
      </c>
      <c r="J131" s="16">
        <f t="shared" si="12"/>
        <v>0.53774385072094999</v>
      </c>
      <c r="K131" s="16">
        <f t="shared" si="13"/>
        <v>0.5265116279069767</v>
      </c>
      <c r="L131" s="18">
        <f t="shared" si="14"/>
        <v>1.1232222813973292</v>
      </c>
    </row>
    <row r="132" spans="1:12" x14ac:dyDescent="0.2">
      <c r="A132" t="s">
        <v>95</v>
      </c>
      <c r="B132" t="s">
        <v>177</v>
      </c>
      <c r="C132" t="s">
        <v>180</v>
      </c>
      <c r="D132" s="17">
        <v>752</v>
      </c>
      <c r="E132" s="17">
        <v>826</v>
      </c>
      <c r="F132" s="17">
        <f t="shared" si="10"/>
        <v>-74</v>
      </c>
      <c r="G132" s="17">
        <v>766</v>
      </c>
      <c r="H132" s="17">
        <v>801</v>
      </c>
      <c r="I132" s="17">
        <f t="shared" si="11"/>
        <v>-35</v>
      </c>
      <c r="J132" s="16">
        <f t="shared" si="12"/>
        <v>0.49538866930171277</v>
      </c>
      <c r="K132" s="16">
        <f t="shared" si="13"/>
        <v>0.50768285187461581</v>
      </c>
      <c r="L132" s="18">
        <f t="shared" si="14"/>
        <v>-1.2294182572903045</v>
      </c>
    </row>
    <row r="133" spans="1:12" x14ac:dyDescent="0.2">
      <c r="A133" t="s">
        <v>95</v>
      </c>
      <c r="B133" t="s">
        <v>177</v>
      </c>
      <c r="C133" t="s">
        <v>181</v>
      </c>
      <c r="D133" s="17">
        <v>810</v>
      </c>
      <c r="E133" s="17">
        <v>686</v>
      </c>
      <c r="F133" s="17">
        <f t="shared" si="10"/>
        <v>124</v>
      </c>
      <c r="G133" s="17">
        <v>669</v>
      </c>
      <c r="H133" s="17">
        <v>580</v>
      </c>
      <c r="I133" s="17">
        <f t="shared" si="11"/>
        <v>89</v>
      </c>
      <c r="J133" s="16">
        <f t="shared" si="12"/>
        <v>0.54766734279918861</v>
      </c>
      <c r="K133" s="16">
        <f t="shared" si="13"/>
        <v>0.54186413902053709</v>
      </c>
      <c r="L133" s="18">
        <f t="shared" si="14"/>
        <v>0.58032037786515112</v>
      </c>
    </row>
    <row r="134" spans="1:12" x14ac:dyDescent="0.2">
      <c r="A134" t="s">
        <v>95</v>
      </c>
      <c r="B134" t="s">
        <v>177</v>
      </c>
      <c r="C134" t="s">
        <v>182</v>
      </c>
      <c r="D134" s="17">
        <v>387</v>
      </c>
      <c r="E134" s="17">
        <v>332</v>
      </c>
      <c r="F134" s="17">
        <f t="shared" si="10"/>
        <v>55</v>
      </c>
      <c r="G134" s="17">
        <v>358</v>
      </c>
      <c r="H134" s="17">
        <v>340</v>
      </c>
      <c r="I134" s="17">
        <f t="shared" si="11"/>
        <v>18</v>
      </c>
      <c r="J134" s="16">
        <f t="shared" si="12"/>
        <v>0.51946308724832213</v>
      </c>
      <c r="K134" s="16">
        <f t="shared" si="13"/>
        <v>0.49404761904761907</v>
      </c>
      <c r="L134" s="18">
        <f t="shared" si="14"/>
        <v>2.5415468200703062</v>
      </c>
    </row>
    <row r="135" spans="1:12" x14ac:dyDescent="0.2">
      <c r="A135" t="s">
        <v>95</v>
      </c>
      <c r="B135" t="s">
        <v>177</v>
      </c>
      <c r="C135" t="s">
        <v>183</v>
      </c>
      <c r="D135" s="17">
        <v>791</v>
      </c>
      <c r="E135" s="17">
        <v>691</v>
      </c>
      <c r="F135" s="17">
        <f t="shared" si="10"/>
        <v>100</v>
      </c>
      <c r="G135" s="17">
        <v>602</v>
      </c>
      <c r="H135" s="17">
        <v>509</v>
      </c>
      <c r="I135" s="17">
        <f t="shared" si="11"/>
        <v>93</v>
      </c>
      <c r="J135" s="16">
        <f t="shared" si="12"/>
        <v>0.56783919597989951</v>
      </c>
      <c r="K135" s="16">
        <f t="shared" si="13"/>
        <v>0.57583333333333331</v>
      </c>
      <c r="L135" s="18">
        <f t="shared" si="14"/>
        <v>-0.79941373534337945</v>
      </c>
    </row>
    <row r="136" spans="1:12" x14ac:dyDescent="0.2">
      <c r="A136" t="s">
        <v>95</v>
      </c>
      <c r="B136" t="s">
        <v>184</v>
      </c>
      <c r="C136" t="s">
        <v>185</v>
      </c>
      <c r="D136" s="17">
        <v>597</v>
      </c>
      <c r="E136" s="17">
        <v>579</v>
      </c>
      <c r="F136" s="17">
        <f t="shared" si="10"/>
        <v>18</v>
      </c>
      <c r="G136" s="17">
        <v>253</v>
      </c>
      <c r="H136" s="17">
        <v>292</v>
      </c>
      <c r="I136" s="17">
        <f t="shared" si="11"/>
        <v>-39</v>
      </c>
      <c r="J136" s="16">
        <f t="shared" si="12"/>
        <v>0.70235294117647062</v>
      </c>
      <c r="K136" s="16">
        <f t="shared" si="13"/>
        <v>0.66475315729047069</v>
      </c>
      <c r="L136" s="18">
        <f t="shared" si="14"/>
        <v>3.7599783885999938</v>
      </c>
    </row>
    <row r="137" spans="1:12" x14ac:dyDescent="0.2">
      <c r="A137" t="s">
        <v>95</v>
      </c>
      <c r="B137" t="s">
        <v>184</v>
      </c>
      <c r="C137" t="s">
        <v>186</v>
      </c>
      <c r="D137" s="17">
        <v>425</v>
      </c>
      <c r="E137" s="17">
        <v>440</v>
      </c>
      <c r="F137" s="17">
        <f t="shared" si="10"/>
        <v>-15</v>
      </c>
      <c r="G137" s="17">
        <v>246</v>
      </c>
      <c r="H137" s="17">
        <v>262</v>
      </c>
      <c r="I137" s="17">
        <f t="shared" si="11"/>
        <v>-16</v>
      </c>
      <c r="J137" s="16">
        <f t="shared" si="12"/>
        <v>0.63338301043219081</v>
      </c>
      <c r="K137" s="16">
        <f t="shared" si="13"/>
        <v>0.62678062678062674</v>
      </c>
      <c r="L137" s="18">
        <f t="shared" si="14"/>
        <v>0.66023836515640699</v>
      </c>
    </row>
    <row r="138" spans="1:12" x14ac:dyDescent="0.2">
      <c r="A138" t="s">
        <v>95</v>
      </c>
      <c r="B138" t="s">
        <v>184</v>
      </c>
      <c r="C138" t="s">
        <v>187</v>
      </c>
      <c r="D138" s="17">
        <v>453</v>
      </c>
      <c r="E138" s="17">
        <v>414</v>
      </c>
      <c r="F138" s="17">
        <f t="shared" si="10"/>
        <v>39</v>
      </c>
      <c r="G138" s="17">
        <v>223</v>
      </c>
      <c r="H138" s="17">
        <v>239</v>
      </c>
      <c r="I138" s="17">
        <f t="shared" si="11"/>
        <v>-16</v>
      </c>
      <c r="J138" s="16">
        <f t="shared" si="12"/>
        <v>0.67011834319526631</v>
      </c>
      <c r="K138" s="16">
        <f t="shared" si="13"/>
        <v>0.63399693721286365</v>
      </c>
      <c r="L138" s="18">
        <f t="shared" si="14"/>
        <v>3.6121405982402655</v>
      </c>
    </row>
    <row r="139" spans="1:12" x14ac:dyDescent="0.2">
      <c r="A139" t="s">
        <v>95</v>
      </c>
      <c r="B139" t="s">
        <v>188</v>
      </c>
      <c r="C139" t="s">
        <v>188</v>
      </c>
      <c r="D139" s="17">
        <v>456</v>
      </c>
      <c r="E139" s="17">
        <v>379</v>
      </c>
      <c r="F139" s="17">
        <f t="shared" si="10"/>
        <v>77</v>
      </c>
      <c r="G139" s="17">
        <v>329</v>
      </c>
      <c r="H139" s="17">
        <v>330</v>
      </c>
      <c r="I139" s="17">
        <f t="shared" si="11"/>
        <v>-1</v>
      </c>
      <c r="J139" s="16">
        <f t="shared" si="12"/>
        <v>0.58089171974522291</v>
      </c>
      <c r="K139" s="16">
        <f t="shared" si="13"/>
        <v>0.5345557122708039</v>
      </c>
      <c r="L139" s="18">
        <f t="shared" si="14"/>
        <v>4.6336007474419016</v>
      </c>
    </row>
    <row r="140" spans="1:12" x14ac:dyDescent="0.2">
      <c r="A140" t="s">
        <v>95</v>
      </c>
      <c r="B140" t="s">
        <v>189</v>
      </c>
      <c r="C140" t="s">
        <v>189</v>
      </c>
      <c r="D140" s="17">
        <v>690</v>
      </c>
      <c r="E140" s="17">
        <v>654</v>
      </c>
      <c r="F140" s="17">
        <f t="shared" si="10"/>
        <v>36</v>
      </c>
      <c r="G140" s="17">
        <v>1623</v>
      </c>
      <c r="H140" s="17">
        <v>1439</v>
      </c>
      <c r="I140" s="17">
        <f t="shared" si="11"/>
        <v>184</v>
      </c>
      <c r="J140" s="16">
        <f t="shared" si="12"/>
        <v>0.29831387808041504</v>
      </c>
      <c r="K140" s="16">
        <f t="shared" si="13"/>
        <v>0.3124701385570951</v>
      </c>
      <c r="L140" s="18">
        <f t="shared" si="14"/>
        <v>-1.415626047668006</v>
      </c>
    </row>
    <row r="141" spans="1:12" x14ac:dyDescent="0.2">
      <c r="A141" t="s">
        <v>95</v>
      </c>
      <c r="B141" t="s">
        <v>190</v>
      </c>
      <c r="C141" t="s">
        <v>191</v>
      </c>
      <c r="D141" s="17">
        <v>1033</v>
      </c>
      <c r="E141" s="17">
        <v>928</v>
      </c>
      <c r="F141" s="17">
        <f t="shared" si="10"/>
        <v>105</v>
      </c>
      <c r="G141" s="17">
        <v>1089</v>
      </c>
      <c r="H141" s="17">
        <v>988</v>
      </c>
      <c r="I141" s="17">
        <f t="shared" si="11"/>
        <v>101</v>
      </c>
      <c r="J141" s="16">
        <f t="shared" si="12"/>
        <v>0.48680490103675778</v>
      </c>
      <c r="K141" s="16">
        <f t="shared" si="13"/>
        <v>0.48434237995824636</v>
      </c>
      <c r="L141" s="18">
        <f t="shared" si="14"/>
        <v>0.24625210785114149</v>
      </c>
    </row>
    <row r="142" spans="1:12" x14ac:dyDescent="0.2">
      <c r="A142" t="s">
        <v>95</v>
      </c>
      <c r="B142" t="s">
        <v>190</v>
      </c>
      <c r="C142" t="s">
        <v>192</v>
      </c>
      <c r="D142" s="17">
        <v>1301</v>
      </c>
      <c r="E142" s="17">
        <v>1082</v>
      </c>
      <c r="F142" s="17">
        <f t="shared" si="10"/>
        <v>219</v>
      </c>
      <c r="G142" s="17">
        <v>1268</v>
      </c>
      <c r="H142" s="17">
        <v>1101</v>
      </c>
      <c r="I142" s="17">
        <f t="shared" si="11"/>
        <v>167</v>
      </c>
      <c r="J142" s="16">
        <f t="shared" si="12"/>
        <v>0.50642273258077075</v>
      </c>
      <c r="K142" s="16">
        <f t="shared" si="13"/>
        <v>0.49564819056344478</v>
      </c>
      <c r="L142" s="18">
        <f t="shared" si="14"/>
        <v>1.0774542017325972</v>
      </c>
    </row>
    <row r="143" spans="1:12" x14ac:dyDescent="0.2">
      <c r="A143" t="s">
        <v>95</v>
      </c>
      <c r="B143" t="s">
        <v>190</v>
      </c>
      <c r="C143" t="s">
        <v>193</v>
      </c>
      <c r="D143" s="17">
        <v>2130</v>
      </c>
      <c r="E143" s="17">
        <v>1799</v>
      </c>
      <c r="F143" s="17">
        <f t="shared" si="10"/>
        <v>331</v>
      </c>
      <c r="G143" s="17">
        <v>2183</v>
      </c>
      <c r="H143" s="17">
        <v>1810</v>
      </c>
      <c r="I143" s="17">
        <f t="shared" si="11"/>
        <v>373</v>
      </c>
      <c r="J143" s="16">
        <f t="shared" si="12"/>
        <v>0.49385578483654069</v>
      </c>
      <c r="K143" s="16">
        <f t="shared" si="13"/>
        <v>0.49847603214186753</v>
      </c>
      <c r="L143" s="18">
        <f t="shared" si="14"/>
        <v>-0.46202473053268411</v>
      </c>
    </row>
    <row r="144" spans="1:12" x14ac:dyDescent="0.2">
      <c r="A144" t="s">
        <v>95</v>
      </c>
      <c r="B144" t="s">
        <v>190</v>
      </c>
      <c r="C144" t="s">
        <v>194</v>
      </c>
      <c r="D144" s="17">
        <v>1019</v>
      </c>
      <c r="E144" s="17">
        <v>906</v>
      </c>
      <c r="F144" s="17">
        <f t="shared" si="10"/>
        <v>113</v>
      </c>
      <c r="G144" s="17">
        <v>1014</v>
      </c>
      <c r="H144" s="17">
        <v>980</v>
      </c>
      <c r="I144" s="17">
        <f t="shared" si="11"/>
        <v>34</v>
      </c>
      <c r="J144" s="16">
        <f t="shared" si="12"/>
        <v>0.50122970978848991</v>
      </c>
      <c r="K144" s="16">
        <f t="shared" si="13"/>
        <v>0.48038176033934255</v>
      </c>
      <c r="L144" s="18">
        <f t="shared" si="14"/>
        <v>2.0847949449147363</v>
      </c>
    </row>
    <row r="145" spans="1:12" x14ac:dyDescent="0.2">
      <c r="A145" t="s">
        <v>95</v>
      </c>
      <c r="B145" t="s">
        <v>190</v>
      </c>
      <c r="C145" t="s">
        <v>195</v>
      </c>
      <c r="D145" s="17">
        <v>993</v>
      </c>
      <c r="E145" s="17">
        <v>852</v>
      </c>
      <c r="F145" s="17">
        <f t="shared" si="10"/>
        <v>141</v>
      </c>
      <c r="G145" s="17">
        <v>1031</v>
      </c>
      <c r="H145" s="17">
        <v>912</v>
      </c>
      <c r="I145" s="17">
        <f t="shared" si="11"/>
        <v>119</v>
      </c>
      <c r="J145" s="16">
        <f t="shared" si="12"/>
        <v>0.49061264822134387</v>
      </c>
      <c r="K145" s="16">
        <f t="shared" si="13"/>
        <v>0.48299319727891155</v>
      </c>
      <c r="L145" s="18">
        <f t="shared" si="14"/>
        <v>0.76194509424323265</v>
      </c>
    </row>
    <row r="146" spans="1:12" x14ac:dyDescent="0.2">
      <c r="A146" t="s">
        <v>95</v>
      </c>
      <c r="B146" t="s">
        <v>190</v>
      </c>
      <c r="C146" t="s">
        <v>196</v>
      </c>
      <c r="D146" s="17">
        <v>772</v>
      </c>
      <c r="E146" s="17">
        <v>715</v>
      </c>
      <c r="F146" s="17">
        <f t="shared" si="10"/>
        <v>57</v>
      </c>
      <c r="G146" s="17">
        <v>799</v>
      </c>
      <c r="H146" s="17">
        <v>677</v>
      </c>
      <c r="I146" s="17">
        <f t="shared" si="11"/>
        <v>122</v>
      </c>
      <c r="J146" s="16">
        <f t="shared" si="12"/>
        <v>0.49140674729471673</v>
      </c>
      <c r="K146" s="16">
        <f t="shared" si="13"/>
        <v>0.51364942528735635</v>
      </c>
      <c r="L146" s="18">
        <f t="shared" si="14"/>
        <v>-2.2242677992639628</v>
      </c>
    </row>
    <row r="147" spans="1:12" x14ac:dyDescent="0.2">
      <c r="A147" t="s">
        <v>95</v>
      </c>
      <c r="B147" t="s">
        <v>190</v>
      </c>
      <c r="C147" t="s">
        <v>197</v>
      </c>
      <c r="D147" s="17">
        <v>1717</v>
      </c>
      <c r="E147" s="17">
        <v>1480</v>
      </c>
      <c r="F147" s="17">
        <f t="shared" si="10"/>
        <v>237</v>
      </c>
      <c r="G147" s="17">
        <v>1624</v>
      </c>
      <c r="H147" s="17">
        <v>1588</v>
      </c>
      <c r="I147" s="17">
        <f t="shared" si="11"/>
        <v>36</v>
      </c>
      <c r="J147" s="16">
        <f t="shared" si="12"/>
        <v>0.51391798862615978</v>
      </c>
      <c r="K147" s="16">
        <f t="shared" si="13"/>
        <v>0.48239895697522817</v>
      </c>
      <c r="L147" s="18">
        <f t="shared" si="14"/>
        <v>3.1519031650931617</v>
      </c>
    </row>
    <row r="148" spans="1:12" x14ac:dyDescent="0.2">
      <c r="A148" t="s">
        <v>95</v>
      </c>
      <c r="B148" t="s">
        <v>190</v>
      </c>
      <c r="C148" t="s">
        <v>198</v>
      </c>
      <c r="D148" s="17">
        <v>1052</v>
      </c>
      <c r="E148" s="17">
        <v>890</v>
      </c>
      <c r="F148" s="17">
        <f t="shared" si="10"/>
        <v>162</v>
      </c>
      <c r="G148" s="17">
        <v>908</v>
      </c>
      <c r="H148" s="17">
        <v>789</v>
      </c>
      <c r="I148" s="17">
        <f t="shared" si="11"/>
        <v>119</v>
      </c>
      <c r="J148" s="16">
        <f t="shared" si="12"/>
        <v>0.53673469387755102</v>
      </c>
      <c r="K148" s="16">
        <f t="shared" si="13"/>
        <v>0.53007742703990468</v>
      </c>
      <c r="L148" s="18">
        <f t="shared" si="14"/>
        <v>0.66572668376463362</v>
      </c>
    </row>
    <row r="149" spans="1:12" x14ac:dyDescent="0.2">
      <c r="A149" t="s">
        <v>95</v>
      </c>
      <c r="B149" t="s">
        <v>190</v>
      </c>
      <c r="C149" t="s">
        <v>199</v>
      </c>
      <c r="D149" s="17">
        <v>862</v>
      </c>
      <c r="E149" s="17">
        <v>817</v>
      </c>
      <c r="F149" s="17">
        <f t="shared" si="10"/>
        <v>45</v>
      </c>
      <c r="G149" s="17">
        <v>817</v>
      </c>
      <c r="H149" s="17">
        <v>798</v>
      </c>
      <c r="I149" s="17">
        <f t="shared" si="11"/>
        <v>19</v>
      </c>
      <c r="J149" s="16">
        <f t="shared" si="12"/>
        <v>0.51340083382966051</v>
      </c>
      <c r="K149" s="16">
        <f t="shared" si="13"/>
        <v>0.50588235294117645</v>
      </c>
      <c r="L149" s="18">
        <f t="shared" si="14"/>
        <v>0.75184808884840582</v>
      </c>
    </row>
    <row r="150" spans="1:12" x14ac:dyDescent="0.2">
      <c r="A150" t="s">
        <v>95</v>
      </c>
      <c r="B150" t="s">
        <v>190</v>
      </c>
      <c r="C150" t="s">
        <v>200</v>
      </c>
      <c r="D150" s="17">
        <v>704</v>
      </c>
      <c r="E150" s="17">
        <v>552</v>
      </c>
      <c r="F150" s="17">
        <f t="shared" si="10"/>
        <v>152</v>
      </c>
      <c r="G150" s="17">
        <v>628</v>
      </c>
      <c r="H150" s="17">
        <v>556</v>
      </c>
      <c r="I150" s="17">
        <f t="shared" si="11"/>
        <v>72</v>
      </c>
      <c r="J150" s="16">
        <f t="shared" si="12"/>
        <v>0.5285285285285285</v>
      </c>
      <c r="K150" s="16">
        <f t="shared" si="13"/>
        <v>0.49819494584837543</v>
      </c>
      <c r="L150" s="18">
        <f t="shared" si="14"/>
        <v>3.0333582680153071</v>
      </c>
    </row>
    <row r="151" spans="1:12" x14ac:dyDescent="0.2">
      <c r="A151" t="s">
        <v>95</v>
      </c>
      <c r="B151" t="s">
        <v>201</v>
      </c>
      <c r="C151" t="s">
        <v>201</v>
      </c>
      <c r="D151" s="17">
        <v>1101</v>
      </c>
      <c r="E151" s="17">
        <v>985</v>
      </c>
      <c r="F151" s="17">
        <f t="shared" si="10"/>
        <v>116</v>
      </c>
      <c r="G151" s="17">
        <v>1924</v>
      </c>
      <c r="H151" s="17">
        <v>1586</v>
      </c>
      <c r="I151" s="17">
        <f t="shared" si="11"/>
        <v>338</v>
      </c>
      <c r="J151" s="16">
        <f t="shared" si="12"/>
        <v>0.36396694214876035</v>
      </c>
      <c r="K151" s="16">
        <f t="shared" si="13"/>
        <v>0.38311940879035394</v>
      </c>
      <c r="L151" s="18">
        <f t="shared" si="14"/>
        <v>-1.9152466641593591</v>
      </c>
    </row>
    <row r="152" spans="1:12" x14ac:dyDescent="0.2">
      <c r="A152" t="s">
        <v>95</v>
      </c>
      <c r="B152" t="s">
        <v>202</v>
      </c>
      <c r="C152" t="s">
        <v>202</v>
      </c>
      <c r="D152" s="17">
        <v>604</v>
      </c>
      <c r="E152" s="17">
        <v>543</v>
      </c>
      <c r="F152" s="17">
        <f t="shared" si="10"/>
        <v>61</v>
      </c>
      <c r="G152" s="17">
        <v>1143</v>
      </c>
      <c r="H152" s="17">
        <v>990</v>
      </c>
      <c r="I152" s="17">
        <f t="shared" si="11"/>
        <v>153</v>
      </c>
      <c r="J152" s="16">
        <f t="shared" si="12"/>
        <v>0.34573554665140238</v>
      </c>
      <c r="K152" s="16">
        <f t="shared" si="13"/>
        <v>0.3542074363992172</v>
      </c>
      <c r="L152" s="18">
        <f t="shared" si="14"/>
        <v>-0.84718897478148203</v>
      </c>
    </row>
    <row r="153" spans="1:12" x14ac:dyDescent="0.2">
      <c r="A153" t="s">
        <v>95</v>
      </c>
      <c r="B153" t="s">
        <v>203</v>
      </c>
      <c r="C153" t="s">
        <v>204</v>
      </c>
      <c r="D153" s="17">
        <v>207</v>
      </c>
      <c r="E153" s="17">
        <v>181</v>
      </c>
      <c r="F153" s="17">
        <f t="shared" si="10"/>
        <v>26</v>
      </c>
      <c r="G153" s="17">
        <v>527</v>
      </c>
      <c r="H153" s="17">
        <v>482</v>
      </c>
      <c r="I153" s="17">
        <f t="shared" si="11"/>
        <v>45</v>
      </c>
      <c r="J153" s="16">
        <f t="shared" si="12"/>
        <v>0.28201634877384196</v>
      </c>
      <c r="K153" s="16">
        <f t="shared" si="13"/>
        <v>0.27300150829562592</v>
      </c>
      <c r="L153" s="18">
        <f t="shared" si="14"/>
        <v>0.90148404782160463</v>
      </c>
    </row>
    <row r="154" spans="1:12" x14ac:dyDescent="0.2">
      <c r="A154" t="s">
        <v>95</v>
      </c>
      <c r="B154" t="s">
        <v>203</v>
      </c>
      <c r="C154" t="s">
        <v>205</v>
      </c>
      <c r="D154" s="17">
        <v>165</v>
      </c>
      <c r="E154" s="17">
        <v>147</v>
      </c>
      <c r="F154" s="17">
        <f t="shared" si="10"/>
        <v>18</v>
      </c>
      <c r="G154" s="17">
        <v>376</v>
      </c>
      <c r="H154" s="17">
        <v>314</v>
      </c>
      <c r="I154" s="17">
        <f t="shared" si="11"/>
        <v>62</v>
      </c>
      <c r="J154" s="16">
        <f t="shared" si="12"/>
        <v>0.30499075785582253</v>
      </c>
      <c r="K154" s="16">
        <f t="shared" si="13"/>
        <v>0.31887201735357917</v>
      </c>
      <c r="L154" s="18">
        <f t="shared" si="14"/>
        <v>-1.3881259497756648</v>
      </c>
    </row>
    <row r="155" spans="1:12" x14ac:dyDescent="0.2">
      <c r="A155" t="s">
        <v>95</v>
      </c>
      <c r="B155" t="s">
        <v>203</v>
      </c>
      <c r="C155" t="s">
        <v>206</v>
      </c>
      <c r="D155" s="17">
        <v>614</v>
      </c>
      <c r="E155" s="17">
        <v>522</v>
      </c>
      <c r="F155" s="17">
        <f t="shared" si="10"/>
        <v>92</v>
      </c>
      <c r="G155" s="17">
        <v>1210</v>
      </c>
      <c r="H155" s="17">
        <v>1060</v>
      </c>
      <c r="I155" s="17">
        <f t="shared" si="11"/>
        <v>150</v>
      </c>
      <c r="J155" s="16">
        <f t="shared" si="12"/>
        <v>0.33662280701754388</v>
      </c>
      <c r="K155" s="16">
        <f t="shared" si="13"/>
        <v>0.32996207332490518</v>
      </c>
      <c r="L155" s="18">
        <f t="shared" si="14"/>
        <v>0.66607336926386984</v>
      </c>
    </row>
    <row r="156" spans="1:12" x14ac:dyDescent="0.2">
      <c r="A156" t="s">
        <v>95</v>
      </c>
      <c r="B156" t="s">
        <v>207</v>
      </c>
      <c r="C156" t="s">
        <v>207</v>
      </c>
      <c r="D156" s="17">
        <v>1133</v>
      </c>
      <c r="E156" s="17">
        <v>980</v>
      </c>
      <c r="F156" s="17">
        <f t="shared" si="10"/>
        <v>153</v>
      </c>
      <c r="G156" s="17">
        <v>1017</v>
      </c>
      <c r="H156" s="17">
        <v>872</v>
      </c>
      <c r="I156" s="17">
        <f t="shared" si="11"/>
        <v>145</v>
      </c>
      <c r="J156" s="16">
        <f t="shared" si="12"/>
        <v>0.52697674418604656</v>
      </c>
      <c r="K156" s="16">
        <f t="shared" si="13"/>
        <v>0.52915766738660908</v>
      </c>
      <c r="L156" s="18">
        <f t="shared" si="14"/>
        <v>-0.21809232005625123</v>
      </c>
    </row>
    <row r="157" spans="1:12" x14ac:dyDescent="0.2">
      <c r="A157" t="s">
        <v>95</v>
      </c>
      <c r="B157" t="s">
        <v>208</v>
      </c>
      <c r="C157" t="s">
        <v>209</v>
      </c>
      <c r="D157" s="17">
        <v>1087</v>
      </c>
      <c r="E157" s="17">
        <v>1010</v>
      </c>
      <c r="F157" s="17">
        <f t="shared" si="10"/>
        <v>77</v>
      </c>
      <c r="G157" s="17">
        <v>1603</v>
      </c>
      <c r="H157" s="17">
        <v>1334</v>
      </c>
      <c r="I157" s="17">
        <f t="shared" si="11"/>
        <v>269</v>
      </c>
      <c r="J157" s="16">
        <f t="shared" si="12"/>
        <v>0.40408921933085501</v>
      </c>
      <c r="K157" s="16">
        <f t="shared" si="13"/>
        <v>0.4308873720136519</v>
      </c>
      <c r="L157" s="18">
        <f t="shared" si="14"/>
        <v>-2.6798152682796896</v>
      </c>
    </row>
    <row r="158" spans="1:12" x14ac:dyDescent="0.2">
      <c r="A158" t="s">
        <v>95</v>
      </c>
      <c r="B158" t="s">
        <v>208</v>
      </c>
      <c r="C158" t="s">
        <v>210</v>
      </c>
      <c r="D158" s="17">
        <v>1019</v>
      </c>
      <c r="E158" s="17">
        <v>860</v>
      </c>
      <c r="F158" s="17">
        <f t="shared" si="10"/>
        <v>159</v>
      </c>
      <c r="G158" s="17">
        <v>1605</v>
      </c>
      <c r="H158" s="17">
        <v>1332</v>
      </c>
      <c r="I158" s="17">
        <f t="shared" si="11"/>
        <v>273</v>
      </c>
      <c r="J158" s="16">
        <f t="shared" si="12"/>
        <v>0.38833841463414637</v>
      </c>
      <c r="K158" s="16">
        <f t="shared" si="13"/>
        <v>0.39233576642335766</v>
      </c>
      <c r="L158" s="18">
        <f t="shared" si="14"/>
        <v>-0.39973517892112898</v>
      </c>
    </row>
    <row r="159" spans="1:12" x14ac:dyDescent="0.2">
      <c r="A159" t="s">
        <v>95</v>
      </c>
      <c r="B159" t="s">
        <v>208</v>
      </c>
      <c r="C159" t="s">
        <v>211</v>
      </c>
      <c r="D159" s="17">
        <v>554</v>
      </c>
      <c r="E159" s="17">
        <v>449</v>
      </c>
      <c r="F159" s="17">
        <f t="shared" si="10"/>
        <v>105</v>
      </c>
      <c r="G159" s="17">
        <v>850</v>
      </c>
      <c r="H159" s="17">
        <v>705</v>
      </c>
      <c r="I159" s="17">
        <f t="shared" si="11"/>
        <v>145</v>
      </c>
      <c r="J159" s="16">
        <f t="shared" si="12"/>
        <v>0.39458689458689461</v>
      </c>
      <c r="K159" s="16">
        <f t="shared" si="13"/>
        <v>0.38908145580589254</v>
      </c>
      <c r="L159" s="18">
        <f t="shared" si="14"/>
        <v>0.550543878100207</v>
      </c>
    </row>
    <row r="160" spans="1:12" x14ac:dyDescent="0.2">
      <c r="A160" t="s">
        <v>95</v>
      </c>
      <c r="B160" t="s">
        <v>208</v>
      </c>
      <c r="C160" t="s">
        <v>212</v>
      </c>
      <c r="D160" s="17">
        <v>742</v>
      </c>
      <c r="E160" s="17">
        <v>654</v>
      </c>
      <c r="F160" s="17">
        <f t="shared" si="10"/>
        <v>88</v>
      </c>
      <c r="G160" s="17">
        <v>1146</v>
      </c>
      <c r="H160" s="17">
        <v>979</v>
      </c>
      <c r="I160" s="17">
        <f t="shared" si="11"/>
        <v>167</v>
      </c>
      <c r="J160" s="16">
        <f t="shared" si="12"/>
        <v>0.39300847457627119</v>
      </c>
      <c r="K160" s="16">
        <f t="shared" si="13"/>
        <v>0.40048989589712186</v>
      </c>
      <c r="L160" s="18">
        <f t="shared" si="14"/>
        <v>-0.74814213208506675</v>
      </c>
    </row>
    <row r="161" spans="1:12" x14ac:dyDescent="0.2">
      <c r="A161" t="s">
        <v>95</v>
      </c>
      <c r="B161" t="s">
        <v>208</v>
      </c>
      <c r="C161" t="s">
        <v>213</v>
      </c>
      <c r="D161" s="17">
        <v>627</v>
      </c>
      <c r="E161" s="17">
        <v>557</v>
      </c>
      <c r="F161" s="17">
        <f t="shared" si="10"/>
        <v>70</v>
      </c>
      <c r="G161" s="17">
        <v>1057</v>
      </c>
      <c r="H161" s="17">
        <v>890</v>
      </c>
      <c r="I161" s="17">
        <f t="shared" si="11"/>
        <v>167</v>
      </c>
      <c r="J161" s="16">
        <f t="shared" si="12"/>
        <v>0.37232779097387175</v>
      </c>
      <c r="K161" s="16">
        <f t="shared" si="13"/>
        <v>0.38493434692467171</v>
      </c>
      <c r="L161" s="18">
        <f t="shared" si="14"/>
        <v>-1.2606555950799958</v>
      </c>
    </row>
    <row r="162" spans="1:12" x14ac:dyDescent="0.2">
      <c r="A162" t="s">
        <v>95</v>
      </c>
      <c r="B162" t="s">
        <v>208</v>
      </c>
      <c r="C162" t="s">
        <v>214</v>
      </c>
      <c r="D162" s="17">
        <v>567</v>
      </c>
      <c r="E162" s="17">
        <v>492</v>
      </c>
      <c r="F162" s="17">
        <f t="shared" si="10"/>
        <v>75</v>
      </c>
      <c r="G162" s="17">
        <v>777</v>
      </c>
      <c r="H162" s="17">
        <v>675</v>
      </c>
      <c r="I162" s="17">
        <f t="shared" si="11"/>
        <v>102</v>
      </c>
      <c r="J162" s="16">
        <f t="shared" si="12"/>
        <v>0.421875</v>
      </c>
      <c r="K162" s="16">
        <f t="shared" si="13"/>
        <v>0.42159383033419023</v>
      </c>
      <c r="L162" s="18">
        <f t="shared" si="14"/>
        <v>2.8116966580976621E-2</v>
      </c>
    </row>
    <row r="163" spans="1:12" x14ac:dyDescent="0.2">
      <c r="A163" t="s">
        <v>95</v>
      </c>
      <c r="B163" t="s">
        <v>215</v>
      </c>
      <c r="C163" t="s">
        <v>216</v>
      </c>
      <c r="D163" s="17">
        <v>787</v>
      </c>
      <c r="E163" s="17">
        <v>668</v>
      </c>
      <c r="F163" s="17">
        <f t="shared" si="10"/>
        <v>119</v>
      </c>
      <c r="G163" s="17">
        <v>826</v>
      </c>
      <c r="H163" s="17">
        <v>693</v>
      </c>
      <c r="I163" s="17">
        <f t="shared" si="11"/>
        <v>133</v>
      </c>
      <c r="J163" s="16">
        <f t="shared" si="12"/>
        <v>0.48791072535647861</v>
      </c>
      <c r="K163" s="16">
        <f t="shared" si="13"/>
        <v>0.49081557678177812</v>
      </c>
      <c r="L163" s="18">
        <f t="shared" si="14"/>
        <v>-0.29048514252995039</v>
      </c>
    </row>
    <row r="164" spans="1:12" x14ac:dyDescent="0.2">
      <c r="A164" t="s">
        <v>95</v>
      </c>
      <c r="B164" t="s">
        <v>215</v>
      </c>
      <c r="C164" t="s">
        <v>217</v>
      </c>
      <c r="D164" s="17">
        <v>909</v>
      </c>
      <c r="E164" s="17">
        <v>803</v>
      </c>
      <c r="F164" s="17">
        <f t="shared" si="10"/>
        <v>106</v>
      </c>
      <c r="G164" s="17">
        <v>918</v>
      </c>
      <c r="H164" s="17">
        <v>818</v>
      </c>
      <c r="I164" s="17">
        <f t="shared" si="11"/>
        <v>100</v>
      </c>
      <c r="J164" s="16">
        <f t="shared" si="12"/>
        <v>0.49753694581280788</v>
      </c>
      <c r="K164" s="16">
        <f t="shared" si="13"/>
        <v>0.49537322640345466</v>
      </c>
      <c r="L164" s="18">
        <f t="shared" si="14"/>
        <v>0.21637194093532264</v>
      </c>
    </row>
    <row r="165" spans="1:12" x14ac:dyDescent="0.2">
      <c r="A165" t="s">
        <v>95</v>
      </c>
      <c r="B165" t="s">
        <v>215</v>
      </c>
      <c r="C165" t="s">
        <v>218</v>
      </c>
      <c r="D165" s="17">
        <v>436</v>
      </c>
      <c r="E165" s="17">
        <v>342</v>
      </c>
      <c r="F165" s="17">
        <f t="shared" si="10"/>
        <v>94</v>
      </c>
      <c r="G165" s="17">
        <v>404</v>
      </c>
      <c r="H165" s="17">
        <v>358</v>
      </c>
      <c r="I165" s="17">
        <f t="shared" si="11"/>
        <v>46</v>
      </c>
      <c r="J165" s="16">
        <f t="shared" si="12"/>
        <v>0.51904761904761909</v>
      </c>
      <c r="K165" s="16">
        <f t="shared" si="13"/>
        <v>0.48857142857142855</v>
      </c>
      <c r="L165" s="18">
        <f t="shared" si="14"/>
        <v>3.0476190476190546</v>
      </c>
    </row>
    <row r="166" spans="1:12" x14ac:dyDescent="0.2">
      <c r="A166" t="s">
        <v>95</v>
      </c>
      <c r="B166" t="s">
        <v>215</v>
      </c>
      <c r="C166" t="s">
        <v>219</v>
      </c>
      <c r="D166" s="17">
        <v>458</v>
      </c>
      <c r="E166" s="17">
        <v>411</v>
      </c>
      <c r="F166" s="17">
        <f t="shared" si="10"/>
        <v>47</v>
      </c>
      <c r="G166" s="17">
        <v>447</v>
      </c>
      <c r="H166" s="17">
        <v>417</v>
      </c>
      <c r="I166" s="17">
        <f t="shared" si="11"/>
        <v>30</v>
      </c>
      <c r="J166" s="16">
        <f t="shared" si="12"/>
        <v>0.50607734806629834</v>
      </c>
      <c r="K166" s="16">
        <f t="shared" si="13"/>
        <v>0.49637681159420288</v>
      </c>
      <c r="L166" s="18">
        <f t="shared" si="14"/>
        <v>0.97005364720954557</v>
      </c>
    </row>
    <row r="167" spans="1:12" x14ac:dyDescent="0.2">
      <c r="A167" t="s">
        <v>95</v>
      </c>
      <c r="B167" t="s">
        <v>215</v>
      </c>
      <c r="C167" t="s">
        <v>220</v>
      </c>
      <c r="D167" s="17">
        <v>609</v>
      </c>
      <c r="E167" s="17">
        <v>525</v>
      </c>
      <c r="F167" s="17">
        <f t="shared" si="10"/>
        <v>84</v>
      </c>
      <c r="G167" s="17">
        <v>652</v>
      </c>
      <c r="H167" s="17">
        <v>552</v>
      </c>
      <c r="I167" s="17">
        <f t="shared" si="11"/>
        <v>100</v>
      </c>
      <c r="J167" s="16">
        <f t="shared" si="12"/>
        <v>0.48295003965107058</v>
      </c>
      <c r="K167" s="16">
        <f t="shared" si="13"/>
        <v>0.48746518105849584</v>
      </c>
      <c r="L167" s="18">
        <f t="shared" si="14"/>
        <v>-0.45151414074252605</v>
      </c>
    </row>
    <row r="168" spans="1:12" x14ac:dyDescent="0.2">
      <c r="A168" t="s">
        <v>95</v>
      </c>
      <c r="B168" t="s">
        <v>215</v>
      </c>
      <c r="C168" t="s">
        <v>221</v>
      </c>
      <c r="D168" s="17">
        <v>358</v>
      </c>
      <c r="E168" s="17">
        <v>313</v>
      </c>
      <c r="F168" s="17">
        <f t="shared" si="10"/>
        <v>45</v>
      </c>
      <c r="G168" s="17">
        <v>396</v>
      </c>
      <c r="H168" s="17">
        <v>360</v>
      </c>
      <c r="I168" s="17">
        <f t="shared" si="11"/>
        <v>36</v>
      </c>
      <c r="J168" s="16">
        <f t="shared" si="12"/>
        <v>0.47480106100795755</v>
      </c>
      <c r="K168" s="16">
        <f t="shared" si="13"/>
        <v>0.46508172362555722</v>
      </c>
      <c r="L168" s="18">
        <f t="shared" si="14"/>
        <v>0.97193373824003282</v>
      </c>
    </row>
    <row r="169" spans="1:12" x14ac:dyDescent="0.2">
      <c r="A169" t="s">
        <v>95</v>
      </c>
      <c r="B169" t="s">
        <v>215</v>
      </c>
      <c r="C169" t="s">
        <v>222</v>
      </c>
      <c r="D169" s="17">
        <v>463</v>
      </c>
      <c r="E169" s="17">
        <v>415</v>
      </c>
      <c r="F169" s="17">
        <f t="shared" si="10"/>
        <v>48</v>
      </c>
      <c r="G169" s="17">
        <v>426</v>
      </c>
      <c r="H169" s="17">
        <v>371</v>
      </c>
      <c r="I169" s="17">
        <f t="shared" si="11"/>
        <v>55</v>
      </c>
      <c r="J169" s="16">
        <f t="shared" si="12"/>
        <v>0.52080989876265471</v>
      </c>
      <c r="K169" s="16">
        <f t="shared" si="13"/>
        <v>0.52798982188295163</v>
      </c>
      <c r="L169" s="18">
        <f t="shared" si="14"/>
        <v>-0.7179923120296916</v>
      </c>
    </row>
    <row r="170" spans="1:12" x14ac:dyDescent="0.2">
      <c r="A170" t="s">
        <v>95</v>
      </c>
      <c r="B170" t="s">
        <v>215</v>
      </c>
      <c r="C170" t="s">
        <v>223</v>
      </c>
      <c r="D170" s="17">
        <v>651</v>
      </c>
      <c r="E170" s="17">
        <v>533</v>
      </c>
      <c r="F170" s="17">
        <f t="shared" si="10"/>
        <v>118</v>
      </c>
      <c r="G170" s="17">
        <v>626</v>
      </c>
      <c r="H170" s="17">
        <v>535</v>
      </c>
      <c r="I170" s="17">
        <f t="shared" si="11"/>
        <v>91</v>
      </c>
      <c r="J170" s="16">
        <f t="shared" si="12"/>
        <v>0.50978856695379793</v>
      </c>
      <c r="K170" s="16">
        <f t="shared" si="13"/>
        <v>0.49906367041198502</v>
      </c>
      <c r="L170" s="18">
        <f t="shared" si="14"/>
        <v>1.0724896541812912</v>
      </c>
    </row>
    <row r="171" spans="1:12" x14ac:dyDescent="0.2">
      <c r="A171" t="s">
        <v>95</v>
      </c>
      <c r="B171" t="s">
        <v>224</v>
      </c>
      <c r="C171" t="s">
        <v>225</v>
      </c>
      <c r="D171" s="17">
        <v>290</v>
      </c>
      <c r="E171" s="17">
        <v>242</v>
      </c>
      <c r="F171" s="17">
        <f t="shared" si="10"/>
        <v>48</v>
      </c>
      <c r="G171" s="17">
        <v>350</v>
      </c>
      <c r="H171" s="17">
        <v>337</v>
      </c>
      <c r="I171" s="17">
        <f t="shared" si="11"/>
        <v>13</v>
      </c>
      <c r="J171" s="16">
        <f t="shared" si="12"/>
        <v>0.453125</v>
      </c>
      <c r="K171" s="16">
        <f t="shared" si="13"/>
        <v>0.41796200345423146</v>
      </c>
      <c r="L171" s="18">
        <f t="shared" si="14"/>
        <v>3.5162996545768541</v>
      </c>
    </row>
    <row r="172" spans="1:12" x14ac:dyDescent="0.2">
      <c r="A172" t="s">
        <v>95</v>
      </c>
      <c r="B172" t="s">
        <v>224</v>
      </c>
      <c r="C172" t="s">
        <v>226</v>
      </c>
      <c r="D172" s="17">
        <v>223</v>
      </c>
      <c r="E172" s="17">
        <v>187</v>
      </c>
      <c r="F172" s="17">
        <f t="shared" si="10"/>
        <v>36</v>
      </c>
      <c r="G172" s="17">
        <v>315</v>
      </c>
      <c r="H172" s="17">
        <v>292</v>
      </c>
      <c r="I172" s="17">
        <f t="shared" si="11"/>
        <v>23</v>
      </c>
      <c r="J172" s="16">
        <f t="shared" si="12"/>
        <v>0.41449814126394052</v>
      </c>
      <c r="K172" s="16">
        <f t="shared" si="13"/>
        <v>0.39039665970772441</v>
      </c>
      <c r="L172" s="18">
        <f t="shared" si="14"/>
        <v>2.4101481556216111</v>
      </c>
    </row>
    <row r="173" spans="1:12" x14ac:dyDescent="0.2">
      <c r="A173" t="s">
        <v>95</v>
      </c>
      <c r="B173" t="s">
        <v>224</v>
      </c>
      <c r="C173" t="s">
        <v>227</v>
      </c>
      <c r="D173" s="17">
        <v>422</v>
      </c>
      <c r="E173" s="17">
        <v>371</v>
      </c>
      <c r="F173" s="17">
        <f t="shared" si="10"/>
        <v>51</v>
      </c>
      <c r="G173" s="17">
        <v>597</v>
      </c>
      <c r="H173" s="17">
        <v>527</v>
      </c>
      <c r="I173" s="17">
        <f t="shared" si="11"/>
        <v>70</v>
      </c>
      <c r="J173" s="16">
        <f t="shared" si="12"/>
        <v>0.41413150147203143</v>
      </c>
      <c r="K173" s="16">
        <f t="shared" si="13"/>
        <v>0.4131403118040089</v>
      </c>
      <c r="L173" s="18">
        <f t="shared" si="14"/>
        <v>9.9118966802252961E-2</v>
      </c>
    </row>
    <row r="174" spans="1:12" x14ac:dyDescent="0.2">
      <c r="A174" t="s">
        <v>95</v>
      </c>
      <c r="B174" t="s">
        <v>228</v>
      </c>
      <c r="C174" t="s">
        <v>229</v>
      </c>
      <c r="D174" s="17">
        <v>1052</v>
      </c>
      <c r="E174" s="17">
        <v>912</v>
      </c>
      <c r="F174" s="17">
        <f t="shared" si="10"/>
        <v>140</v>
      </c>
      <c r="G174" s="17">
        <v>1022</v>
      </c>
      <c r="H174" s="17">
        <v>964</v>
      </c>
      <c r="I174" s="17">
        <f t="shared" si="11"/>
        <v>58</v>
      </c>
      <c r="J174" s="16">
        <f t="shared" si="12"/>
        <v>0.50723240115718415</v>
      </c>
      <c r="K174" s="16">
        <f t="shared" si="13"/>
        <v>0.48614072494669508</v>
      </c>
      <c r="L174" s="18">
        <f t="shared" si="14"/>
        <v>2.1091676210489076</v>
      </c>
    </row>
    <row r="175" spans="1:12" x14ac:dyDescent="0.2">
      <c r="A175" t="s">
        <v>95</v>
      </c>
      <c r="B175" t="s">
        <v>228</v>
      </c>
      <c r="C175" t="s">
        <v>230</v>
      </c>
      <c r="D175" s="17">
        <v>517</v>
      </c>
      <c r="E175" s="17">
        <v>449</v>
      </c>
      <c r="F175" s="17">
        <f t="shared" si="10"/>
        <v>68</v>
      </c>
      <c r="G175" s="17">
        <v>519</v>
      </c>
      <c r="H175" s="17">
        <v>448</v>
      </c>
      <c r="I175" s="17">
        <f t="shared" si="11"/>
        <v>71</v>
      </c>
      <c r="J175" s="16">
        <f t="shared" si="12"/>
        <v>0.49903474903474904</v>
      </c>
      <c r="K175" s="16">
        <f t="shared" si="13"/>
        <v>0.5005574136008919</v>
      </c>
      <c r="L175" s="18">
        <f t="shared" si="14"/>
        <v>-0.15226645661428617</v>
      </c>
    </row>
    <row r="176" spans="1:12" x14ac:dyDescent="0.2">
      <c r="A176" t="s">
        <v>95</v>
      </c>
      <c r="B176" t="s">
        <v>228</v>
      </c>
      <c r="C176" t="s">
        <v>231</v>
      </c>
      <c r="D176" s="17">
        <v>1333</v>
      </c>
      <c r="E176" s="17">
        <v>1161</v>
      </c>
      <c r="F176" s="17">
        <f t="shared" si="10"/>
        <v>172</v>
      </c>
      <c r="G176" s="17">
        <v>1010</v>
      </c>
      <c r="H176" s="17">
        <v>915</v>
      </c>
      <c r="I176" s="17">
        <f t="shared" si="11"/>
        <v>95</v>
      </c>
      <c r="J176" s="16">
        <f t="shared" si="12"/>
        <v>0.56892872385830129</v>
      </c>
      <c r="K176" s="16">
        <f t="shared" si="13"/>
        <v>0.55924855491329484</v>
      </c>
      <c r="L176" s="18">
        <f t="shared" si="14"/>
        <v>0.9680168945006451</v>
      </c>
    </row>
    <row r="177" spans="1:12" x14ac:dyDescent="0.2">
      <c r="A177" t="s">
        <v>95</v>
      </c>
      <c r="B177" t="s">
        <v>228</v>
      </c>
      <c r="C177" t="s">
        <v>232</v>
      </c>
      <c r="D177" s="17">
        <v>624</v>
      </c>
      <c r="E177" s="17">
        <v>534</v>
      </c>
      <c r="F177" s="17">
        <f t="shared" si="10"/>
        <v>90</v>
      </c>
      <c r="G177" s="17">
        <v>662</v>
      </c>
      <c r="H177" s="17">
        <v>577</v>
      </c>
      <c r="I177" s="17">
        <f t="shared" si="11"/>
        <v>85</v>
      </c>
      <c r="J177" s="16">
        <f t="shared" si="12"/>
        <v>0.48522550544323484</v>
      </c>
      <c r="K177" s="16">
        <f t="shared" si="13"/>
        <v>0.48064806480648065</v>
      </c>
      <c r="L177" s="18">
        <f t="shared" si="14"/>
        <v>0.45774406367541931</v>
      </c>
    </row>
    <row r="178" spans="1:12" x14ac:dyDescent="0.2">
      <c r="A178" t="s">
        <v>95</v>
      </c>
      <c r="B178" t="s">
        <v>228</v>
      </c>
      <c r="C178" t="s">
        <v>233</v>
      </c>
      <c r="D178" s="17">
        <v>1240</v>
      </c>
      <c r="E178" s="17">
        <v>1123</v>
      </c>
      <c r="F178" s="17">
        <f t="shared" si="10"/>
        <v>117</v>
      </c>
      <c r="G178" s="17">
        <v>834</v>
      </c>
      <c r="H178" s="17">
        <v>741</v>
      </c>
      <c r="I178" s="17">
        <f t="shared" si="11"/>
        <v>93</v>
      </c>
      <c r="J178" s="16">
        <f t="shared" si="12"/>
        <v>0.59787849566055928</v>
      </c>
      <c r="K178" s="16">
        <f t="shared" si="13"/>
        <v>0.60246781115879833</v>
      </c>
      <c r="L178" s="18">
        <f t="shared" si="14"/>
        <v>-0.45893154982390438</v>
      </c>
    </row>
    <row r="179" spans="1:12" x14ac:dyDescent="0.2">
      <c r="A179" t="s">
        <v>95</v>
      </c>
      <c r="B179" t="s">
        <v>228</v>
      </c>
      <c r="C179" t="s">
        <v>234</v>
      </c>
      <c r="D179" s="17">
        <v>1087</v>
      </c>
      <c r="E179" s="17">
        <v>1054</v>
      </c>
      <c r="F179" s="17">
        <f t="shared" si="10"/>
        <v>33</v>
      </c>
      <c r="G179" s="17">
        <v>724</v>
      </c>
      <c r="H179" s="17">
        <v>706</v>
      </c>
      <c r="I179" s="17">
        <f t="shared" si="11"/>
        <v>18</v>
      </c>
      <c r="J179" s="16">
        <f t="shared" si="12"/>
        <v>0.60022087244616229</v>
      </c>
      <c r="K179" s="16">
        <f t="shared" si="13"/>
        <v>0.59886363636363638</v>
      </c>
      <c r="L179" s="18">
        <f t="shared" si="14"/>
        <v>0.13572360825259144</v>
      </c>
    </row>
    <row r="180" spans="1:12" x14ac:dyDescent="0.2">
      <c r="A180" t="s">
        <v>95</v>
      </c>
      <c r="B180" t="s">
        <v>228</v>
      </c>
      <c r="C180" t="s">
        <v>235</v>
      </c>
      <c r="D180" s="17">
        <v>565</v>
      </c>
      <c r="E180" s="17">
        <v>469</v>
      </c>
      <c r="F180" s="17">
        <f t="shared" si="10"/>
        <v>96</v>
      </c>
      <c r="G180" s="17">
        <v>458</v>
      </c>
      <c r="H180" s="17">
        <v>468</v>
      </c>
      <c r="I180" s="17">
        <f t="shared" si="11"/>
        <v>-10</v>
      </c>
      <c r="J180" s="16">
        <f t="shared" si="12"/>
        <v>0.55229716520039096</v>
      </c>
      <c r="K180" s="16">
        <f t="shared" si="13"/>
        <v>0.50053361792956241</v>
      </c>
      <c r="L180" s="18">
        <f t="shared" si="14"/>
        <v>5.1763547270828543</v>
      </c>
    </row>
    <row r="181" spans="1:12" x14ac:dyDescent="0.2">
      <c r="A181" t="s">
        <v>95</v>
      </c>
      <c r="B181" t="s">
        <v>228</v>
      </c>
      <c r="C181" t="s">
        <v>236</v>
      </c>
      <c r="D181" s="17">
        <v>1394</v>
      </c>
      <c r="E181" s="17">
        <v>1317</v>
      </c>
      <c r="F181" s="17">
        <f t="shared" si="10"/>
        <v>77</v>
      </c>
      <c r="G181" s="17">
        <v>1339</v>
      </c>
      <c r="H181" s="17">
        <v>1291</v>
      </c>
      <c r="I181" s="17">
        <f t="shared" si="11"/>
        <v>48</v>
      </c>
      <c r="J181" s="16">
        <f t="shared" si="12"/>
        <v>0.51006220270764724</v>
      </c>
      <c r="K181" s="16">
        <f t="shared" si="13"/>
        <v>0.50498466257668717</v>
      </c>
      <c r="L181" s="18">
        <f t="shared" si="14"/>
        <v>0.50775401309600676</v>
      </c>
    </row>
    <row r="182" spans="1:12" x14ac:dyDescent="0.2">
      <c r="A182" t="s">
        <v>95</v>
      </c>
      <c r="B182" t="s">
        <v>237</v>
      </c>
      <c r="C182" t="s">
        <v>238</v>
      </c>
      <c r="D182" s="17">
        <v>1165</v>
      </c>
      <c r="E182" s="17">
        <v>992</v>
      </c>
      <c r="F182" s="17">
        <f t="shared" si="10"/>
        <v>173</v>
      </c>
      <c r="G182" s="17">
        <v>1106</v>
      </c>
      <c r="H182" s="17">
        <v>983</v>
      </c>
      <c r="I182" s="17">
        <f t="shared" si="11"/>
        <v>123</v>
      </c>
      <c r="J182" s="16">
        <f t="shared" si="12"/>
        <v>0.51298987230295023</v>
      </c>
      <c r="K182" s="16">
        <f t="shared" si="13"/>
        <v>0.50227848101265826</v>
      </c>
      <c r="L182" s="18">
        <f t="shared" si="14"/>
        <v>1.0711391290291972</v>
      </c>
    </row>
    <row r="183" spans="1:12" x14ac:dyDescent="0.2">
      <c r="A183" t="s">
        <v>95</v>
      </c>
      <c r="B183" t="s">
        <v>237</v>
      </c>
      <c r="C183" t="s">
        <v>239</v>
      </c>
      <c r="D183" s="17">
        <v>1470</v>
      </c>
      <c r="E183" s="17">
        <v>1311</v>
      </c>
      <c r="F183" s="17">
        <f t="shared" si="10"/>
        <v>159</v>
      </c>
      <c r="G183" s="17">
        <v>1474</v>
      </c>
      <c r="H183" s="17">
        <v>1258</v>
      </c>
      <c r="I183" s="17">
        <f t="shared" si="11"/>
        <v>216</v>
      </c>
      <c r="J183" s="16">
        <f t="shared" si="12"/>
        <v>0.49932065217391303</v>
      </c>
      <c r="K183" s="16">
        <f t="shared" si="13"/>
        <v>0.51031529778123785</v>
      </c>
      <c r="L183" s="18">
        <f t="shared" si="14"/>
        <v>-1.0994645607324827</v>
      </c>
    </row>
    <row r="184" spans="1:12" x14ac:dyDescent="0.2">
      <c r="A184" t="s">
        <v>95</v>
      </c>
      <c r="B184" t="s">
        <v>237</v>
      </c>
      <c r="C184" t="s">
        <v>240</v>
      </c>
      <c r="D184" s="17">
        <v>907</v>
      </c>
      <c r="E184" s="17">
        <v>914</v>
      </c>
      <c r="F184" s="17">
        <f t="shared" si="10"/>
        <v>-7</v>
      </c>
      <c r="G184" s="17">
        <v>1024</v>
      </c>
      <c r="H184" s="17">
        <v>1075</v>
      </c>
      <c r="I184" s="17">
        <f t="shared" si="11"/>
        <v>-51</v>
      </c>
      <c r="J184" s="16">
        <f t="shared" si="12"/>
        <v>0.46970481615743137</v>
      </c>
      <c r="K184" s="16">
        <f t="shared" si="13"/>
        <v>0.45952740070387127</v>
      </c>
      <c r="L184" s="18">
        <f t="shared" si="14"/>
        <v>1.0177415453560101</v>
      </c>
    </row>
    <row r="185" spans="1:12" x14ac:dyDescent="0.2">
      <c r="A185" t="s">
        <v>95</v>
      </c>
      <c r="B185" t="s">
        <v>237</v>
      </c>
      <c r="C185" t="s">
        <v>241</v>
      </c>
      <c r="D185" s="17">
        <v>675</v>
      </c>
      <c r="E185" s="17">
        <v>735</v>
      </c>
      <c r="F185" s="17">
        <f t="shared" si="10"/>
        <v>-60</v>
      </c>
      <c r="G185" s="17">
        <v>607</v>
      </c>
      <c r="H185" s="17">
        <v>653</v>
      </c>
      <c r="I185" s="17">
        <f t="shared" si="11"/>
        <v>-46</v>
      </c>
      <c r="J185" s="16">
        <f t="shared" si="12"/>
        <v>0.52652106084243366</v>
      </c>
      <c r="K185" s="16">
        <f t="shared" si="13"/>
        <v>0.52953890489913547</v>
      </c>
      <c r="L185" s="18">
        <f t="shared" si="14"/>
        <v>-0.30178440567018017</v>
      </c>
    </row>
    <row r="186" spans="1:12" x14ac:dyDescent="0.2">
      <c r="A186" t="s">
        <v>95</v>
      </c>
      <c r="B186" t="s">
        <v>237</v>
      </c>
      <c r="C186" t="s">
        <v>242</v>
      </c>
      <c r="D186" s="17">
        <v>1999</v>
      </c>
      <c r="E186" s="17">
        <v>1929</v>
      </c>
      <c r="F186" s="17">
        <f t="shared" si="10"/>
        <v>70</v>
      </c>
      <c r="G186" s="17">
        <v>1815</v>
      </c>
      <c r="H186" s="17">
        <v>1679</v>
      </c>
      <c r="I186" s="17">
        <f t="shared" si="11"/>
        <v>136</v>
      </c>
      <c r="J186" s="16">
        <f t="shared" si="12"/>
        <v>0.52412165705296276</v>
      </c>
      <c r="K186" s="16">
        <f t="shared" si="13"/>
        <v>0.53464523281596454</v>
      </c>
      <c r="L186" s="18">
        <f t="shared" si="14"/>
        <v>-1.052357576300178</v>
      </c>
    </row>
    <row r="187" spans="1:12" x14ac:dyDescent="0.2">
      <c r="A187" t="s">
        <v>95</v>
      </c>
      <c r="B187" t="s">
        <v>237</v>
      </c>
      <c r="C187" t="s">
        <v>243</v>
      </c>
      <c r="D187" s="17">
        <v>769</v>
      </c>
      <c r="E187" s="17">
        <v>696</v>
      </c>
      <c r="F187" s="17">
        <f t="shared" si="10"/>
        <v>73</v>
      </c>
      <c r="G187" s="17">
        <v>761</v>
      </c>
      <c r="H187" s="17">
        <v>666</v>
      </c>
      <c r="I187" s="17">
        <f t="shared" si="11"/>
        <v>95</v>
      </c>
      <c r="J187" s="16">
        <f t="shared" si="12"/>
        <v>0.50261437908496731</v>
      </c>
      <c r="K187" s="16">
        <f t="shared" si="13"/>
        <v>0.51101321585903081</v>
      </c>
      <c r="L187" s="18">
        <f t="shared" si="14"/>
        <v>-0.83988367740635006</v>
      </c>
    </row>
    <row r="188" spans="1:12" x14ac:dyDescent="0.2">
      <c r="A188" t="s">
        <v>95</v>
      </c>
      <c r="B188" t="s">
        <v>237</v>
      </c>
      <c r="C188" t="s">
        <v>244</v>
      </c>
      <c r="D188" s="17">
        <v>788</v>
      </c>
      <c r="E188" s="17">
        <v>715</v>
      </c>
      <c r="F188" s="17">
        <f t="shared" si="10"/>
        <v>73</v>
      </c>
      <c r="G188" s="17">
        <v>749</v>
      </c>
      <c r="H188" s="17">
        <v>601</v>
      </c>
      <c r="I188" s="17">
        <f t="shared" si="11"/>
        <v>148</v>
      </c>
      <c r="J188" s="16">
        <f t="shared" si="12"/>
        <v>0.51268705270006509</v>
      </c>
      <c r="K188" s="16">
        <f t="shared" si="13"/>
        <v>0.54331306990881456</v>
      </c>
      <c r="L188" s="18">
        <f t="shared" si="14"/>
        <v>-3.0626017208749468</v>
      </c>
    </row>
    <row r="189" spans="1:12" x14ac:dyDescent="0.2">
      <c r="A189" t="s">
        <v>95</v>
      </c>
      <c r="B189" t="s">
        <v>237</v>
      </c>
      <c r="C189" t="s">
        <v>245</v>
      </c>
      <c r="D189" s="17">
        <v>795</v>
      </c>
      <c r="E189" s="17">
        <v>728</v>
      </c>
      <c r="F189" s="17">
        <f t="shared" si="10"/>
        <v>67</v>
      </c>
      <c r="G189" s="17">
        <v>746</v>
      </c>
      <c r="H189" s="17">
        <v>692</v>
      </c>
      <c r="I189" s="17">
        <f t="shared" si="11"/>
        <v>54</v>
      </c>
      <c r="J189" s="16">
        <f t="shared" si="12"/>
        <v>0.5158987670343933</v>
      </c>
      <c r="K189" s="16">
        <f t="shared" si="13"/>
        <v>0.51267605633802815</v>
      </c>
      <c r="L189" s="18">
        <f t="shared" si="14"/>
        <v>0.32227106963651497</v>
      </c>
    </row>
    <row r="190" spans="1:12" x14ac:dyDescent="0.2">
      <c r="A190" t="s">
        <v>95</v>
      </c>
      <c r="B190" t="s">
        <v>246</v>
      </c>
      <c r="C190" t="s">
        <v>247</v>
      </c>
      <c r="D190" s="17">
        <v>1580</v>
      </c>
      <c r="E190" s="17">
        <v>1473</v>
      </c>
      <c r="F190" s="17">
        <f t="shared" si="10"/>
        <v>107</v>
      </c>
      <c r="G190" s="17">
        <v>1735</v>
      </c>
      <c r="H190" s="17">
        <v>1690</v>
      </c>
      <c r="I190" s="17">
        <f t="shared" si="11"/>
        <v>45</v>
      </c>
      <c r="J190" s="16">
        <f t="shared" si="12"/>
        <v>0.47662141779788841</v>
      </c>
      <c r="K190" s="16">
        <f t="shared" si="13"/>
        <v>0.46569712298450838</v>
      </c>
      <c r="L190" s="18">
        <f t="shared" si="14"/>
        <v>1.0924294813380031</v>
      </c>
    </row>
    <row r="191" spans="1:12" x14ac:dyDescent="0.2">
      <c r="A191" t="s">
        <v>95</v>
      </c>
      <c r="B191" t="s">
        <v>246</v>
      </c>
      <c r="C191" t="s">
        <v>248</v>
      </c>
      <c r="D191" s="17">
        <v>1049</v>
      </c>
      <c r="E191" s="17">
        <v>907</v>
      </c>
      <c r="F191" s="17">
        <f t="shared" si="10"/>
        <v>142</v>
      </c>
      <c r="G191" s="17">
        <v>1741</v>
      </c>
      <c r="H191" s="17">
        <v>1445</v>
      </c>
      <c r="I191" s="17">
        <f t="shared" si="11"/>
        <v>296</v>
      </c>
      <c r="J191" s="16">
        <f t="shared" si="12"/>
        <v>0.37598566308243725</v>
      </c>
      <c r="K191" s="16">
        <f t="shared" si="13"/>
        <v>0.3856292517006803</v>
      </c>
      <c r="L191" s="18">
        <f t="shared" si="14"/>
        <v>-0.96435886182430486</v>
      </c>
    </row>
    <row r="192" spans="1:12" x14ac:dyDescent="0.2">
      <c r="A192" t="s">
        <v>95</v>
      </c>
      <c r="B192" t="s">
        <v>249</v>
      </c>
      <c r="C192" t="s">
        <v>250</v>
      </c>
      <c r="D192" s="17">
        <v>1154</v>
      </c>
      <c r="E192" s="17">
        <v>1017</v>
      </c>
      <c r="F192" s="17">
        <f t="shared" si="10"/>
        <v>137</v>
      </c>
      <c r="G192" s="17">
        <v>1170</v>
      </c>
      <c r="H192" s="17">
        <v>1074</v>
      </c>
      <c r="I192" s="17">
        <f t="shared" si="11"/>
        <v>96</v>
      </c>
      <c r="J192" s="16">
        <f t="shared" si="12"/>
        <v>0.49655765920826161</v>
      </c>
      <c r="K192" s="16">
        <f t="shared" si="13"/>
        <v>0.48637015781922527</v>
      </c>
      <c r="L192" s="18">
        <f t="shared" si="14"/>
        <v>1.0187501389036346</v>
      </c>
    </row>
    <row r="193" spans="1:12" x14ac:dyDescent="0.2">
      <c r="A193" t="s">
        <v>95</v>
      </c>
      <c r="B193" t="s">
        <v>249</v>
      </c>
      <c r="C193" t="s">
        <v>251</v>
      </c>
      <c r="D193" s="17">
        <v>791</v>
      </c>
      <c r="E193" s="17">
        <v>753</v>
      </c>
      <c r="F193" s="17">
        <f t="shared" si="10"/>
        <v>38</v>
      </c>
      <c r="G193" s="17">
        <v>899</v>
      </c>
      <c r="H193" s="17">
        <v>851</v>
      </c>
      <c r="I193" s="17">
        <f t="shared" si="11"/>
        <v>48</v>
      </c>
      <c r="J193" s="16">
        <f t="shared" si="12"/>
        <v>0.46804733727810649</v>
      </c>
      <c r="K193" s="16">
        <f t="shared" si="13"/>
        <v>0.46945137157107231</v>
      </c>
      <c r="L193" s="18">
        <f t="shared" si="14"/>
        <v>-0.14040342929658167</v>
      </c>
    </row>
    <row r="194" spans="1:12" x14ac:dyDescent="0.2">
      <c r="A194" t="s">
        <v>95</v>
      </c>
      <c r="B194" t="s">
        <v>249</v>
      </c>
      <c r="C194" t="s">
        <v>252</v>
      </c>
      <c r="D194" s="17">
        <v>607</v>
      </c>
      <c r="E194" s="17">
        <v>713</v>
      </c>
      <c r="F194" s="17">
        <f t="shared" ref="F194:F257" si="15">IF(E194="","",D194-E194)</f>
        <v>-106</v>
      </c>
      <c r="G194" s="17">
        <v>683</v>
      </c>
      <c r="H194" s="17">
        <v>780</v>
      </c>
      <c r="I194" s="17">
        <f t="shared" ref="I194:I257" si="16">IF(H194="","",G194-H194)</f>
        <v>-97</v>
      </c>
      <c r="J194" s="16">
        <f t="shared" ref="J194:J257" si="17">IF(D194+G194=0,"",D194/(D194+G194))</f>
        <v>0.47054263565891474</v>
      </c>
      <c r="K194" s="16">
        <f t="shared" ref="K194:K257" si="18">IF(E194="","",E194/(E194+H194))</f>
        <v>0.47756195579370397</v>
      </c>
      <c r="L194" s="18">
        <f t="shared" ref="L194:L257" si="19">IF(OR(K194="",J194=""),"",(J194-K194)*100)</f>
        <v>-0.70193201347892309</v>
      </c>
    </row>
    <row r="195" spans="1:12" x14ac:dyDescent="0.2">
      <c r="A195" t="s">
        <v>95</v>
      </c>
      <c r="B195" t="s">
        <v>249</v>
      </c>
      <c r="C195" t="s">
        <v>253</v>
      </c>
      <c r="D195" s="17">
        <v>1786</v>
      </c>
      <c r="E195" s="17">
        <v>1648</v>
      </c>
      <c r="F195" s="17">
        <f t="shared" si="15"/>
        <v>138</v>
      </c>
      <c r="G195" s="17">
        <v>2019</v>
      </c>
      <c r="H195" s="17">
        <v>1789</v>
      </c>
      <c r="I195" s="17">
        <f t="shared" si="16"/>
        <v>230</v>
      </c>
      <c r="J195" s="16">
        <f t="shared" si="17"/>
        <v>0.46938239159001316</v>
      </c>
      <c r="K195" s="16">
        <f t="shared" si="18"/>
        <v>0.47948792551643876</v>
      </c>
      <c r="L195" s="18">
        <f t="shared" si="19"/>
        <v>-1.0105533926425603</v>
      </c>
    </row>
    <row r="196" spans="1:12" x14ac:dyDescent="0.2">
      <c r="A196" t="s">
        <v>95</v>
      </c>
      <c r="B196" t="s">
        <v>249</v>
      </c>
      <c r="C196" t="s">
        <v>254</v>
      </c>
      <c r="D196" s="17">
        <v>765</v>
      </c>
      <c r="E196" s="17">
        <v>683</v>
      </c>
      <c r="F196" s="17">
        <f t="shared" si="15"/>
        <v>82</v>
      </c>
      <c r="G196" s="17">
        <v>804</v>
      </c>
      <c r="H196" s="17">
        <v>663</v>
      </c>
      <c r="I196" s="17">
        <f t="shared" si="16"/>
        <v>141</v>
      </c>
      <c r="J196" s="16">
        <f t="shared" si="17"/>
        <v>0.4875717017208413</v>
      </c>
      <c r="K196" s="16">
        <f t="shared" si="18"/>
        <v>0.50742942050520057</v>
      </c>
      <c r="L196" s="18">
        <f t="shared" si="19"/>
        <v>-1.9857718784359268</v>
      </c>
    </row>
    <row r="197" spans="1:12" x14ac:dyDescent="0.2">
      <c r="A197" t="s">
        <v>95</v>
      </c>
      <c r="B197" t="s">
        <v>249</v>
      </c>
      <c r="C197" t="s">
        <v>255</v>
      </c>
      <c r="D197" s="17">
        <v>717</v>
      </c>
      <c r="E197" s="17">
        <v>648</v>
      </c>
      <c r="F197" s="17">
        <f t="shared" si="15"/>
        <v>69</v>
      </c>
      <c r="G197" s="17">
        <v>650</v>
      </c>
      <c r="H197" s="17">
        <v>583</v>
      </c>
      <c r="I197" s="17">
        <f t="shared" si="16"/>
        <v>67</v>
      </c>
      <c r="J197" s="16">
        <f t="shared" si="17"/>
        <v>0.52450621799561081</v>
      </c>
      <c r="K197" s="16">
        <f t="shared" si="18"/>
        <v>0.52640129975629568</v>
      </c>
      <c r="L197" s="18">
        <f t="shared" si="19"/>
        <v>-0.18950817606848691</v>
      </c>
    </row>
    <row r="198" spans="1:12" x14ac:dyDescent="0.2">
      <c r="A198" t="s">
        <v>95</v>
      </c>
      <c r="B198" t="s">
        <v>256</v>
      </c>
      <c r="C198" t="s">
        <v>257</v>
      </c>
      <c r="D198" s="17">
        <v>265</v>
      </c>
      <c r="E198" s="17">
        <v>243</v>
      </c>
      <c r="F198" s="17">
        <f t="shared" si="15"/>
        <v>22</v>
      </c>
      <c r="G198" s="17">
        <v>611</v>
      </c>
      <c r="H198" s="17">
        <v>532</v>
      </c>
      <c r="I198" s="17">
        <f t="shared" si="16"/>
        <v>79</v>
      </c>
      <c r="J198" s="16">
        <f t="shared" si="17"/>
        <v>0.30251141552511418</v>
      </c>
      <c r="K198" s="16">
        <f t="shared" si="18"/>
        <v>0.31354838709677418</v>
      </c>
      <c r="L198" s="18">
        <f t="shared" si="19"/>
        <v>-1.1036971571660004</v>
      </c>
    </row>
    <row r="199" spans="1:12" x14ac:dyDescent="0.2">
      <c r="A199" t="s">
        <v>95</v>
      </c>
      <c r="B199" t="s">
        <v>256</v>
      </c>
      <c r="C199" t="s">
        <v>258</v>
      </c>
      <c r="D199" s="17">
        <v>1013</v>
      </c>
      <c r="E199" s="17">
        <v>841</v>
      </c>
      <c r="F199" s="17">
        <f t="shared" si="15"/>
        <v>172</v>
      </c>
      <c r="G199" s="17">
        <v>1920</v>
      </c>
      <c r="H199" s="17">
        <v>1653</v>
      </c>
      <c r="I199" s="17">
        <f t="shared" si="16"/>
        <v>267</v>
      </c>
      <c r="J199" s="16">
        <f t="shared" si="17"/>
        <v>0.34538015683600409</v>
      </c>
      <c r="K199" s="16">
        <f t="shared" si="18"/>
        <v>0.33720930232558138</v>
      </c>
      <c r="L199" s="18">
        <f t="shared" si="19"/>
        <v>0.81708545104227093</v>
      </c>
    </row>
    <row r="200" spans="1:12" x14ac:dyDescent="0.2">
      <c r="A200" t="s">
        <v>95</v>
      </c>
      <c r="B200" t="s">
        <v>256</v>
      </c>
      <c r="C200" t="s">
        <v>259</v>
      </c>
      <c r="D200" s="17">
        <v>226</v>
      </c>
      <c r="E200" s="17">
        <v>182</v>
      </c>
      <c r="F200" s="17">
        <f t="shared" si="15"/>
        <v>44</v>
      </c>
      <c r="G200" s="17">
        <v>533</v>
      </c>
      <c r="H200" s="17">
        <v>484</v>
      </c>
      <c r="I200" s="17">
        <f t="shared" si="16"/>
        <v>49</v>
      </c>
      <c r="J200" s="16">
        <f t="shared" si="17"/>
        <v>0.29776021080368908</v>
      </c>
      <c r="K200" s="16">
        <f t="shared" si="18"/>
        <v>0.27327327327327328</v>
      </c>
      <c r="L200" s="18">
        <f t="shared" si="19"/>
        <v>2.4486937530415807</v>
      </c>
    </row>
    <row r="201" spans="1:12" x14ac:dyDescent="0.2">
      <c r="A201" t="s">
        <v>95</v>
      </c>
      <c r="B201" t="s">
        <v>260</v>
      </c>
      <c r="C201" t="s">
        <v>260</v>
      </c>
      <c r="D201" s="17">
        <v>1264</v>
      </c>
      <c r="E201" s="17">
        <v>1172</v>
      </c>
      <c r="F201" s="17">
        <f t="shared" si="15"/>
        <v>92</v>
      </c>
      <c r="G201" s="17">
        <v>2519</v>
      </c>
      <c r="H201" s="17">
        <v>2201</v>
      </c>
      <c r="I201" s="17">
        <f t="shared" si="16"/>
        <v>318</v>
      </c>
      <c r="J201" s="16">
        <f t="shared" si="17"/>
        <v>0.33412635474491142</v>
      </c>
      <c r="K201" s="16">
        <f t="shared" si="18"/>
        <v>0.34746516454195081</v>
      </c>
      <c r="L201" s="18">
        <f t="shared" si="19"/>
        <v>-1.3338809797039386</v>
      </c>
    </row>
    <row r="202" spans="1:12" x14ac:dyDescent="0.2">
      <c r="A202" t="s">
        <v>95</v>
      </c>
      <c r="B202" t="s">
        <v>261</v>
      </c>
      <c r="C202" t="s">
        <v>262</v>
      </c>
      <c r="D202" s="17">
        <v>892</v>
      </c>
      <c r="E202" s="17">
        <v>811</v>
      </c>
      <c r="F202" s="17">
        <f t="shared" si="15"/>
        <v>81</v>
      </c>
      <c r="G202" s="17">
        <v>1021</v>
      </c>
      <c r="H202" s="17">
        <v>918</v>
      </c>
      <c r="I202" s="17">
        <f t="shared" si="16"/>
        <v>103</v>
      </c>
      <c r="J202" s="16">
        <f t="shared" si="17"/>
        <v>0.46628332462101413</v>
      </c>
      <c r="K202" s="16">
        <f t="shared" si="18"/>
        <v>0.46905725853094277</v>
      </c>
      <c r="L202" s="18">
        <f t="shared" si="19"/>
        <v>-0.27739339099286386</v>
      </c>
    </row>
    <row r="203" spans="1:12" x14ac:dyDescent="0.2">
      <c r="A203" t="s">
        <v>95</v>
      </c>
      <c r="B203" t="s">
        <v>261</v>
      </c>
      <c r="C203" t="s">
        <v>263</v>
      </c>
      <c r="D203" s="17">
        <v>697</v>
      </c>
      <c r="E203" s="17">
        <v>606</v>
      </c>
      <c r="F203" s="17">
        <f t="shared" si="15"/>
        <v>91</v>
      </c>
      <c r="G203" s="17">
        <v>819</v>
      </c>
      <c r="H203" s="17">
        <v>669</v>
      </c>
      <c r="I203" s="17">
        <f t="shared" si="16"/>
        <v>150</v>
      </c>
      <c r="J203" s="16">
        <f t="shared" si="17"/>
        <v>0.45976253298153036</v>
      </c>
      <c r="K203" s="16">
        <f t="shared" si="18"/>
        <v>0.47529411764705881</v>
      </c>
      <c r="L203" s="18">
        <f t="shared" si="19"/>
        <v>-1.5531584665528453</v>
      </c>
    </row>
    <row r="204" spans="1:12" x14ac:dyDescent="0.2">
      <c r="A204" t="s">
        <v>95</v>
      </c>
      <c r="B204" t="s">
        <v>261</v>
      </c>
      <c r="C204" t="s">
        <v>264</v>
      </c>
      <c r="D204" s="17">
        <v>901</v>
      </c>
      <c r="E204" s="17">
        <v>732</v>
      </c>
      <c r="F204" s="17">
        <f t="shared" si="15"/>
        <v>169</v>
      </c>
      <c r="G204" s="17">
        <v>632</v>
      </c>
      <c r="H204" s="17">
        <v>616</v>
      </c>
      <c r="I204" s="17">
        <f t="shared" si="16"/>
        <v>16</v>
      </c>
      <c r="J204" s="16">
        <f t="shared" si="17"/>
        <v>0.58773646444879324</v>
      </c>
      <c r="K204" s="16">
        <f t="shared" si="18"/>
        <v>0.54302670623145399</v>
      </c>
      <c r="L204" s="18">
        <f t="shared" si="19"/>
        <v>4.4709758217339246</v>
      </c>
    </row>
    <row r="205" spans="1:12" x14ac:dyDescent="0.2">
      <c r="A205" t="s">
        <v>95</v>
      </c>
      <c r="B205" t="s">
        <v>261</v>
      </c>
      <c r="C205" t="s">
        <v>265</v>
      </c>
      <c r="D205" s="17">
        <v>933</v>
      </c>
      <c r="E205" s="17">
        <v>871</v>
      </c>
      <c r="F205" s="17">
        <f t="shared" si="15"/>
        <v>62</v>
      </c>
      <c r="G205" s="17">
        <v>607</v>
      </c>
      <c r="H205" s="17">
        <v>616</v>
      </c>
      <c r="I205" s="17">
        <f t="shared" si="16"/>
        <v>-9</v>
      </c>
      <c r="J205" s="16">
        <f t="shared" si="17"/>
        <v>0.60584415584415585</v>
      </c>
      <c r="K205" s="16">
        <f t="shared" si="18"/>
        <v>0.58574310692669806</v>
      </c>
      <c r="L205" s="18">
        <f t="shared" si="19"/>
        <v>2.0101048917457787</v>
      </c>
    </row>
    <row r="206" spans="1:12" x14ac:dyDescent="0.2">
      <c r="A206" t="s">
        <v>95</v>
      </c>
      <c r="B206" t="s">
        <v>261</v>
      </c>
      <c r="C206" t="s">
        <v>266</v>
      </c>
      <c r="D206" s="17">
        <v>350</v>
      </c>
      <c r="E206" s="17">
        <v>305</v>
      </c>
      <c r="F206" s="17">
        <f t="shared" si="15"/>
        <v>45</v>
      </c>
      <c r="G206" s="17">
        <v>278</v>
      </c>
      <c r="H206" s="17">
        <v>262</v>
      </c>
      <c r="I206" s="17">
        <f t="shared" si="16"/>
        <v>16</v>
      </c>
      <c r="J206" s="16">
        <f t="shared" si="17"/>
        <v>0.5573248407643312</v>
      </c>
      <c r="K206" s="16">
        <f t="shared" si="18"/>
        <v>0.53791887125220461</v>
      </c>
      <c r="L206" s="18">
        <f t="shared" si="19"/>
        <v>1.9405969512126586</v>
      </c>
    </row>
    <row r="207" spans="1:12" x14ac:dyDescent="0.2">
      <c r="A207" t="s">
        <v>95</v>
      </c>
      <c r="B207" t="s">
        <v>261</v>
      </c>
      <c r="C207" t="s">
        <v>267</v>
      </c>
      <c r="D207" s="17">
        <v>596</v>
      </c>
      <c r="E207" s="17">
        <v>535</v>
      </c>
      <c r="F207" s="17">
        <f t="shared" si="15"/>
        <v>61</v>
      </c>
      <c r="G207" s="17">
        <v>280</v>
      </c>
      <c r="H207" s="17">
        <v>364</v>
      </c>
      <c r="I207" s="17">
        <f t="shared" si="16"/>
        <v>-84</v>
      </c>
      <c r="J207" s="16">
        <f t="shared" si="17"/>
        <v>0.68036529680365299</v>
      </c>
      <c r="K207" s="16">
        <f t="shared" si="18"/>
        <v>0.59510567296996664</v>
      </c>
      <c r="L207" s="18">
        <f t="shared" si="19"/>
        <v>8.5259623833686344</v>
      </c>
    </row>
    <row r="208" spans="1:12" x14ac:dyDescent="0.2">
      <c r="A208" t="s">
        <v>95</v>
      </c>
      <c r="B208" t="s">
        <v>261</v>
      </c>
      <c r="C208" t="s">
        <v>268</v>
      </c>
      <c r="D208" s="17">
        <v>597</v>
      </c>
      <c r="E208" s="17">
        <v>564</v>
      </c>
      <c r="F208" s="17">
        <f t="shared" si="15"/>
        <v>33</v>
      </c>
      <c r="G208" s="17">
        <v>491</v>
      </c>
      <c r="H208" s="17">
        <v>451</v>
      </c>
      <c r="I208" s="17">
        <f t="shared" si="16"/>
        <v>40</v>
      </c>
      <c r="J208" s="16">
        <f t="shared" si="17"/>
        <v>0.54871323529411764</v>
      </c>
      <c r="K208" s="16">
        <f t="shared" si="18"/>
        <v>0.5556650246305419</v>
      </c>
      <c r="L208" s="18">
        <f t="shared" si="19"/>
        <v>-0.69517893364242633</v>
      </c>
    </row>
    <row r="209" spans="1:13" x14ac:dyDescent="0.2">
      <c r="A209" t="s">
        <v>95</v>
      </c>
      <c r="B209" t="s">
        <v>261</v>
      </c>
      <c r="C209" t="s">
        <v>269</v>
      </c>
      <c r="D209" s="17">
        <v>316</v>
      </c>
      <c r="E209" s="17">
        <v>279</v>
      </c>
      <c r="F209" s="17">
        <f t="shared" si="15"/>
        <v>37</v>
      </c>
      <c r="G209" s="17">
        <v>357</v>
      </c>
      <c r="H209" s="17">
        <v>318</v>
      </c>
      <c r="I209" s="17">
        <f t="shared" si="16"/>
        <v>39</v>
      </c>
      <c r="J209" s="16">
        <f t="shared" si="17"/>
        <v>0.46953937592867756</v>
      </c>
      <c r="K209" s="16">
        <f t="shared" si="18"/>
        <v>0.46733668341708545</v>
      </c>
      <c r="L209" s="18">
        <f t="shared" si="19"/>
        <v>0.22026925115921081</v>
      </c>
    </row>
    <row r="210" spans="1:13" x14ac:dyDescent="0.2">
      <c r="A210" t="s">
        <v>95</v>
      </c>
      <c r="B210" t="s">
        <v>261</v>
      </c>
      <c r="C210" t="s">
        <v>270</v>
      </c>
      <c r="D210" s="17">
        <v>628</v>
      </c>
      <c r="E210" s="17">
        <v>571</v>
      </c>
      <c r="F210" s="17">
        <f t="shared" si="15"/>
        <v>57</v>
      </c>
      <c r="G210" s="17">
        <v>558</v>
      </c>
      <c r="H210" s="17">
        <v>544</v>
      </c>
      <c r="I210" s="17">
        <f t="shared" si="16"/>
        <v>14</v>
      </c>
      <c r="J210" s="16">
        <f t="shared" si="17"/>
        <v>0.5295109612141653</v>
      </c>
      <c r="K210" s="16">
        <f t="shared" si="18"/>
        <v>0.51210762331838566</v>
      </c>
      <c r="L210" s="18">
        <f t="shared" si="19"/>
        <v>1.7403337895779636</v>
      </c>
    </row>
    <row r="211" spans="1:13" x14ac:dyDescent="0.2">
      <c r="A211" t="s">
        <v>95</v>
      </c>
      <c r="B211" t="s">
        <v>261</v>
      </c>
      <c r="C211" t="s">
        <v>271</v>
      </c>
      <c r="D211" s="17">
        <v>982</v>
      </c>
      <c r="E211" s="17">
        <v>829</v>
      </c>
      <c r="F211" s="17">
        <f t="shared" si="15"/>
        <v>153</v>
      </c>
      <c r="G211" s="17">
        <v>1086</v>
      </c>
      <c r="H211" s="17">
        <v>968</v>
      </c>
      <c r="I211" s="17">
        <f t="shared" si="16"/>
        <v>118</v>
      </c>
      <c r="J211" s="16">
        <f t="shared" si="17"/>
        <v>0.47485493230174081</v>
      </c>
      <c r="K211" s="16">
        <f t="shared" si="18"/>
        <v>0.46132442960489706</v>
      </c>
      <c r="L211" s="18">
        <f t="shared" si="19"/>
        <v>1.3530502696843749</v>
      </c>
    </row>
    <row r="212" spans="1:13" x14ac:dyDescent="0.2">
      <c r="A212" t="s">
        <v>95</v>
      </c>
      <c r="B212" t="s">
        <v>261</v>
      </c>
      <c r="C212" t="s">
        <v>272</v>
      </c>
      <c r="D212" s="17">
        <v>812</v>
      </c>
      <c r="E212" s="17">
        <v>698</v>
      </c>
      <c r="F212" s="17">
        <f t="shared" si="15"/>
        <v>114</v>
      </c>
      <c r="G212" s="17">
        <v>824</v>
      </c>
      <c r="H212" s="17">
        <v>748</v>
      </c>
      <c r="I212" s="17">
        <f t="shared" si="16"/>
        <v>76</v>
      </c>
      <c r="J212" s="16">
        <f t="shared" si="17"/>
        <v>0.49633251833740832</v>
      </c>
      <c r="K212" s="16">
        <f t="shared" si="18"/>
        <v>0.48271092669432919</v>
      </c>
      <c r="L212" s="18">
        <f t="shared" si="19"/>
        <v>1.3621591643079134</v>
      </c>
    </row>
    <row r="213" spans="1:13" x14ac:dyDescent="0.2">
      <c r="A213" t="s">
        <v>95</v>
      </c>
      <c r="B213" t="s">
        <v>261</v>
      </c>
      <c r="C213" t="s">
        <v>273</v>
      </c>
      <c r="D213" s="17">
        <v>708</v>
      </c>
      <c r="E213" s="17">
        <v>582</v>
      </c>
      <c r="F213" s="17">
        <f t="shared" si="15"/>
        <v>126</v>
      </c>
      <c r="G213" s="17">
        <v>631</v>
      </c>
      <c r="H213" s="17">
        <v>562</v>
      </c>
      <c r="I213" s="17">
        <f t="shared" si="16"/>
        <v>69</v>
      </c>
      <c r="J213" s="16">
        <f t="shared" si="17"/>
        <v>0.52875280059746077</v>
      </c>
      <c r="K213" s="16">
        <f t="shared" si="18"/>
        <v>0.50874125874125875</v>
      </c>
      <c r="L213" s="18">
        <f t="shared" si="19"/>
        <v>2.001154185620202</v>
      </c>
    </row>
    <row r="214" spans="1:13" x14ac:dyDescent="0.2">
      <c r="A214" t="s">
        <v>274</v>
      </c>
      <c r="B214" t="s">
        <v>275</v>
      </c>
      <c r="C214" t="s">
        <v>276</v>
      </c>
      <c r="D214" s="17">
        <v>561</v>
      </c>
      <c r="E214" s="17">
        <v>471</v>
      </c>
      <c r="F214" s="17">
        <f t="shared" si="15"/>
        <v>90</v>
      </c>
      <c r="G214" s="17">
        <v>1206</v>
      </c>
      <c r="H214" s="17">
        <v>1124</v>
      </c>
      <c r="I214" s="17">
        <f t="shared" si="16"/>
        <v>82</v>
      </c>
      <c r="J214" s="16">
        <f t="shared" si="17"/>
        <v>0.31748726655348047</v>
      </c>
      <c r="K214" s="16">
        <f t="shared" si="18"/>
        <v>0.29529780564263325</v>
      </c>
      <c r="L214" s="18">
        <f t="shared" si="19"/>
        <v>2.2189460910847227</v>
      </c>
    </row>
    <row r="215" spans="1:13" x14ac:dyDescent="0.2">
      <c r="A215" t="s">
        <v>274</v>
      </c>
      <c r="B215" t="s">
        <v>277</v>
      </c>
      <c r="C215" t="s">
        <v>278</v>
      </c>
      <c r="D215" s="17">
        <v>1489</v>
      </c>
      <c r="E215" s="17">
        <v>1414</v>
      </c>
      <c r="F215" s="17">
        <f t="shared" si="15"/>
        <v>75</v>
      </c>
      <c r="G215" s="17">
        <v>3168</v>
      </c>
      <c r="H215" s="17">
        <v>2894</v>
      </c>
      <c r="I215" s="17">
        <f t="shared" si="16"/>
        <v>274</v>
      </c>
      <c r="J215" s="16">
        <f t="shared" si="17"/>
        <v>0.31973373416362466</v>
      </c>
      <c r="K215" s="16">
        <f t="shared" si="18"/>
        <v>0.32822655524605387</v>
      </c>
      <c r="L215" s="18">
        <f t="shared" si="19"/>
        <v>-0.84928210824292139</v>
      </c>
    </row>
    <row r="216" spans="1:13" ht="32" x14ac:dyDescent="0.2">
      <c r="A216" t="s">
        <v>274</v>
      </c>
      <c r="B216" t="s">
        <v>279</v>
      </c>
      <c r="C216" t="s">
        <v>280</v>
      </c>
      <c r="D216" s="17">
        <v>512</v>
      </c>
      <c r="E216" s="17">
        <v>521</v>
      </c>
      <c r="F216" s="17">
        <f t="shared" si="15"/>
        <v>-9</v>
      </c>
      <c r="G216" s="17">
        <v>1046</v>
      </c>
      <c r="H216" s="17">
        <v>997</v>
      </c>
      <c r="I216" s="17">
        <f t="shared" si="16"/>
        <v>49</v>
      </c>
      <c r="J216" s="16">
        <f t="shared" si="17"/>
        <v>0.32862644415917841</v>
      </c>
      <c r="K216" s="16">
        <f t="shared" si="18"/>
        <v>0.3432147562582345</v>
      </c>
      <c r="L216" s="18">
        <f t="shared" si="19"/>
        <v>-1.4588312099056089</v>
      </c>
      <c r="M216" s="12" t="s">
        <v>521</v>
      </c>
    </row>
    <row r="217" spans="1:13" x14ac:dyDescent="0.2">
      <c r="A217" t="s">
        <v>281</v>
      </c>
      <c r="B217" t="s">
        <v>282</v>
      </c>
      <c r="C217" t="s">
        <v>283</v>
      </c>
      <c r="D217" s="17">
        <v>777</v>
      </c>
      <c r="E217" s="17">
        <v>687</v>
      </c>
      <c r="F217" s="17">
        <f t="shared" si="15"/>
        <v>90</v>
      </c>
      <c r="G217" s="17">
        <v>1144</v>
      </c>
      <c r="H217" s="17">
        <v>1009</v>
      </c>
      <c r="I217" s="17">
        <f t="shared" si="16"/>
        <v>135</v>
      </c>
      <c r="J217" s="16">
        <f t="shared" si="17"/>
        <v>0.40447683498178033</v>
      </c>
      <c r="K217" s="16">
        <f t="shared" si="18"/>
        <v>0.40507075471698112</v>
      </c>
      <c r="L217" s="18">
        <f t="shared" si="19"/>
        <v>-5.9391973520078745E-2</v>
      </c>
    </row>
    <row r="218" spans="1:13" x14ac:dyDescent="0.2">
      <c r="A218" t="s">
        <v>281</v>
      </c>
      <c r="B218" t="s">
        <v>282</v>
      </c>
      <c r="C218" t="s">
        <v>284</v>
      </c>
      <c r="D218" s="17">
        <v>930</v>
      </c>
      <c r="E218" s="17">
        <v>824</v>
      </c>
      <c r="F218" s="17">
        <f t="shared" si="15"/>
        <v>106</v>
      </c>
      <c r="G218" s="17">
        <v>1007</v>
      </c>
      <c r="H218" s="17">
        <v>1009</v>
      </c>
      <c r="I218" s="17">
        <f t="shared" si="16"/>
        <v>-2</v>
      </c>
      <c r="J218" s="16">
        <f t="shared" si="17"/>
        <v>0.48012390294269491</v>
      </c>
      <c r="K218" s="16">
        <f t="shared" si="18"/>
        <v>0.44953627932351337</v>
      </c>
      <c r="L218" s="18">
        <f t="shared" si="19"/>
        <v>3.0587623619181548</v>
      </c>
    </row>
    <row r="219" spans="1:13" ht="32" x14ac:dyDescent="0.2">
      <c r="A219" t="s">
        <v>281</v>
      </c>
      <c r="B219" t="s">
        <v>285</v>
      </c>
      <c r="C219" t="s">
        <v>286</v>
      </c>
      <c r="D219" s="17">
        <v>478</v>
      </c>
      <c r="E219" s="17"/>
      <c r="F219" s="17" t="str">
        <f t="shared" si="15"/>
        <v/>
      </c>
      <c r="G219" s="17">
        <v>821</v>
      </c>
      <c r="H219" s="17"/>
      <c r="I219" s="17" t="str">
        <f t="shared" si="16"/>
        <v/>
      </c>
      <c r="J219" s="16">
        <f t="shared" si="17"/>
        <v>0.36797536566589684</v>
      </c>
      <c r="K219" s="16" t="str">
        <f t="shared" si="18"/>
        <v/>
      </c>
      <c r="L219" s="18" t="str">
        <f t="shared" si="19"/>
        <v/>
      </c>
      <c r="M219" s="12" t="s">
        <v>522</v>
      </c>
    </row>
    <row r="220" spans="1:13" ht="32" x14ac:dyDescent="0.2">
      <c r="A220" t="s">
        <v>281</v>
      </c>
      <c r="B220" t="s">
        <v>285</v>
      </c>
      <c r="C220" t="s">
        <v>287</v>
      </c>
      <c r="D220" s="17">
        <v>578</v>
      </c>
      <c r="E220" s="17"/>
      <c r="F220" s="17" t="str">
        <f t="shared" si="15"/>
        <v/>
      </c>
      <c r="G220" s="17">
        <v>737</v>
      </c>
      <c r="H220" s="17"/>
      <c r="I220" s="17" t="str">
        <f t="shared" si="16"/>
        <v/>
      </c>
      <c r="J220" s="16">
        <f t="shared" si="17"/>
        <v>0.43954372623574145</v>
      </c>
      <c r="K220" s="16" t="str">
        <f t="shared" si="18"/>
        <v/>
      </c>
      <c r="L220" s="18" t="str">
        <f t="shared" si="19"/>
        <v/>
      </c>
      <c r="M220" s="12" t="s">
        <v>522</v>
      </c>
    </row>
    <row r="221" spans="1:13" x14ac:dyDescent="0.2">
      <c r="A221" t="s">
        <v>281</v>
      </c>
      <c r="B221" t="s">
        <v>288</v>
      </c>
      <c r="C221" t="s">
        <v>288</v>
      </c>
      <c r="D221" s="17">
        <v>632</v>
      </c>
      <c r="E221" s="17">
        <v>623</v>
      </c>
      <c r="F221" s="17">
        <f t="shared" si="15"/>
        <v>9</v>
      </c>
      <c r="G221" s="17">
        <v>857</v>
      </c>
      <c r="H221" s="17">
        <v>726</v>
      </c>
      <c r="I221" s="17">
        <f t="shared" si="16"/>
        <v>131</v>
      </c>
      <c r="J221" s="16">
        <f t="shared" si="17"/>
        <v>0.42444593687038279</v>
      </c>
      <c r="K221" s="16">
        <f t="shared" si="18"/>
        <v>0.46182357301704968</v>
      </c>
      <c r="L221" s="18">
        <f t="shared" si="19"/>
        <v>-3.7377636146666893</v>
      </c>
    </row>
    <row r="222" spans="1:13" x14ac:dyDescent="0.2">
      <c r="A222" t="s">
        <v>281</v>
      </c>
      <c r="B222" t="s">
        <v>156</v>
      </c>
      <c r="C222" t="s">
        <v>289</v>
      </c>
      <c r="D222" s="17">
        <v>742</v>
      </c>
      <c r="E222" s="17">
        <v>775</v>
      </c>
      <c r="F222" s="17">
        <f t="shared" si="15"/>
        <v>-33</v>
      </c>
      <c r="G222" s="17">
        <v>460</v>
      </c>
      <c r="H222" s="17">
        <v>447</v>
      </c>
      <c r="I222" s="17">
        <f t="shared" si="16"/>
        <v>13</v>
      </c>
      <c r="J222" s="16">
        <f t="shared" si="17"/>
        <v>0.61730449251247921</v>
      </c>
      <c r="K222" s="16">
        <f t="shared" si="18"/>
        <v>0.63420621931260224</v>
      </c>
      <c r="L222" s="18">
        <f t="shared" si="19"/>
        <v>-1.6901726800123029</v>
      </c>
    </row>
    <row r="223" spans="1:13" x14ac:dyDescent="0.2">
      <c r="A223" t="s">
        <v>281</v>
      </c>
      <c r="B223" t="s">
        <v>156</v>
      </c>
      <c r="C223" t="s">
        <v>290</v>
      </c>
      <c r="D223" s="17">
        <v>1079</v>
      </c>
      <c r="E223" s="17">
        <v>982</v>
      </c>
      <c r="F223" s="17">
        <f t="shared" si="15"/>
        <v>97</v>
      </c>
      <c r="G223" s="17">
        <v>745</v>
      </c>
      <c r="H223" s="17">
        <v>684</v>
      </c>
      <c r="I223" s="17">
        <f t="shared" si="16"/>
        <v>61</v>
      </c>
      <c r="J223" s="16">
        <f t="shared" si="17"/>
        <v>0.5915570175438597</v>
      </c>
      <c r="K223" s="16">
        <f t="shared" si="18"/>
        <v>0.58943577430972394</v>
      </c>
      <c r="L223" s="18">
        <f t="shared" si="19"/>
        <v>0.21212432341357612</v>
      </c>
    </row>
    <row r="224" spans="1:13" x14ac:dyDescent="0.2">
      <c r="A224" t="s">
        <v>281</v>
      </c>
      <c r="B224" t="s">
        <v>156</v>
      </c>
      <c r="C224" t="s">
        <v>291</v>
      </c>
      <c r="D224" s="17">
        <v>805</v>
      </c>
      <c r="E224" s="17">
        <v>750</v>
      </c>
      <c r="F224" s="17">
        <f t="shared" si="15"/>
        <v>55</v>
      </c>
      <c r="G224" s="17">
        <v>430</v>
      </c>
      <c r="H224" s="17">
        <v>421</v>
      </c>
      <c r="I224" s="17">
        <f t="shared" si="16"/>
        <v>9</v>
      </c>
      <c r="J224" s="16">
        <f t="shared" si="17"/>
        <v>0.65182186234817818</v>
      </c>
      <c r="K224" s="16">
        <f t="shared" si="18"/>
        <v>0.64047822374039287</v>
      </c>
      <c r="L224" s="18">
        <f t="shared" si="19"/>
        <v>1.1343638607785311</v>
      </c>
    </row>
    <row r="225" spans="1:12" x14ac:dyDescent="0.2">
      <c r="A225" t="s">
        <v>281</v>
      </c>
      <c r="B225" t="s">
        <v>156</v>
      </c>
      <c r="C225" t="s">
        <v>292</v>
      </c>
      <c r="D225" s="17">
        <v>639</v>
      </c>
      <c r="E225" s="17">
        <v>592</v>
      </c>
      <c r="F225" s="17">
        <f t="shared" si="15"/>
        <v>47</v>
      </c>
      <c r="G225" s="17">
        <v>368</v>
      </c>
      <c r="H225" s="17">
        <v>337</v>
      </c>
      <c r="I225" s="17">
        <f t="shared" si="16"/>
        <v>31</v>
      </c>
      <c r="J225" s="16">
        <f t="shared" si="17"/>
        <v>0.63455809334657398</v>
      </c>
      <c r="K225" s="16">
        <f t="shared" si="18"/>
        <v>0.63724434876210978</v>
      </c>
      <c r="L225" s="18">
        <f t="shared" si="19"/>
        <v>-0.26862554155357987</v>
      </c>
    </row>
    <row r="226" spans="1:12" x14ac:dyDescent="0.2">
      <c r="A226" t="s">
        <v>281</v>
      </c>
      <c r="B226" t="s">
        <v>156</v>
      </c>
      <c r="C226" t="s">
        <v>293</v>
      </c>
      <c r="D226" s="17">
        <v>835</v>
      </c>
      <c r="E226" s="17">
        <v>740</v>
      </c>
      <c r="F226" s="17">
        <f t="shared" si="15"/>
        <v>95</v>
      </c>
      <c r="G226" s="17">
        <v>558</v>
      </c>
      <c r="H226" s="17">
        <v>506</v>
      </c>
      <c r="I226" s="17">
        <f t="shared" si="16"/>
        <v>52</v>
      </c>
      <c r="J226" s="16">
        <f t="shared" si="17"/>
        <v>0.59942569992821249</v>
      </c>
      <c r="K226" s="16">
        <f t="shared" si="18"/>
        <v>0.593900481540931</v>
      </c>
      <c r="L226" s="18">
        <f t="shared" si="19"/>
        <v>0.55252183872814831</v>
      </c>
    </row>
    <row r="227" spans="1:12" x14ac:dyDescent="0.2">
      <c r="A227" t="s">
        <v>281</v>
      </c>
      <c r="B227" t="s">
        <v>156</v>
      </c>
      <c r="C227" t="s">
        <v>294</v>
      </c>
      <c r="D227" s="17">
        <v>1108</v>
      </c>
      <c r="E227" s="17">
        <v>1037</v>
      </c>
      <c r="F227" s="17">
        <f t="shared" si="15"/>
        <v>71</v>
      </c>
      <c r="G227" s="17">
        <v>695</v>
      </c>
      <c r="H227" s="17">
        <v>623</v>
      </c>
      <c r="I227" s="17">
        <f t="shared" si="16"/>
        <v>72</v>
      </c>
      <c r="J227" s="16">
        <f t="shared" si="17"/>
        <v>0.61453133666112036</v>
      </c>
      <c r="K227" s="16">
        <f t="shared" si="18"/>
        <v>0.62469879518072291</v>
      </c>
      <c r="L227" s="18">
        <f t="shared" si="19"/>
        <v>-1.0167458519602546</v>
      </c>
    </row>
    <row r="228" spans="1:12" x14ac:dyDescent="0.2">
      <c r="A228" t="s">
        <v>281</v>
      </c>
      <c r="B228" t="s">
        <v>156</v>
      </c>
      <c r="C228" t="s">
        <v>295</v>
      </c>
      <c r="D228" s="17">
        <v>786</v>
      </c>
      <c r="E228" s="17">
        <v>681</v>
      </c>
      <c r="F228" s="17">
        <f t="shared" si="15"/>
        <v>105</v>
      </c>
      <c r="G228" s="17">
        <v>560</v>
      </c>
      <c r="H228" s="17">
        <v>513</v>
      </c>
      <c r="I228" s="17">
        <f t="shared" si="16"/>
        <v>47</v>
      </c>
      <c r="J228" s="16">
        <f t="shared" si="17"/>
        <v>0.58395245170876675</v>
      </c>
      <c r="K228" s="16">
        <f t="shared" si="18"/>
        <v>0.57035175879396982</v>
      </c>
      <c r="L228" s="18">
        <f t="shared" si="19"/>
        <v>1.360069291479693</v>
      </c>
    </row>
    <row r="229" spans="1:12" x14ac:dyDescent="0.2">
      <c r="A229" t="s">
        <v>281</v>
      </c>
      <c r="B229" t="s">
        <v>156</v>
      </c>
      <c r="C229" t="s">
        <v>296</v>
      </c>
      <c r="D229" s="17">
        <v>572</v>
      </c>
      <c r="E229" s="17">
        <v>529</v>
      </c>
      <c r="F229" s="17">
        <f t="shared" si="15"/>
        <v>43</v>
      </c>
      <c r="G229" s="17">
        <v>347</v>
      </c>
      <c r="H229" s="17">
        <v>293</v>
      </c>
      <c r="I229" s="17">
        <f t="shared" si="16"/>
        <v>54</v>
      </c>
      <c r="J229" s="16">
        <f t="shared" si="17"/>
        <v>0.62241566920565827</v>
      </c>
      <c r="K229" s="16">
        <f t="shared" si="18"/>
        <v>0.64355231143552316</v>
      </c>
      <c r="L229" s="18">
        <f t="shared" si="19"/>
        <v>-2.1136642229864888</v>
      </c>
    </row>
    <row r="230" spans="1:12" x14ac:dyDescent="0.2">
      <c r="A230" t="s">
        <v>281</v>
      </c>
      <c r="B230" t="s">
        <v>156</v>
      </c>
      <c r="C230" t="s">
        <v>297</v>
      </c>
      <c r="D230" s="17">
        <v>658</v>
      </c>
      <c r="E230" s="17">
        <v>767</v>
      </c>
      <c r="F230" s="17">
        <f t="shared" si="15"/>
        <v>-109</v>
      </c>
      <c r="G230" s="17">
        <v>337</v>
      </c>
      <c r="H230" s="17">
        <v>384</v>
      </c>
      <c r="I230" s="17">
        <f t="shared" si="16"/>
        <v>-47</v>
      </c>
      <c r="J230" s="16">
        <f t="shared" si="17"/>
        <v>0.66130653266331663</v>
      </c>
      <c r="K230" s="16">
        <f t="shared" si="18"/>
        <v>0.66637706342311032</v>
      </c>
      <c r="L230" s="18">
        <f t="shared" si="19"/>
        <v>-0.50705307597936899</v>
      </c>
    </row>
    <row r="231" spans="1:12" x14ac:dyDescent="0.2">
      <c r="A231" t="s">
        <v>281</v>
      </c>
      <c r="B231" t="s">
        <v>156</v>
      </c>
      <c r="C231" t="s">
        <v>298</v>
      </c>
      <c r="D231" s="17">
        <v>955</v>
      </c>
      <c r="E231" s="17">
        <v>906</v>
      </c>
      <c r="F231" s="17">
        <f t="shared" si="15"/>
        <v>49</v>
      </c>
      <c r="G231" s="17">
        <v>599</v>
      </c>
      <c r="H231" s="17">
        <v>586</v>
      </c>
      <c r="I231" s="17">
        <f t="shared" si="16"/>
        <v>13</v>
      </c>
      <c r="J231" s="16">
        <f t="shared" si="17"/>
        <v>0.6145431145431145</v>
      </c>
      <c r="K231" s="16">
        <f t="shared" si="18"/>
        <v>0.60723860589812328</v>
      </c>
      <c r="L231" s="18">
        <f t="shared" si="19"/>
        <v>0.73045086449912144</v>
      </c>
    </row>
    <row r="232" spans="1:12" x14ac:dyDescent="0.2">
      <c r="A232" t="s">
        <v>281</v>
      </c>
      <c r="B232" t="s">
        <v>156</v>
      </c>
      <c r="C232" t="s">
        <v>299</v>
      </c>
      <c r="D232" s="17">
        <v>815</v>
      </c>
      <c r="E232" s="17">
        <v>954</v>
      </c>
      <c r="F232" s="17">
        <f t="shared" si="15"/>
        <v>-139</v>
      </c>
      <c r="G232" s="17">
        <v>329</v>
      </c>
      <c r="H232" s="17">
        <v>416</v>
      </c>
      <c r="I232" s="17">
        <f t="shared" si="16"/>
        <v>-87</v>
      </c>
      <c r="J232" s="16">
        <f t="shared" si="17"/>
        <v>0.71241258741258739</v>
      </c>
      <c r="K232" s="16">
        <f t="shared" si="18"/>
        <v>0.69635036496350367</v>
      </c>
      <c r="L232" s="18">
        <f t="shared" si="19"/>
        <v>1.606222244908373</v>
      </c>
    </row>
    <row r="233" spans="1:12" x14ac:dyDescent="0.2">
      <c r="A233" t="s">
        <v>281</v>
      </c>
      <c r="B233" t="s">
        <v>156</v>
      </c>
      <c r="C233" t="s">
        <v>300</v>
      </c>
      <c r="D233" s="17">
        <v>865</v>
      </c>
      <c r="E233" s="17">
        <v>821</v>
      </c>
      <c r="F233" s="17">
        <f t="shared" si="15"/>
        <v>44</v>
      </c>
      <c r="G233" s="17">
        <v>457</v>
      </c>
      <c r="H233" s="17">
        <v>474</v>
      </c>
      <c r="I233" s="17">
        <f t="shared" si="16"/>
        <v>-17</v>
      </c>
      <c r="J233" s="16">
        <f t="shared" si="17"/>
        <v>0.65431164901664141</v>
      </c>
      <c r="K233" s="16">
        <f t="shared" si="18"/>
        <v>0.63397683397683402</v>
      </c>
      <c r="L233" s="18">
        <f t="shared" si="19"/>
        <v>2.0334815039807386</v>
      </c>
    </row>
    <row r="234" spans="1:12" x14ac:dyDescent="0.2">
      <c r="A234" t="s">
        <v>281</v>
      </c>
      <c r="B234" t="s">
        <v>156</v>
      </c>
      <c r="C234" t="s">
        <v>301</v>
      </c>
      <c r="D234" s="17">
        <v>272</v>
      </c>
      <c r="E234" s="17">
        <v>283</v>
      </c>
      <c r="F234" s="17">
        <f t="shared" si="15"/>
        <v>-11</v>
      </c>
      <c r="G234" s="17">
        <v>91</v>
      </c>
      <c r="H234" s="17">
        <v>110</v>
      </c>
      <c r="I234" s="17">
        <f t="shared" si="16"/>
        <v>-19</v>
      </c>
      <c r="J234" s="16">
        <f t="shared" si="17"/>
        <v>0.74931129476584024</v>
      </c>
      <c r="K234" s="16">
        <f t="shared" si="18"/>
        <v>0.72010178117048351</v>
      </c>
      <c r="L234" s="18">
        <f t="shared" si="19"/>
        <v>2.9209513595356729</v>
      </c>
    </row>
    <row r="235" spans="1:12" x14ac:dyDescent="0.2">
      <c r="A235" t="s">
        <v>281</v>
      </c>
      <c r="B235" t="s">
        <v>156</v>
      </c>
      <c r="C235" t="s">
        <v>302</v>
      </c>
      <c r="D235" s="17">
        <v>446</v>
      </c>
      <c r="E235" s="17">
        <v>450</v>
      </c>
      <c r="F235" s="17">
        <f t="shared" si="15"/>
        <v>-4</v>
      </c>
      <c r="G235" s="17">
        <v>133</v>
      </c>
      <c r="H235" s="17">
        <v>179</v>
      </c>
      <c r="I235" s="17">
        <f t="shared" si="16"/>
        <v>-46</v>
      </c>
      <c r="J235" s="16">
        <f t="shared" si="17"/>
        <v>0.77029360967184801</v>
      </c>
      <c r="K235" s="16">
        <f t="shared" si="18"/>
        <v>0.71542130365659773</v>
      </c>
      <c r="L235" s="18">
        <f t="shared" si="19"/>
        <v>5.4872306015250283</v>
      </c>
    </row>
    <row r="236" spans="1:12" x14ac:dyDescent="0.2">
      <c r="A236" t="s">
        <v>281</v>
      </c>
      <c r="B236" t="s">
        <v>156</v>
      </c>
      <c r="C236" t="s">
        <v>303</v>
      </c>
      <c r="D236" s="17">
        <v>437</v>
      </c>
      <c r="E236" s="17">
        <v>442</v>
      </c>
      <c r="F236" s="17">
        <f t="shared" si="15"/>
        <v>-5</v>
      </c>
      <c r="G236" s="17">
        <v>156</v>
      </c>
      <c r="H236" s="17">
        <v>161</v>
      </c>
      <c r="I236" s="17">
        <f t="shared" si="16"/>
        <v>-5</v>
      </c>
      <c r="J236" s="16">
        <f t="shared" si="17"/>
        <v>0.73693086003372676</v>
      </c>
      <c r="K236" s="16">
        <f t="shared" si="18"/>
        <v>0.7330016583747927</v>
      </c>
      <c r="L236" s="18">
        <f t="shared" si="19"/>
        <v>0.39292016589340673</v>
      </c>
    </row>
    <row r="237" spans="1:12" x14ac:dyDescent="0.2">
      <c r="A237" t="s">
        <v>281</v>
      </c>
      <c r="B237" t="s">
        <v>156</v>
      </c>
      <c r="C237" t="s">
        <v>304</v>
      </c>
      <c r="D237" s="17">
        <v>548</v>
      </c>
      <c r="E237" s="17">
        <v>599</v>
      </c>
      <c r="F237" s="17">
        <f t="shared" si="15"/>
        <v>-51</v>
      </c>
      <c r="G237" s="17">
        <v>149</v>
      </c>
      <c r="H237" s="17">
        <v>203</v>
      </c>
      <c r="I237" s="17">
        <f t="shared" si="16"/>
        <v>-54</v>
      </c>
      <c r="J237" s="16">
        <f t="shared" si="17"/>
        <v>0.78622668579626975</v>
      </c>
      <c r="K237" s="16">
        <f t="shared" si="18"/>
        <v>0.74688279301745641</v>
      </c>
      <c r="L237" s="18">
        <f t="shared" si="19"/>
        <v>3.9343892778813339</v>
      </c>
    </row>
    <row r="238" spans="1:12" x14ac:dyDescent="0.2">
      <c r="A238" t="s">
        <v>281</v>
      </c>
      <c r="B238" t="s">
        <v>156</v>
      </c>
      <c r="C238" t="s">
        <v>305</v>
      </c>
      <c r="D238" s="17">
        <v>594</v>
      </c>
      <c r="E238" s="17">
        <v>1506</v>
      </c>
      <c r="F238" s="17">
        <f t="shared" si="15"/>
        <v>-912</v>
      </c>
      <c r="G238" s="17">
        <v>158</v>
      </c>
      <c r="H238" s="17">
        <v>338</v>
      </c>
      <c r="I238" s="17">
        <f t="shared" si="16"/>
        <v>-180</v>
      </c>
      <c r="J238" s="16">
        <f t="shared" si="17"/>
        <v>0.78989361702127658</v>
      </c>
      <c r="K238" s="16">
        <f t="shared" si="18"/>
        <v>0.81670281995661609</v>
      </c>
      <c r="L238" s="18">
        <f t="shared" si="19"/>
        <v>-2.6809202935339504</v>
      </c>
    </row>
    <row r="239" spans="1:12" x14ac:dyDescent="0.2">
      <c r="A239" t="s">
        <v>281</v>
      </c>
      <c r="B239" t="s">
        <v>156</v>
      </c>
      <c r="C239" t="s">
        <v>306</v>
      </c>
      <c r="D239" s="17">
        <v>555</v>
      </c>
      <c r="E239" s="17">
        <v>645</v>
      </c>
      <c r="F239" s="17">
        <f t="shared" si="15"/>
        <v>-90</v>
      </c>
      <c r="G239" s="17">
        <v>153</v>
      </c>
      <c r="H239" s="17">
        <v>243</v>
      </c>
      <c r="I239" s="17">
        <f t="shared" si="16"/>
        <v>-90</v>
      </c>
      <c r="J239" s="16">
        <f t="shared" si="17"/>
        <v>0.78389830508474578</v>
      </c>
      <c r="K239" s="16">
        <f t="shared" si="18"/>
        <v>0.72635135135135132</v>
      </c>
      <c r="L239" s="18">
        <f t="shared" si="19"/>
        <v>5.7546953733394464</v>
      </c>
    </row>
    <row r="240" spans="1:12" x14ac:dyDescent="0.2">
      <c r="A240" t="s">
        <v>281</v>
      </c>
      <c r="B240" t="s">
        <v>156</v>
      </c>
      <c r="C240" t="s">
        <v>307</v>
      </c>
      <c r="D240" s="17">
        <v>581</v>
      </c>
      <c r="E240" s="17">
        <v>628</v>
      </c>
      <c r="F240" s="17">
        <f t="shared" si="15"/>
        <v>-47</v>
      </c>
      <c r="G240" s="17">
        <v>184</v>
      </c>
      <c r="H240" s="17">
        <v>267</v>
      </c>
      <c r="I240" s="17">
        <f t="shared" si="16"/>
        <v>-83</v>
      </c>
      <c r="J240" s="16">
        <f t="shared" si="17"/>
        <v>0.7594771241830065</v>
      </c>
      <c r="K240" s="16">
        <f t="shared" si="18"/>
        <v>0.70167597765363132</v>
      </c>
      <c r="L240" s="18">
        <f t="shared" si="19"/>
        <v>5.7801146529375185</v>
      </c>
    </row>
    <row r="241" spans="1:13" x14ac:dyDescent="0.2">
      <c r="A241" t="s">
        <v>281</v>
      </c>
      <c r="B241" t="s">
        <v>156</v>
      </c>
      <c r="C241" t="s">
        <v>308</v>
      </c>
      <c r="D241" s="17">
        <v>424</v>
      </c>
      <c r="E241" s="17">
        <v>473</v>
      </c>
      <c r="F241" s="17">
        <f t="shared" si="15"/>
        <v>-49</v>
      </c>
      <c r="G241" s="17">
        <v>186</v>
      </c>
      <c r="H241" s="17">
        <v>153</v>
      </c>
      <c r="I241" s="17">
        <f t="shared" si="16"/>
        <v>33</v>
      </c>
      <c r="J241" s="16">
        <f t="shared" si="17"/>
        <v>0.69508196721311477</v>
      </c>
      <c r="K241" s="16">
        <f t="shared" si="18"/>
        <v>0.75559105431309903</v>
      </c>
      <c r="L241" s="18">
        <f t="shared" si="19"/>
        <v>-6.050908709998426</v>
      </c>
    </row>
    <row r="242" spans="1:13" x14ac:dyDescent="0.2">
      <c r="A242" t="s">
        <v>281</v>
      </c>
      <c r="B242" t="s">
        <v>156</v>
      </c>
      <c r="C242" t="s">
        <v>309</v>
      </c>
      <c r="D242" s="17">
        <v>646</v>
      </c>
      <c r="E242" s="17">
        <v>745</v>
      </c>
      <c r="F242" s="17">
        <f t="shared" si="15"/>
        <v>-99</v>
      </c>
      <c r="G242" s="17">
        <v>242</v>
      </c>
      <c r="H242" s="17">
        <v>301</v>
      </c>
      <c r="I242" s="17">
        <f t="shared" si="16"/>
        <v>-59</v>
      </c>
      <c r="J242" s="16">
        <f t="shared" si="17"/>
        <v>0.72747747747747749</v>
      </c>
      <c r="K242" s="16">
        <f t="shared" si="18"/>
        <v>0.71223709369024857</v>
      </c>
      <c r="L242" s="18">
        <f t="shared" si="19"/>
        <v>1.5240383787228917</v>
      </c>
    </row>
    <row r="243" spans="1:13" x14ac:dyDescent="0.2">
      <c r="A243" t="s">
        <v>281</v>
      </c>
      <c r="B243" t="s">
        <v>156</v>
      </c>
      <c r="C243" t="s">
        <v>310</v>
      </c>
      <c r="D243" s="17">
        <v>637</v>
      </c>
      <c r="E243" s="17">
        <v>682</v>
      </c>
      <c r="F243" s="17">
        <f t="shared" si="15"/>
        <v>-45</v>
      </c>
      <c r="G243" s="17">
        <v>288</v>
      </c>
      <c r="H243" s="17">
        <v>313</v>
      </c>
      <c r="I243" s="17">
        <f t="shared" si="16"/>
        <v>-25</v>
      </c>
      <c r="J243" s="16">
        <f t="shared" si="17"/>
        <v>0.68864864864864861</v>
      </c>
      <c r="K243" s="16">
        <f t="shared" si="18"/>
        <v>0.68542713567839197</v>
      </c>
      <c r="L243" s="18">
        <f t="shared" si="19"/>
        <v>0.32215129702566347</v>
      </c>
    </row>
    <row r="244" spans="1:13" x14ac:dyDescent="0.2">
      <c r="A244" t="s">
        <v>281</v>
      </c>
      <c r="B244" t="s">
        <v>156</v>
      </c>
      <c r="C244" t="s">
        <v>311</v>
      </c>
      <c r="D244" s="17">
        <v>710</v>
      </c>
      <c r="E244" s="17">
        <v>711</v>
      </c>
      <c r="F244" s="17">
        <f t="shared" si="15"/>
        <v>-1</v>
      </c>
      <c r="G244" s="17">
        <v>318</v>
      </c>
      <c r="H244" s="17">
        <v>341</v>
      </c>
      <c r="I244" s="17">
        <f t="shared" si="16"/>
        <v>-23</v>
      </c>
      <c r="J244" s="16">
        <f t="shared" si="17"/>
        <v>0.69066147859922178</v>
      </c>
      <c r="K244" s="16">
        <f t="shared" si="18"/>
        <v>0.67585551330798477</v>
      </c>
      <c r="L244" s="18">
        <f t="shared" si="19"/>
        <v>1.4805965291237011</v>
      </c>
    </row>
    <row r="245" spans="1:13" ht="32" x14ac:dyDescent="0.2">
      <c r="A245" t="s">
        <v>281</v>
      </c>
      <c r="B245" t="s">
        <v>156</v>
      </c>
      <c r="C245" t="s">
        <v>312</v>
      </c>
      <c r="D245" s="17">
        <v>595</v>
      </c>
      <c r="E245" s="17"/>
      <c r="F245" s="17" t="str">
        <f t="shared" si="15"/>
        <v/>
      </c>
      <c r="G245" s="17">
        <v>292</v>
      </c>
      <c r="H245" s="17"/>
      <c r="I245" s="17" t="str">
        <f t="shared" si="16"/>
        <v/>
      </c>
      <c r="J245" s="16">
        <f t="shared" si="17"/>
        <v>0.67080045095828633</v>
      </c>
      <c r="K245" s="16" t="str">
        <f t="shared" si="18"/>
        <v/>
      </c>
      <c r="L245" s="18" t="str">
        <f t="shared" si="19"/>
        <v/>
      </c>
      <c r="M245" s="12" t="s">
        <v>519</v>
      </c>
    </row>
    <row r="246" spans="1:13" x14ac:dyDescent="0.2">
      <c r="A246" t="s">
        <v>281</v>
      </c>
      <c r="B246" t="s">
        <v>313</v>
      </c>
      <c r="C246" t="s">
        <v>314</v>
      </c>
      <c r="D246" s="17">
        <v>530</v>
      </c>
      <c r="E246" s="17">
        <v>466</v>
      </c>
      <c r="F246" s="17">
        <f t="shared" si="15"/>
        <v>64</v>
      </c>
      <c r="G246" s="17">
        <v>484</v>
      </c>
      <c r="H246" s="17">
        <v>405</v>
      </c>
      <c r="I246" s="17">
        <f t="shared" si="16"/>
        <v>79</v>
      </c>
      <c r="J246" s="16">
        <f t="shared" si="17"/>
        <v>0.52268244575936884</v>
      </c>
      <c r="K246" s="16">
        <f t="shared" si="18"/>
        <v>0.5350172215843858</v>
      </c>
      <c r="L246" s="18">
        <f t="shared" si="19"/>
        <v>-1.2334775825016964</v>
      </c>
    </row>
    <row r="247" spans="1:13" x14ac:dyDescent="0.2">
      <c r="A247" t="s">
        <v>281</v>
      </c>
      <c r="B247" t="s">
        <v>313</v>
      </c>
      <c r="C247" t="s">
        <v>315</v>
      </c>
      <c r="D247" s="17">
        <v>654</v>
      </c>
      <c r="E247" s="17">
        <v>552</v>
      </c>
      <c r="F247" s="17">
        <f t="shared" si="15"/>
        <v>102</v>
      </c>
      <c r="G247" s="17">
        <v>598</v>
      </c>
      <c r="H247" s="17">
        <v>506</v>
      </c>
      <c r="I247" s="17">
        <f t="shared" si="16"/>
        <v>92</v>
      </c>
      <c r="J247" s="16">
        <f t="shared" si="17"/>
        <v>0.52236421725239612</v>
      </c>
      <c r="K247" s="16">
        <f t="shared" si="18"/>
        <v>0.52173913043478259</v>
      </c>
      <c r="L247" s="18">
        <f t="shared" si="19"/>
        <v>6.2508681761352936E-2</v>
      </c>
    </row>
    <row r="248" spans="1:13" x14ac:dyDescent="0.2">
      <c r="A248" t="s">
        <v>281</v>
      </c>
      <c r="B248" t="s">
        <v>313</v>
      </c>
      <c r="C248" t="s">
        <v>316</v>
      </c>
      <c r="D248" s="17">
        <v>667</v>
      </c>
      <c r="E248" s="17">
        <v>722</v>
      </c>
      <c r="F248" s="17">
        <f t="shared" si="15"/>
        <v>-55</v>
      </c>
      <c r="G248" s="17">
        <v>565</v>
      </c>
      <c r="H248" s="17">
        <v>596</v>
      </c>
      <c r="I248" s="17">
        <f t="shared" si="16"/>
        <v>-31</v>
      </c>
      <c r="J248" s="16">
        <f t="shared" si="17"/>
        <v>0.54139610389610393</v>
      </c>
      <c r="K248" s="16">
        <f t="shared" si="18"/>
        <v>0.54779969650986338</v>
      </c>
      <c r="L248" s="18">
        <f t="shared" si="19"/>
        <v>-0.64035926137594457</v>
      </c>
    </row>
    <row r="249" spans="1:13" x14ac:dyDescent="0.2">
      <c r="A249" t="s">
        <v>281</v>
      </c>
      <c r="B249" t="s">
        <v>313</v>
      </c>
      <c r="C249" t="s">
        <v>317</v>
      </c>
      <c r="D249" s="17">
        <v>351</v>
      </c>
      <c r="E249" s="17">
        <v>339</v>
      </c>
      <c r="F249" s="17">
        <f t="shared" si="15"/>
        <v>12</v>
      </c>
      <c r="G249" s="17">
        <v>380</v>
      </c>
      <c r="H249" s="17">
        <v>338</v>
      </c>
      <c r="I249" s="17">
        <f t="shared" si="16"/>
        <v>42</v>
      </c>
      <c r="J249" s="16">
        <f t="shared" si="17"/>
        <v>0.48016415868673051</v>
      </c>
      <c r="K249" s="16">
        <f t="shared" si="18"/>
        <v>0.50073855243722309</v>
      </c>
      <c r="L249" s="18">
        <f t="shared" si="19"/>
        <v>-2.0574393750492579</v>
      </c>
    </row>
    <row r="250" spans="1:13" x14ac:dyDescent="0.2">
      <c r="A250" t="s">
        <v>281</v>
      </c>
      <c r="B250" t="s">
        <v>313</v>
      </c>
      <c r="C250" t="s">
        <v>318</v>
      </c>
      <c r="D250" s="17">
        <v>657</v>
      </c>
      <c r="E250" s="17">
        <v>579</v>
      </c>
      <c r="F250" s="17">
        <f t="shared" si="15"/>
        <v>78</v>
      </c>
      <c r="G250" s="17">
        <v>533</v>
      </c>
      <c r="H250" s="17">
        <v>482</v>
      </c>
      <c r="I250" s="17">
        <f t="shared" si="16"/>
        <v>51</v>
      </c>
      <c r="J250" s="16">
        <f t="shared" si="17"/>
        <v>0.55210084033613449</v>
      </c>
      <c r="K250" s="16">
        <f t="shared" si="18"/>
        <v>0.54571159283694626</v>
      </c>
      <c r="L250" s="18">
        <f t="shared" si="19"/>
        <v>0.63892474991882331</v>
      </c>
    </row>
    <row r="251" spans="1:13" x14ac:dyDescent="0.2">
      <c r="A251" t="s">
        <v>281</v>
      </c>
      <c r="B251" t="s">
        <v>313</v>
      </c>
      <c r="C251" t="s">
        <v>319</v>
      </c>
      <c r="D251" s="17">
        <v>633</v>
      </c>
      <c r="E251" s="17">
        <v>562</v>
      </c>
      <c r="F251" s="17">
        <f t="shared" si="15"/>
        <v>71</v>
      </c>
      <c r="G251" s="17">
        <v>567</v>
      </c>
      <c r="H251" s="17">
        <v>525</v>
      </c>
      <c r="I251" s="17">
        <f t="shared" si="16"/>
        <v>42</v>
      </c>
      <c r="J251" s="16">
        <f t="shared" si="17"/>
        <v>0.52749999999999997</v>
      </c>
      <c r="K251" s="16">
        <f t="shared" si="18"/>
        <v>0.51701931922723088</v>
      </c>
      <c r="L251" s="18">
        <f t="shared" si="19"/>
        <v>1.0480680772769091</v>
      </c>
    </row>
    <row r="252" spans="1:13" x14ac:dyDescent="0.2">
      <c r="A252" t="s">
        <v>281</v>
      </c>
      <c r="B252" t="s">
        <v>313</v>
      </c>
      <c r="C252" t="s">
        <v>320</v>
      </c>
      <c r="D252" s="17">
        <v>385</v>
      </c>
      <c r="E252" s="17">
        <v>337</v>
      </c>
      <c r="F252" s="17">
        <f t="shared" si="15"/>
        <v>48</v>
      </c>
      <c r="G252" s="17">
        <v>327</v>
      </c>
      <c r="H252" s="17">
        <v>296</v>
      </c>
      <c r="I252" s="17">
        <f t="shared" si="16"/>
        <v>31</v>
      </c>
      <c r="J252" s="16">
        <f t="shared" si="17"/>
        <v>0.5407303370786517</v>
      </c>
      <c r="K252" s="16">
        <f t="shared" si="18"/>
        <v>0.53238546603475512</v>
      </c>
      <c r="L252" s="18">
        <f t="shared" si="19"/>
        <v>0.83448710438965845</v>
      </c>
    </row>
    <row r="253" spans="1:13" x14ac:dyDescent="0.2">
      <c r="A253" t="s">
        <v>281</v>
      </c>
      <c r="B253" t="s">
        <v>313</v>
      </c>
      <c r="C253" t="s">
        <v>321</v>
      </c>
      <c r="D253" s="17">
        <v>513</v>
      </c>
      <c r="E253" s="17">
        <v>517</v>
      </c>
      <c r="F253" s="17">
        <f t="shared" si="15"/>
        <v>-4</v>
      </c>
      <c r="G253" s="17">
        <v>373</v>
      </c>
      <c r="H253" s="17">
        <v>388</v>
      </c>
      <c r="I253" s="17">
        <f t="shared" si="16"/>
        <v>-15</v>
      </c>
      <c r="J253" s="16">
        <f t="shared" si="17"/>
        <v>0.57900677200902939</v>
      </c>
      <c r="K253" s="16">
        <f t="shared" si="18"/>
        <v>0.57127071823204423</v>
      </c>
      <c r="L253" s="18">
        <f t="shared" si="19"/>
        <v>0.77360537769851634</v>
      </c>
    </row>
    <row r="254" spans="1:13" x14ac:dyDescent="0.2">
      <c r="A254" t="s">
        <v>281</v>
      </c>
      <c r="B254" t="s">
        <v>313</v>
      </c>
      <c r="C254" t="s">
        <v>322</v>
      </c>
      <c r="D254" s="17">
        <v>351</v>
      </c>
      <c r="E254" s="17">
        <v>329</v>
      </c>
      <c r="F254" s="17">
        <f t="shared" si="15"/>
        <v>22</v>
      </c>
      <c r="G254" s="17">
        <v>250</v>
      </c>
      <c r="H254" s="17">
        <v>217</v>
      </c>
      <c r="I254" s="17">
        <f t="shared" si="16"/>
        <v>33</v>
      </c>
      <c r="J254" s="16">
        <f t="shared" si="17"/>
        <v>0.58402662229617308</v>
      </c>
      <c r="K254" s="16">
        <f t="shared" si="18"/>
        <v>0.60256410256410253</v>
      </c>
      <c r="L254" s="18">
        <f t="shared" si="19"/>
        <v>-1.8537480267929451</v>
      </c>
    </row>
    <row r="255" spans="1:13" x14ac:dyDescent="0.2">
      <c r="A255" t="s">
        <v>281</v>
      </c>
      <c r="B255" t="s">
        <v>313</v>
      </c>
      <c r="C255" t="s">
        <v>323</v>
      </c>
      <c r="D255" s="17">
        <v>392</v>
      </c>
      <c r="E255" s="17">
        <v>352</v>
      </c>
      <c r="F255" s="17">
        <f t="shared" si="15"/>
        <v>40</v>
      </c>
      <c r="G255" s="17">
        <v>400</v>
      </c>
      <c r="H255" s="17">
        <v>326</v>
      </c>
      <c r="I255" s="17">
        <f t="shared" si="16"/>
        <v>74</v>
      </c>
      <c r="J255" s="16">
        <f t="shared" si="17"/>
        <v>0.49494949494949497</v>
      </c>
      <c r="K255" s="16">
        <f t="shared" si="18"/>
        <v>0.5191740412979351</v>
      </c>
      <c r="L255" s="18">
        <f t="shared" si="19"/>
        <v>-2.4224546348440121</v>
      </c>
    </row>
    <row r="256" spans="1:13" x14ac:dyDescent="0.2">
      <c r="A256" t="s">
        <v>281</v>
      </c>
      <c r="B256" t="s">
        <v>313</v>
      </c>
      <c r="C256" t="s">
        <v>324</v>
      </c>
      <c r="D256" s="17">
        <v>509</v>
      </c>
      <c r="E256" s="17">
        <v>420</v>
      </c>
      <c r="F256" s="17">
        <f t="shared" si="15"/>
        <v>89</v>
      </c>
      <c r="G256" s="17">
        <v>434</v>
      </c>
      <c r="H256" s="17">
        <v>378</v>
      </c>
      <c r="I256" s="17">
        <f t="shared" si="16"/>
        <v>56</v>
      </c>
      <c r="J256" s="16">
        <f t="shared" si="17"/>
        <v>0.53976670201484622</v>
      </c>
      <c r="K256" s="16">
        <f t="shared" si="18"/>
        <v>0.52631578947368418</v>
      </c>
      <c r="L256" s="18">
        <f t="shared" si="19"/>
        <v>1.3450912541162041</v>
      </c>
    </row>
    <row r="257" spans="1:13" x14ac:dyDescent="0.2">
      <c r="A257" t="s">
        <v>281</v>
      </c>
      <c r="B257" t="s">
        <v>313</v>
      </c>
      <c r="C257" t="s">
        <v>325</v>
      </c>
      <c r="D257" s="17">
        <v>497</v>
      </c>
      <c r="E257" s="17">
        <v>522</v>
      </c>
      <c r="F257" s="17">
        <f t="shared" si="15"/>
        <v>-25</v>
      </c>
      <c r="G257" s="17">
        <v>407</v>
      </c>
      <c r="H257" s="17">
        <v>400</v>
      </c>
      <c r="I257" s="17">
        <f t="shared" si="16"/>
        <v>7</v>
      </c>
      <c r="J257" s="16">
        <f t="shared" si="17"/>
        <v>0.5497787610619469</v>
      </c>
      <c r="K257" s="16">
        <f t="shared" si="18"/>
        <v>0.56616052060737532</v>
      </c>
      <c r="L257" s="18">
        <f t="shared" si="19"/>
        <v>-1.638175954542842</v>
      </c>
    </row>
    <row r="258" spans="1:13" x14ac:dyDescent="0.2">
      <c r="A258" t="s">
        <v>281</v>
      </c>
      <c r="B258" t="s">
        <v>313</v>
      </c>
      <c r="C258" t="s">
        <v>326</v>
      </c>
      <c r="D258" s="17">
        <v>498</v>
      </c>
      <c r="E258" s="17">
        <v>436</v>
      </c>
      <c r="F258" s="17">
        <f t="shared" ref="F258:F321" si="20">IF(E258="","",D258-E258)</f>
        <v>62</v>
      </c>
      <c r="G258" s="17">
        <v>522</v>
      </c>
      <c r="H258" s="17">
        <v>423</v>
      </c>
      <c r="I258" s="17">
        <f t="shared" ref="I258:I321" si="21">IF(H258="","",G258-H258)</f>
        <v>99</v>
      </c>
      <c r="J258" s="16">
        <f t="shared" ref="J258:J321" si="22">IF(D258+G258=0,"",D258/(D258+G258))</f>
        <v>0.48823529411764705</v>
      </c>
      <c r="K258" s="16">
        <f t="shared" ref="K258:K321" si="23">IF(E258="","",E258/(E258+H258))</f>
        <v>0.50756693830034927</v>
      </c>
      <c r="L258" s="18">
        <f t="shared" ref="L258:L321" si="24">IF(OR(K258="",J258=""),"",(J258-K258)*100)</f>
        <v>-1.9331644182702223</v>
      </c>
    </row>
    <row r="259" spans="1:13" x14ac:dyDescent="0.2">
      <c r="A259" t="s">
        <v>281</v>
      </c>
      <c r="B259" t="s">
        <v>313</v>
      </c>
      <c r="C259" t="s">
        <v>327</v>
      </c>
      <c r="D259" s="17">
        <v>1021</v>
      </c>
      <c r="E259" s="17">
        <v>925</v>
      </c>
      <c r="F259" s="17">
        <f t="shared" si="20"/>
        <v>96</v>
      </c>
      <c r="G259" s="17">
        <v>885</v>
      </c>
      <c r="H259" s="17">
        <v>710</v>
      </c>
      <c r="I259" s="17">
        <f t="shared" si="21"/>
        <v>175</v>
      </c>
      <c r="J259" s="16">
        <f t="shared" si="22"/>
        <v>0.53567681007345225</v>
      </c>
      <c r="K259" s="16">
        <f t="shared" si="23"/>
        <v>0.56574923547400613</v>
      </c>
      <c r="L259" s="18">
        <f t="shared" si="24"/>
        <v>-3.0072425400553882</v>
      </c>
    </row>
    <row r="260" spans="1:13" x14ac:dyDescent="0.2">
      <c r="A260" t="s">
        <v>281</v>
      </c>
      <c r="B260" t="s">
        <v>313</v>
      </c>
      <c r="C260" t="s">
        <v>328</v>
      </c>
      <c r="D260" s="17">
        <v>570</v>
      </c>
      <c r="E260" s="17">
        <v>535</v>
      </c>
      <c r="F260" s="17">
        <f t="shared" si="20"/>
        <v>35</v>
      </c>
      <c r="G260" s="17">
        <v>593</v>
      </c>
      <c r="H260" s="17">
        <v>514</v>
      </c>
      <c r="I260" s="17">
        <f t="shared" si="21"/>
        <v>79</v>
      </c>
      <c r="J260" s="16">
        <f t="shared" si="22"/>
        <v>0.49011177987962168</v>
      </c>
      <c r="K260" s="16">
        <f t="shared" si="23"/>
        <v>0.51000953288846518</v>
      </c>
      <c r="L260" s="18">
        <f t="shared" si="24"/>
        <v>-1.98977530088435</v>
      </c>
    </row>
    <row r="261" spans="1:13" x14ac:dyDescent="0.2">
      <c r="A261" t="s">
        <v>281</v>
      </c>
      <c r="B261" t="s">
        <v>313</v>
      </c>
      <c r="C261" t="s">
        <v>329</v>
      </c>
      <c r="D261" s="17">
        <v>565</v>
      </c>
      <c r="E261" s="17">
        <v>499</v>
      </c>
      <c r="F261" s="17">
        <f t="shared" si="20"/>
        <v>66</v>
      </c>
      <c r="G261" s="17">
        <v>572</v>
      </c>
      <c r="H261" s="17">
        <v>468</v>
      </c>
      <c r="I261" s="17">
        <f t="shared" si="21"/>
        <v>104</v>
      </c>
      <c r="J261" s="16">
        <f t="shared" si="22"/>
        <v>0.49692172383465261</v>
      </c>
      <c r="K261" s="16">
        <f t="shared" si="23"/>
        <v>0.516028955532575</v>
      </c>
      <c r="L261" s="18">
        <f t="shared" si="24"/>
        <v>-1.9107231697922389</v>
      </c>
    </row>
    <row r="262" spans="1:13" x14ac:dyDescent="0.2">
      <c r="A262" t="s">
        <v>281</v>
      </c>
      <c r="B262" t="s">
        <v>313</v>
      </c>
      <c r="C262" t="s">
        <v>330</v>
      </c>
      <c r="D262" s="17">
        <v>598</v>
      </c>
      <c r="E262" s="17">
        <v>503</v>
      </c>
      <c r="F262" s="17">
        <f t="shared" si="20"/>
        <v>95</v>
      </c>
      <c r="G262" s="17">
        <v>534</v>
      </c>
      <c r="H262" s="17">
        <v>468</v>
      </c>
      <c r="I262" s="17">
        <f t="shared" si="21"/>
        <v>66</v>
      </c>
      <c r="J262" s="16">
        <f t="shared" si="22"/>
        <v>0.5282685512367491</v>
      </c>
      <c r="K262" s="16">
        <f t="shared" si="23"/>
        <v>0.51802265705458295</v>
      </c>
      <c r="L262" s="18">
        <f t="shared" si="24"/>
        <v>1.0245894182166149</v>
      </c>
    </row>
    <row r="263" spans="1:13" x14ac:dyDescent="0.2">
      <c r="A263" t="s">
        <v>281</v>
      </c>
      <c r="B263" t="s">
        <v>331</v>
      </c>
      <c r="C263" t="s">
        <v>332</v>
      </c>
      <c r="D263" s="17">
        <v>996</v>
      </c>
      <c r="E263" s="17">
        <v>939</v>
      </c>
      <c r="F263" s="17">
        <f t="shared" si="20"/>
        <v>57</v>
      </c>
      <c r="G263" s="17">
        <v>1681</v>
      </c>
      <c r="H263" s="17">
        <v>1452</v>
      </c>
      <c r="I263" s="17">
        <f t="shared" si="21"/>
        <v>229</v>
      </c>
      <c r="J263" s="16">
        <f t="shared" si="22"/>
        <v>0.37205827418752335</v>
      </c>
      <c r="K263" s="16">
        <f t="shared" si="23"/>
        <v>0.39272271016311167</v>
      </c>
      <c r="L263" s="18">
        <f t="shared" si="24"/>
        <v>-2.0664435975588313</v>
      </c>
    </row>
    <row r="264" spans="1:13" x14ac:dyDescent="0.2">
      <c r="A264" t="s">
        <v>281</v>
      </c>
      <c r="B264" t="s">
        <v>331</v>
      </c>
      <c r="C264" t="s">
        <v>333</v>
      </c>
      <c r="D264" s="17">
        <v>934</v>
      </c>
      <c r="E264" s="17">
        <v>820</v>
      </c>
      <c r="F264" s="17">
        <f t="shared" si="20"/>
        <v>114</v>
      </c>
      <c r="G264" s="17">
        <v>1379</v>
      </c>
      <c r="H264" s="17">
        <v>1185</v>
      </c>
      <c r="I264" s="17">
        <f t="shared" si="21"/>
        <v>194</v>
      </c>
      <c r="J264" s="16">
        <f t="shared" si="22"/>
        <v>0.40380458279290965</v>
      </c>
      <c r="K264" s="16">
        <f t="shared" si="23"/>
        <v>0.40897755610972569</v>
      </c>
      <c r="L264" s="18">
        <f t="shared" si="24"/>
        <v>-0.5172973316816043</v>
      </c>
    </row>
    <row r="265" spans="1:13" x14ac:dyDescent="0.2">
      <c r="A265" t="s">
        <v>281</v>
      </c>
      <c r="B265" t="s">
        <v>331</v>
      </c>
      <c r="C265" t="s">
        <v>334</v>
      </c>
      <c r="D265" s="17">
        <v>420</v>
      </c>
      <c r="E265" s="17">
        <v>410</v>
      </c>
      <c r="F265" s="17">
        <f t="shared" si="20"/>
        <v>10</v>
      </c>
      <c r="G265" s="17">
        <v>892</v>
      </c>
      <c r="H265" s="17">
        <v>822</v>
      </c>
      <c r="I265" s="17">
        <f t="shared" si="21"/>
        <v>70</v>
      </c>
      <c r="J265" s="16">
        <f t="shared" si="22"/>
        <v>0.3201219512195122</v>
      </c>
      <c r="K265" s="16">
        <f t="shared" si="23"/>
        <v>0.33279220779220781</v>
      </c>
      <c r="L265" s="18">
        <f t="shared" si="24"/>
        <v>-1.2670256572695604</v>
      </c>
    </row>
    <row r="266" spans="1:13" x14ac:dyDescent="0.2">
      <c r="A266" t="s">
        <v>281</v>
      </c>
      <c r="B266" t="s">
        <v>335</v>
      </c>
      <c r="C266" t="s">
        <v>335</v>
      </c>
      <c r="D266" s="17">
        <v>46</v>
      </c>
      <c r="E266" s="17">
        <v>40</v>
      </c>
      <c r="F266" s="17">
        <f t="shared" si="20"/>
        <v>6</v>
      </c>
      <c r="G266" s="17">
        <v>94</v>
      </c>
      <c r="H266" s="17">
        <v>83</v>
      </c>
      <c r="I266" s="17">
        <f t="shared" si="21"/>
        <v>11</v>
      </c>
      <c r="J266" s="16">
        <f t="shared" si="22"/>
        <v>0.32857142857142857</v>
      </c>
      <c r="K266" s="16">
        <f t="shared" si="23"/>
        <v>0.32520325203252032</v>
      </c>
      <c r="L266" s="18">
        <f t="shared" si="24"/>
        <v>0.33681765389082519</v>
      </c>
    </row>
    <row r="267" spans="1:13" x14ac:dyDescent="0.2">
      <c r="A267" t="s">
        <v>281</v>
      </c>
      <c r="B267" t="s">
        <v>336</v>
      </c>
      <c r="C267" t="s">
        <v>337</v>
      </c>
      <c r="D267" s="17">
        <v>677</v>
      </c>
      <c r="E267" s="17">
        <v>774</v>
      </c>
      <c r="F267" s="17">
        <f t="shared" si="20"/>
        <v>-97</v>
      </c>
      <c r="G267" s="17">
        <v>1010</v>
      </c>
      <c r="H267" s="17">
        <v>1032</v>
      </c>
      <c r="I267" s="17">
        <f t="shared" si="21"/>
        <v>-22</v>
      </c>
      <c r="J267" s="16">
        <f t="shared" si="22"/>
        <v>0.40130409010077062</v>
      </c>
      <c r="K267" s="16">
        <f t="shared" si="23"/>
        <v>0.42857142857142855</v>
      </c>
      <c r="L267" s="18">
        <f t="shared" si="24"/>
        <v>-2.7267338470657929</v>
      </c>
    </row>
    <row r="268" spans="1:13" x14ac:dyDescent="0.2">
      <c r="A268" t="s">
        <v>281</v>
      </c>
      <c r="B268" t="s">
        <v>336</v>
      </c>
      <c r="C268" t="s">
        <v>338</v>
      </c>
      <c r="D268" s="17">
        <v>834</v>
      </c>
      <c r="E268" s="17">
        <v>710</v>
      </c>
      <c r="F268" s="17">
        <f t="shared" si="20"/>
        <v>124</v>
      </c>
      <c r="G268" s="17">
        <v>1035</v>
      </c>
      <c r="H268" s="17">
        <v>927</v>
      </c>
      <c r="I268" s="17">
        <f t="shared" si="21"/>
        <v>108</v>
      </c>
      <c r="J268" s="16">
        <f t="shared" si="22"/>
        <v>0.4462279293739968</v>
      </c>
      <c r="K268" s="16">
        <f t="shared" si="23"/>
        <v>0.43372021991447768</v>
      </c>
      <c r="L268" s="18">
        <f t="shared" si="24"/>
        <v>1.2507709459519123</v>
      </c>
    </row>
    <row r="269" spans="1:13" x14ac:dyDescent="0.2">
      <c r="A269" t="s">
        <v>281</v>
      </c>
      <c r="B269" t="s">
        <v>339</v>
      </c>
      <c r="C269" t="s">
        <v>339</v>
      </c>
      <c r="D269" s="17">
        <v>227</v>
      </c>
      <c r="E269" s="17">
        <v>217</v>
      </c>
      <c r="F269" s="17">
        <f t="shared" si="20"/>
        <v>10</v>
      </c>
      <c r="G269" s="17">
        <v>377</v>
      </c>
      <c r="H269" s="17">
        <v>309</v>
      </c>
      <c r="I269" s="17">
        <f t="shared" si="21"/>
        <v>68</v>
      </c>
      <c r="J269" s="16">
        <f t="shared" si="22"/>
        <v>0.3758278145695364</v>
      </c>
      <c r="K269" s="16">
        <f t="shared" si="23"/>
        <v>0.41254752851711024</v>
      </c>
      <c r="L269" s="18">
        <f t="shared" si="24"/>
        <v>-3.6719713947573842</v>
      </c>
    </row>
    <row r="270" spans="1:13" ht="32" x14ac:dyDescent="0.2">
      <c r="A270" t="s">
        <v>281</v>
      </c>
      <c r="B270" t="s">
        <v>340</v>
      </c>
      <c r="C270" t="s">
        <v>341</v>
      </c>
      <c r="D270" s="17">
        <v>685</v>
      </c>
      <c r="E270" s="17"/>
      <c r="F270" s="17" t="str">
        <f t="shared" si="20"/>
        <v/>
      </c>
      <c r="G270" s="17">
        <v>345</v>
      </c>
      <c r="H270" s="17"/>
      <c r="I270" s="17" t="str">
        <f t="shared" si="21"/>
        <v/>
      </c>
      <c r="J270" s="16">
        <f t="shared" si="22"/>
        <v>0.66504854368932043</v>
      </c>
      <c r="K270" s="16" t="str">
        <f t="shared" si="23"/>
        <v/>
      </c>
      <c r="L270" s="18" t="str">
        <f t="shared" si="24"/>
        <v/>
      </c>
      <c r="M270" s="12" t="s">
        <v>519</v>
      </c>
    </row>
    <row r="271" spans="1:13" ht="32" x14ac:dyDescent="0.2">
      <c r="A271" t="s">
        <v>281</v>
      </c>
      <c r="B271" t="s">
        <v>340</v>
      </c>
      <c r="C271" t="s">
        <v>342</v>
      </c>
      <c r="D271" s="17">
        <v>728</v>
      </c>
      <c r="E271" s="17"/>
      <c r="F271" s="17" t="str">
        <f t="shared" si="20"/>
        <v/>
      </c>
      <c r="G271" s="17">
        <v>309</v>
      </c>
      <c r="H271" s="17"/>
      <c r="I271" s="17" t="str">
        <f t="shared" si="21"/>
        <v/>
      </c>
      <c r="J271" s="16">
        <f t="shared" si="22"/>
        <v>0.70202507232401157</v>
      </c>
      <c r="K271" s="16" t="str">
        <f t="shared" si="23"/>
        <v/>
      </c>
      <c r="L271" s="18" t="str">
        <f t="shared" si="24"/>
        <v/>
      </c>
      <c r="M271" s="12" t="s">
        <v>519</v>
      </c>
    </row>
    <row r="272" spans="1:13" x14ac:dyDescent="0.2">
      <c r="A272" t="s">
        <v>281</v>
      </c>
      <c r="B272" t="s">
        <v>340</v>
      </c>
      <c r="C272" t="s">
        <v>343</v>
      </c>
      <c r="D272" s="17">
        <v>406</v>
      </c>
      <c r="E272" s="17">
        <v>492</v>
      </c>
      <c r="F272" s="17">
        <f t="shared" si="20"/>
        <v>-86</v>
      </c>
      <c r="G272" s="17">
        <v>152</v>
      </c>
      <c r="H272" s="17">
        <v>197</v>
      </c>
      <c r="I272" s="17">
        <f t="shared" si="21"/>
        <v>-45</v>
      </c>
      <c r="J272" s="16">
        <f t="shared" si="22"/>
        <v>0.72759856630824371</v>
      </c>
      <c r="K272" s="16">
        <f t="shared" si="23"/>
        <v>0.71407837445573297</v>
      </c>
      <c r="L272" s="18">
        <f t="shared" si="24"/>
        <v>1.3520191852510743</v>
      </c>
    </row>
    <row r="273" spans="1:13" x14ac:dyDescent="0.2">
      <c r="A273" t="s">
        <v>281</v>
      </c>
      <c r="B273" t="s">
        <v>340</v>
      </c>
      <c r="C273" t="s">
        <v>344</v>
      </c>
      <c r="D273" s="17">
        <v>672</v>
      </c>
      <c r="E273" s="17">
        <v>743</v>
      </c>
      <c r="F273" s="17">
        <f t="shared" si="20"/>
        <v>-71</v>
      </c>
      <c r="G273" s="17">
        <v>290</v>
      </c>
      <c r="H273" s="17">
        <v>265</v>
      </c>
      <c r="I273" s="17">
        <f t="shared" si="21"/>
        <v>25</v>
      </c>
      <c r="J273" s="16">
        <f t="shared" si="22"/>
        <v>0.69854469854469858</v>
      </c>
      <c r="K273" s="16">
        <f t="shared" si="23"/>
        <v>0.73710317460317465</v>
      </c>
      <c r="L273" s="18">
        <f t="shared" si="24"/>
        <v>-3.8558476058476066</v>
      </c>
    </row>
    <row r="274" spans="1:13" x14ac:dyDescent="0.2">
      <c r="A274" t="s">
        <v>281</v>
      </c>
      <c r="B274" t="s">
        <v>340</v>
      </c>
      <c r="C274" t="s">
        <v>345</v>
      </c>
      <c r="D274" s="17">
        <v>377</v>
      </c>
      <c r="E274" s="17">
        <v>1109</v>
      </c>
      <c r="F274" s="17">
        <f t="shared" si="20"/>
        <v>-732</v>
      </c>
      <c r="G274" s="17">
        <v>137</v>
      </c>
      <c r="H274" s="17">
        <v>290</v>
      </c>
      <c r="I274" s="17">
        <f t="shared" si="21"/>
        <v>-153</v>
      </c>
      <c r="J274" s="16">
        <f t="shared" si="22"/>
        <v>0.7334630350194552</v>
      </c>
      <c r="K274" s="16">
        <f t="shared" si="23"/>
        <v>0.79270907791279488</v>
      </c>
      <c r="L274" s="18">
        <f t="shared" si="24"/>
        <v>-5.9246042893339679</v>
      </c>
    </row>
    <row r="275" spans="1:13" x14ac:dyDescent="0.2">
      <c r="A275" t="s">
        <v>281</v>
      </c>
      <c r="B275" t="s">
        <v>340</v>
      </c>
      <c r="C275" t="s">
        <v>346</v>
      </c>
      <c r="D275" s="17">
        <v>553</v>
      </c>
      <c r="E275" s="17">
        <v>566</v>
      </c>
      <c r="F275" s="17">
        <f t="shared" si="20"/>
        <v>-13</v>
      </c>
      <c r="G275" s="17">
        <v>258</v>
      </c>
      <c r="H275" s="17">
        <v>257</v>
      </c>
      <c r="I275" s="17">
        <f t="shared" si="21"/>
        <v>1</v>
      </c>
      <c r="J275" s="16">
        <f t="shared" si="22"/>
        <v>0.68187422934648578</v>
      </c>
      <c r="K275" s="16">
        <f t="shared" si="23"/>
        <v>0.68772782503037666</v>
      </c>
      <c r="L275" s="18">
        <f t="shared" si="24"/>
        <v>-0.58535956838908776</v>
      </c>
    </row>
    <row r="276" spans="1:13" x14ac:dyDescent="0.2">
      <c r="A276" t="s">
        <v>281</v>
      </c>
      <c r="B276" t="s">
        <v>340</v>
      </c>
      <c r="C276" t="s">
        <v>347</v>
      </c>
      <c r="D276" s="17">
        <v>554</v>
      </c>
      <c r="E276" s="17">
        <v>517</v>
      </c>
      <c r="F276" s="17">
        <f t="shared" si="20"/>
        <v>37</v>
      </c>
      <c r="G276" s="17">
        <v>244</v>
      </c>
      <c r="H276" s="17">
        <v>265</v>
      </c>
      <c r="I276" s="17">
        <f t="shared" si="21"/>
        <v>-21</v>
      </c>
      <c r="J276" s="16">
        <f t="shared" si="22"/>
        <v>0.69423558897243109</v>
      </c>
      <c r="K276" s="16">
        <f t="shared" si="23"/>
        <v>0.66112531969309463</v>
      </c>
      <c r="L276" s="18">
        <f t="shared" si="24"/>
        <v>3.3110269279336468</v>
      </c>
    </row>
    <row r="277" spans="1:13" x14ac:dyDescent="0.2">
      <c r="A277" t="s">
        <v>281</v>
      </c>
      <c r="B277" t="s">
        <v>340</v>
      </c>
      <c r="C277" t="s">
        <v>348</v>
      </c>
      <c r="D277" s="17">
        <v>218</v>
      </c>
      <c r="E277" s="17">
        <v>233</v>
      </c>
      <c r="F277" s="17">
        <f t="shared" si="20"/>
        <v>-15</v>
      </c>
      <c r="G277" s="17">
        <v>91</v>
      </c>
      <c r="H277" s="17">
        <v>84</v>
      </c>
      <c r="I277" s="17">
        <f t="shared" si="21"/>
        <v>7</v>
      </c>
      <c r="J277" s="16">
        <f t="shared" si="22"/>
        <v>0.70550161812297729</v>
      </c>
      <c r="K277" s="16">
        <f t="shared" si="23"/>
        <v>0.73501577287066244</v>
      </c>
      <c r="L277" s="18">
        <f t="shared" si="24"/>
        <v>-2.9514154747685151</v>
      </c>
    </row>
    <row r="278" spans="1:13" x14ac:dyDescent="0.2">
      <c r="A278" t="s">
        <v>281</v>
      </c>
      <c r="B278" t="s">
        <v>340</v>
      </c>
      <c r="C278" t="s">
        <v>349</v>
      </c>
      <c r="D278" s="17">
        <v>351</v>
      </c>
      <c r="E278" s="17">
        <v>391</v>
      </c>
      <c r="F278" s="17">
        <f t="shared" si="20"/>
        <v>-40</v>
      </c>
      <c r="G278" s="17">
        <v>123</v>
      </c>
      <c r="H278" s="17">
        <v>126</v>
      </c>
      <c r="I278" s="17">
        <f t="shared" si="21"/>
        <v>-3</v>
      </c>
      <c r="J278" s="16">
        <f t="shared" si="22"/>
        <v>0.740506329113924</v>
      </c>
      <c r="K278" s="16">
        <f t="shared" si="23"/>
        <v>0.7562862669245648</v>
      </c>
      <c r="L278" s="18">
        <f t="shared" si="24"/>
        <v>-1.5779937810640798</v>
      </c>
    </row>
    <row r="279" spans="1:13" x14ac:dyDescent="0.2">
      <c r="A279" t="s">
        <v>281</v>
      </c>
      <c r="B279" t="s">
        <v>340</v>
      </c>
      <c r="C279" t="s">
        <v>350</v>
      </c>
      <c r="D279" s="17">
        <v>362</v>
      </c>
      <c r="E279" s="17">
        <v>381</v>
      </c>
      <c r="F279" s="17">
        <f t="shared" si="20"/>
        <v>-19</v>
      </c>
      <c r="G279" s="17">
        <v>121</v>
      </c>
      <c r="H279" s="17">
        <v>184</v>
      </c>
      <c r="I279" s="17">
        <f t="shared" si="21"/>
        <v>-63</v>
      </c>
      <c r="J279" s="16">
        <f t="shared" si="22"/>
        <v>0.74948240165631475</v>
      </c>
      <c r="K279" s="16">
        <f t="shared" si="23"/>
        <v>0.67433628318584071</v>
      </c>
      <c r="L279" s="18">
        <f t="shared" si="24"/>
        <v>7.5146118470474033</v>
      </c>
    </row>
    <row r="280" spans="1:13" ht="32" x14ac:dyDescent="0.2">
      <c r="A280" t="s">
        <v>281</v>
      </c>
      <c r="B280" t="s">
        <v>340</v>
      </c>
      <c r="C280" t="s">
        <v>351</v>
      </c>
      <c r="D280" s="17">
        <v>749</v>
      </c>
      <c r="E280" s="17"/>
      <c r="F280" s="17" t="str">
        <f t="shared" si="20"/>
        <v/>
      </c>
      <c r="G280" s="17">
        <v>330</v>
      </c>
      <c r="H280" s="17"/>
      <c r="I280" s="17" t="str">
        <f t="shared" si="21"/>
        <v/>
      </c>
      <c r="J280" s="16">
        <f t="shared" si="22"/>
        <v>0.69416126042632065</v>
      </c>
      <c r="K280" s="16" t="str">
        <f t="shared" si="23"/>
        <v/>
      </c>
      <c r="L280" s="18" t="str">
        <f t="shared" si="24"/>
        <v/>
      </c>
      <c r="M280" s="12" t="s">
        <v>519</v>
      </c>
    </row>
    <row r="281" spans="1:13" x14ac:dyDescent="0.2">
      <c r="A281" t="s">
        <v>281</v>
      </c>
      <c r="B281" t="s">
        <v>340</v>
      </c>
      <c r="C281" t="s">
        <v>352</v>
      </c>
      <c r="D281" s="17">
        <v>915</v>
      </c>
      <c r="E281" s="17">
        <v>912</v>
      </c>
      <c r="F281" s="17">
        <f t="shared" si="20"/>
        <v>3</v>
      </c>
      <c r="G281" s="17">
        <v>404</v>
      </c>
      <c r="H281" s="17">
        <v>445</v>
      </c>
      <c r="I281" s="17">
        <f t="shared" si="21"/>
        <v>-41</v>
      </c>
      <c r="J281" s="16">
        <f t="shared" si="22"/>
        <v>0.69370735405610306</v>
      </c>
      <c r="K281" s="16">
        <f t="shared" si="23"/>
        <v>0.67207074428887248</v>
      </c>
      <c r="L281" s="18">
        <f t="shared" si="24"/>
        <v>2.1636609767230586</v>
      </c>
    </row>
    <row r="282" spans="1:13" ht="32" x14ac:dyDescent="0.2">
      <c r="A282" t="s">
        <v>281</v>
      </c>
      <c r="B282" t="s">
        <v>353</v>
      </c>
      <c r="C282" t="s">
        <v>354</v>
      </c>
      <c r="D282" s="17">
        <v>960</v>
      </c>
      <c r="E282" s="17"/>
      <c r="F282" s="17" t="str">
        <f t="shared" si="20"/>
        <v/>
      </c>
      <c r="G282" s="17">
        <v>980</v>
      </c>
      <c r="H282" s="17"/>
      <c r="I282" s="17" t="str">
        <f t="shared" si="21"/>
        <v/>
      </c>
      <c r="J282" s="16">
        <f t="shared" si="22"/>
        <v>0.49484536082474229</v>
      </c>
      <c r="K282" s="16" t="str">
        <f t="shared" si="23"/>
        <v/>
      </c>
      <c r="L282" s="18" t="str">
        <f t="shared" si="24"/>
        <v/>
      </c>
      <c r="M282" s="12" t="s">
        <v>522</v>
      </c>
    </row>
    <row r="283" spans="1:13" ht="32" x14ac:dyDescent="0.2">
      <c r="A283" t="s">
        <v>281</v>
      </c>
      <c r="B283" t="s">
        <v>353</v>
      </c>
      <c r="C283" t="s">
        <v>355</v>
      </c>
      <c r="D283" s="17">
        <v>688</v>
      </c>
      <c r="E283" s="17"/>
      <c r="F283" s="17" t="str">
        <f t="shared" si="20"/>
        <v/>
      </c>
      <c r="G283" s="17">
        <v>841</v>
      </c>
      <c r="H283" s="17"/>
      <c r="I283" s="17" t="str">
        <f t="shared" si="21"/>
        <v/>
      </c>
      <c r="J283" s="16">
        <f t="shared" si="22"/>
        <v>0.44996729888816217</v>
      </c>
      <c r="K283" s="16" t="str">
        <f t="shared" si="23"/>
        <v/>
      </c>
      <c r="L283" s="18" t="str">
        <f t="shared" si="24"/>
        <v/>
      </c>
      <c r="M283" s="12" t="s">
        <v>520</v>
      </c>
    </row>
    <row r="284" spans="1:13" ht="32" x14ac:dyDescent="0.2">
      <c r="A284" t="s">
        <v>281</v>
      </c>
      <c r="B284" t="s">
        <v>353</v>
      </c>
      <c r="C284" t="s">
        <v>356</v>
      </c>
      <c r="D284" s="17">
        <v>969</v>
      </c>
      <c r="E284" s="17"/>
      <c r="F284" s="17" t="str">
        <f t="shared" si="20"/>
        <v/>
      </c>
      <c r="G284" s="17">
        <v>817</v>
      </c>
      <c r="H284" s="17"/>
      <c r="I284" s="17" t="str">
        <f t="shared" si="21"/>
        <v/>
      </c>
      <c r="J284" s="16">
        <f t="shared" si="22"/>
        <v>0.54255319148936165</v>
      </c>
      <c r="K284" s="16" t="str">
        <f t="shared" si="23"/>
        <v/>
      </c>
      <c r="L284" s="18" t="str">
        <f t="shared" si="24"/>
        <v/>
      </c>
      <c r="M284" s="12" t="s">
        <v>522</v>
      </c>
    </row>
    <row r="285" spans="1:13" ht="32" x14ac:dyDescent="0.2">
      <c r="A285" t="s">
        <v>281</v>
      </c>
      <c r="B285" t="s">
        <v>353</v>
      </c>
      <c r="C285" t="s">
        <v>357</v>
      </c>
      <c r="D285" s="17">
        <v>866</v>
      </c>
      <c r="E285" s="17"/>
      <c r="F285" s="17" t="str">
        <f t="shared" si="20"/>
        <v/>
      </c>
      <c r="G285" s="17">
        <v>823</v>
      </c>
      <c r="H285" s="17"/>
      <c r="I285" s="17" t="str">
        <f t="shared" si="21"/>
        <v/>
      </c>
      <c r="J285" s="16">
        <f t="shared" si="22"/>
        <v>0.51272942569567792</v>
      </c>
      <c r="K285" s="16" t="str">
        <f t="shared" si="23"/>
        <v/>
      </c>
      <c r="L285" s="18" t="str">
        <f t="shared" si="24"/>
        <v/>
      </c>
      <c r="M285" s="12" t="s">
        <v>520</v>
      </c>
    </row>
    <row r="286" spans="1:13" ht="32" x14ac:dyDescent="0.2">
      <c r="A286" t="s">
        <v>281</v>
      </c>
      <c r="B286" t="s">
        <v>353</v>
      </c>
      <c r="C286" t="s">
        <v>358</v>
      </c>
      <c r="D286" s="17">
        <v>765</v>
      </c>
      <c r="E286" s="17"/>
      <c r="F286" s="17" t="str">
        <f t="shared" si="20"/>
        <v/>
      </c>
      <c r="G286" s="17">
        <v>707</v>
      </c>
      <c r="H286" s="17"/>
      <c r="I286" s="17" t="str">
        <f t="shared" si="21"/>
        <v/>
      </c>
      <c r="J286" s="16">
        <f t="shared" si="22"/>
        <v>0.51970108695652173</v>
      </c>
      <c r="K286" s="16" t="str">
        <f t="shared" si="23"/>
        <v/>
      </c>
      <c r="L286" s="18" t="str">
        <f t="shared" si="24"/>
        <v/>
      </c>
      <c r="M286" s="12" t="s">
        <v>522</v>
      </c>
    </row>
    <row r="287" spans="1:13" ht="32" x14ac:dyDescent="0.2">
      <c r="A287" t="s">
        <v>281</v>
      </c>
      <c r="B287" t="s">
        <v>353</v>
      </c>
      <c r="C287" t="s">
        <v>359</v>
      </c>
      <c r="D287" s="17">
        <v>924</v>
      </c>
      <c r="E287" s="17"/>
      <c r="F287" s="17" t="str">
        <f t="shared" si="20"/>
        <v/>
      </c>
      <c r="G287" s="17">
        <v>887</v>
      </c>
      <c r="H287" s="17"/>
      <c r="I287" s="17" t="str">
        <f t="shared" si="21"/>
        <v/>
      </c>
      <c r="J287" s="16">
        <f t="shared" si="22"/>
        <v>0.51021535063500834</v>
      </c>
      <c r="K287" s="16" t="str">
        <f t="shared" si="23"/>
        <v/>
      </c>
      <c r="L287" s="18" t="str">
        <f t="shared" si="24"/>
        <v/>
      </c>
      <c r="M287" s="12" t="s">
        <v>520</v>
      </c>
    </row>
    <row r="288" spans="1:13" ht="32" x14ac:dyDescent="0.2">
      <c r="A288" t="s">
        <v>281</v>
      </c>
      <c r="B288" t="s">
        <v>353</v>
      </c>
      <c r="C288" t="s">
        <v>360</v>
      </c>
      <c r="D288" s="17">
        <v>739</v>
      </c>
      <c r="E288" s="17"/>
      <c r="F288" s="17" t="str">
        <f t="shared" si="20"/>
        <v/>
      </c>
      <c r="G288" s="17">
        <v>877</v>
      </c>
      <c r="H288" s="17"/>
      <c r="I288" s="17" t="str">
        <f t="shared" si="21"/>
        <v/>
      </c>
      <c r="J288" s="16">
        <f t="shared" si="22"/>
        <v>0.45730198019801982</v>
      </c>
      <c r="K288" s="16" t="str">
        <f t="shared" si="23"/>
        <v/>
      </c>
      <c r="L288" s="18" t="str">
        <f t="shared" si="24"/>
        <v/>
      </c>
      <c r="M288" s="12" t="s">
        <v>522</v>
      </c>
    </row>
    <row r="289" spans="1:12" x14ac:dyDescent="0.2">
      <c r="A289" t="s">
        <v>281</v>
      </c>
      <c r="B289" t="s">
        <v>361</v>
      </c>
      <c r="C289" t="s">
        <v>361</v>
      </c>
      <c r="D289" s="17">
        <v>791</v>
      </c>
      <c r="E289" s="17">
        <v>714</v>
      </c>
      <c r="F289" s="17">
        <f t="shared" si="20"/>
        <v>77</v>
      </c>
      <c r="G289" s="17">
        <v>480</v>
      </c>
      <c r="H289" s="17">
        <v>484</v>
      </c>
      <c r="I289" s="17">
        <f t="shared" si="21"/>
        <v>-4</v>
      </c>
      <c r="J289" s="16">
        <f t="shared" si="22"/>
        <v>0.62234461054287959</v>
      </c>
      <c r="K289" s="16">
        <f t="shared" si="23"/>
        <v>0.59599332220367274</v>
      </c>
      <c r="L289" s="18">
        <f t="shared" si="24"/>
        <v>2.6351288339206858</v>
      </c>
    </row>
    <row r="290" spans="1:12" x14ac:dyDescent="0.2">
      <c r="A290" t="s">
        <v>281</v>
      </c>
      <c r="B290" t="s">
        <v>362</v>
      </c>
      <c r="C290" t="s">
        <v>362</v>
      </c>
      <c r="D290" s="17">
        <v>116</v>
      </c>
      <c r="E290" s="17">
        <v>109</v>
      </c>
      <c r="F290" s="17">
        <f t="shared" si="20"/>
        <v>7</v>
      </c>
      <c r="G290" s="17">
        <v>115</v>
      </c>
      <c r="H290" s="17">
        <v>97</v>
      </c>
      <c r="I290" s="17">
        <f t="shared" si="21"/>
        <v>18</v>
      </c>
      <c r="J290" s="16">
        <f t="shared" si="22"/>
        <v>0.50216450216450215</v>
      </c>
      <c r="K290" s="16">
        <f t="shared" si="23"/>
        <v>0.529126213592233</v>
      </c>
      <c r="L290" s="18">
        <f t="shared" si="24"/>
        <v>-2.696171142773085</v>
      </c>
    </row>
    <row r="291" spans="1:12" x14ac:dyDescent="0.2">
      <c r="A291" t="s">
        <v>281</v>
      </c>
      <c r="B291" t="s">
        <v>188</v>
      </c>
      <c r="C291" t="s">
        <v>363</v>
      </c>
      <c r="D291" s="17">
        <v>1078</v>
      </c>
      <c r="E291" s="17">
        <v>955</v>
      </c>
      <c r="F291" s="17">
        <f t="shared" si="20"/>
        <v>123</v>
      </c>
      <c r="G291" s="17">
        <v>830</v>
      </c>
      <c r="H291" s="17">
        <v>692</v>
      </c>
      <c r="I291" s="17">
        <f t="shared" si="21"/>
        <v>138</v>
      </c>
      <c r="J291" s="16">
        <f t="shared" si="22"/>
        <v>0.56498951781970652</v>
      </c>
      <c r="K291" s="16">
        <f t="shared" si="23"/>
        <v>0.57984213721918643</v>
      </c>
      <c r="L291" s="18">
        <f t="shared" si="24"/>
        <v>-1.4852619399479905</v>
      </c>
    </row>
    <row r="292" spans="1:12" x14ac:dyDescent="0.2">
      <c r="A292" t="s">
        <v>281</v>
      </c>
      <c r="B292" t="s">
        <v>188</v>
      </c>
      <c r="C292" t="s">
        <v>364</v>
      </c>
      <c r="D292" s="17">
        <v>1035</v>
      </c>
      <c r="E292" s="17">
        <v>910</v>
      </c>
      <c r="F292" s="17">
        <f t="shared" si="20"/>
        <v>125</v>
      </c>
      <c r="G292" s="17">
        <v>865</v>
      </c>
      <c r="H292" s="17">
        <v>742</v>
      </c>
      <c r="I292" s="17">
        <f t="shared" si="21"/>
        <v>123</v>
      </c>
      <c r="J292" s="16">
        <f t="shared" si="22"/>
        <v>0.54473684210526319</v>
      </c>
      <c r="K292" s="16">
        <f t="shared" si="23"/>
        <v>0.55084745762711862</v>
      </c>
      <c r="L292" s="18">
        <f t="shared" si="24"/>
        <v>-0.61106155218554337</v>
      </c>
    </row>
    <row r="293" spans="1:12" x14ac:dyDescent="0.2">
      <c r="A293" t="s">
        <v>281</v>
      </c>
      <c r="B293" t="s">
        <v>188</v>
      </c>
      <c r="C293" t="s">
        <v>365</v>
      </c>
      <c r="D293" s="17">
        <v>499</v>
      </c>
      <c r="E293" s="17">
        <v>446</v>
      </c>
      <c r="F293" s="17">
        <f t="shared" si="20"/>
        <v>53</v>
      </c>
      <c r="G293" s="17">
        <v>460</v>
      </c>
      <c r="H293" s="17">
        <v>410</v>
      </c>
      <c r="I293" s="17">
        <f t="shared" si="21"/>
        <v>50</v>
      </c>
      <c r="J293" s="16">
        <f t="shared" si="22"/>
        <v>0.52033368091762255</v>
      </c>
      <c r="K293" s="16">
        <f t="shared" si="23"/>
        <v>0.5210280373831776</v>
      </c>
      <c r="L293" s="18">
        <f t="shared" si="24"/>
        <v>-6.9435646555504604E-2</v>
      </c>
    </row>
    <row r="294" spans="1:12" x14ac:dyDescent="0.2">
      <c r="A294" t="s">
        <v>281</v>
      </c>
      <c r="B294" t="s">
        <v>188</v>
      </c>
      <c r="C294" t="s">
        <v>366</v>
      </c>
      <c r="D294" s="17">
        <v>836</v>
      </c>
      <c r="E294" s="17">
        <v>744</v>
      </c>
      <c r="F294" s="17">
        <f t="shared" si="20"/>
        <v>92</v>
      </c>
      <c r="G294" s="17">
        <v>783</v>
      </c>
      <c r="H294" s="17">
        <v>678</v>
      </c>
      <c r="I294" s="17">
        <f t="shared" si="21"/>
        <v>105</v>
      </c>
      <c r="J294" s="16">
        <f t="shared" si="22"/>
        <v>0.51636812847436686</v>
      </c>
      <c r="K294" s="16">
        <f t="shared" si="23"/>
        <v>0.52320675105485237</v>
      </c>
      <c r="L294" s="18">
        <f t="shared" si="24"/>
        <v>-0.68386225804855094</v>
      </c>
    </row>
    <row r="295" spans="1:12" x14ac:dyDescent="0.2">
      <c r="A295" t="s">
        <v>281</v>
      </c>
      <c r="B295" t="s">
        <v>188</v>
      </c>
      <c r="C295" t="s">
        <v>367</v>
      </c>
      <c r="D295" s="17">
        <v>864</v>
      </c>
      <c r="E295" s="17">
        <v>775</v>
      </c>
      <c r="F295" s="17">
        <f t="shared" si="20"/>
        <v>89</v>
      </c>
      <c r="G295" s="17">
        <v>725</v>
      </c>
      <c r="H295" s="17">
        <v>645</v>
      </c>
      <c r="I295" s="17">
        <f t="shared" si="21"/>
        <v>80</v>
      </c>
      <c r="J295" s="16">
        <f t="shared" si="22"/>
        <v>0.54373820012586538</v>
      </c>
      <c r="K295" s="16">
        <f t="shared" si="23"/>
        <v>0.54577464788732399</v>
      </c>
      <c r="L295" s="18">
        <f t="shared" si="24"/>
        <v>-0.20364477614586152</v>
      </c>
    </row>
    <row r="296" spans="1:12" x14ac:dyDescent="0.2">
      <c r="A296" t="s">
        <v>281</v>
      </c>
      <c r="B296" t="s">
        <v>188</v>
      </c>
      <c r="C296" t="s">
        <v>368</v>
      </c>
      <c r="D296" s="17">
        <v>607</v>
      </c>
      <c r="E296" s="17">
        <v>511</v>
      </c>
      <c r="F296" s="17">
        <f t="shared" si="20"/>
        <v>96</v>
      </c>
      <c r="G296" s="17">
        <v>537</v>
      </c>
      <c r="H296" s="17">
        <v>453</v>
      </c>
      <c r="I296" s="17">
        <f t="shared" si="21"/>
        <v>84</v>
      </c>
      <c r="J296" s="16">
        <f t="shared" si="22"/>
        <v>0.53059440559440563</v>
      </c>
      <c r="K296" s="16">
        <f t="shared" si="23"/>
        <v>0.53008298755186722</v>
      </c>
      <c r="L296" s="18">
        <f t="shared" si="24"/>
        <v>5.1141804253840295E-2</v>
      </c>
    </row>
    <row r="297" spans="1:12" x14ac:dyDescent="0.2">
      <c r="A297" t="s">
        <v>281</v>
      </c>
      <c r="B297" t="s">
        <v>369</v>
      </c>
      <c r="C297" t="s">
        <v>370</v>
      </c>
      <c r="D297" s="17">
        <v>614</v>
      </c>
      <c r="E297" s="17">
        <v>553</v>
      </c>
      <c r="F297" s="17">
        <f t="shared" si="20"/>
        <v>61</v>
      </c>
      <c r="G297" s="17">
        <v>690</v>
      </c>
      <c r="H297" s="17">
        <v>581</v>
      </c>
      <c r="I297" s="17">
        <f t="shared" si="21"/>
        <v>109</v>
      </c>
      <c r="J297" s="16">
        <f t="shared" si="22"/>
        <v>0.47085889570552147</v>
      </c>
      <c r="K297" s="16">
        <f t="shared" si="23"/>
        <v>0.48765432098765432</v>
      </c>
      <c r="L297" s="18">
        <f t="shared" si="24"/>
        <v>-1.6795425282132848</v>
      </c>
    </row>
    <row r="298" spans="1:12" x14ac:dyDescent="0.2">
      <c r="A298" t="s">
        <v>281</v>
      </c>
      <c r="B298" t="s">
        <v>369</v>
      </c>
      <c r="C298" t="s">
        <v>371</v>
      </c>
      <c r="D298" s="17">
        <v>519</v>
      </c>
      <c r="E298" s="17">
        <v>473</v>
      </c>
      <c r="F298" s="17">
        <f t="shared" si="20"/>
        <v>46</v>
      </c>
      <c r="G298" s="17">
        <v>486</v>
      </c>
      <c r="H298" s="17">
        <v>465</v>
      </c>
      <c r="I298" s="17">
        <f t="shared" si="21"/>
        <v>21</v>
      </c>
      <c r="J298" s="16">
        <f t="shared" si="22"/>
        <v>0.5164179104477612</v>
      </c>
      <c r="K298" s="16">
        <f t="shared" si="23"/>
        <v>0.50426439232409381</v>
      </c>
      <c r="L298" s="18">
        <f t="shared" si="24"/>
        <v>1.2153518123667384</v>
      </c>
    </row>
    <row r="299" spans="1:12" x14ac:dyDescent="0.2">
      <c r="A299" t="s">
        <v>281</v>
      </c>
      <c r="B299" t="s">
        <v>369</v>
      </c>
      <c r="C299" t="s">
        <v>372</v>
      </c>
      <c r="D299" s="17">
        <v>814</v>
      </c>
      <c r="E299" s="17">
        <v>700</v>
      </c>
      <c r="F299" s="17">
        <f t="shared" si="20"/>
        <v>114</v>
      </c>
      <c r="G299" s="17">
        <v>668</v>
      </c>
      <c r="H299" s="17">
        <v>639</v>
      </c>
      <c r="I299" s="17">
        <f t="shared" si="21"/>
        <v>29</v>
      </c>
      <c r="J299" s="16">
        <f t="shared" si="22"/>
        <v>0.54925775978407554</v>
      </c>
      <c r="K299" s="16">
        <f t="shared" si="23"/>
        <v>0.52277819268110526</v>
      </c>
      <c r="L299" s="18">
        <f t="shared" si="24"/>
        <v>2.6479567102970281</v>
      </c>
    </row>
    <row r="300" spans="1:12" x14ac:dyDescent="0.2">
      <c r="A300" t="s">
        <v>281</v>
      </c>
      <c r="B300" t="s">
        <v>373</v>
      </c>
      <c r="C300" t="s">
        <v>374</v>
      </c>
      <c r="D300" s="17">
        <v>662</v>
      </c>
      <c r="E300" s="17">
        <v>546</v>
      </c>
      <c r="F300" s="17">
        <f t="shared" si="20"/>
        <v>116</v>
      </c>
      <c r="G300" s="17">
        <v>1240</v>
      </c>
      <c r="H300" s="17">
        <v>1089</v>
      </c>
      <c r="I300" s="17">
        <f t="shared" si="21"/>
        <v>151</v>
      </c>
      <c r="J300" s="16">
        <f t="shared" si="22"/>
        <v>0.3480546792849632</v>
      </c>
      <c r="K300" s="16">
        <f t="shared" si="23"/>
        <v>0.33394495412844039</v>
      </c>
      <c r="L300" s="18">
        <f t="shared" si="24"/>
        <v>1.4109725156522812</v>
      </c>
    </row>
    <row r="301" spans="1:12" x14ac:dyDescent="0.2">
      <c r="A301" t="s">
        <v>281</v>
      </c>
      <c r="B301" t="s">
        <v>373</v>
      </c>
      <c r="C301" t="s">
        <v>375</v>
      </c>
      <c r="D301" s="17">
        <v>787</v>
      </c>
      <c r="E301" s="17">
        <v>636</v>
      </c>
      <c r="F301" s="17">
        <f t="shared" si="20"/>
        <v>151</v>
      </c>
      <c r="G301" s="17">
        <v>1375</v>
      </c>
      <c r="H301" s="17">
        <v>1262</v>
      </c>
      <c r="I301" s="17">
        <f t="shared" si="21"/>
        <v>113</v>
      </c>
      <c r="J301" s="16">
        <f t="shared" si="22"/>
        <v>0.36401480111008327</v>
      </c>
      <c r="K301" s="16">
        <f t="shared" si="23"/>
        <v>0.33508956796628031</v>
      </c>
      <c r="L301" s="18">
        <f t="shared" si="24"/>
        <v>2.8925233143802966</v>
      </c>
    </row>
    <row r="302" spans="1:12" x14ac:dyDescent="0.2">
      <c r="A302" t="s">
        <v>281</v>
      </c>
      <c r="B302" t="s">
        <v>373</v>
      </c>
      <c r="C302" t="s">
        <v>376</v>
      </c>
      <c r="D302" s="17">
        <v>233</v>
      </c>
      <c r="E302" s="17">
        <v>224</v>
      </c>
      <c r="F302" s="17">
        <f t="shared" si="20"/>
        <v>9</v>
      </c>
      <c r="G302" s="17">
        <v>586</v>
      </c>
      <c r="H302" s="17">
        <v>495</v>
      </c>
      <c r="I302" s="17">
        <f t="shared" si="21"/>
        <v>91</v>
      </c>
      <c r="J302" s="16">
        <f t="shared" si="22"/>
        <v>0.28449328449328448</v>
      </c>
      <c r="K302" s="16">
        <f t="shared" si="23"/>
        <v>0.31154381084840055</v>
      </c>
      <c r="L302" s="18">
        <f t="shared" si="24"/>
        <v>-2.7050526355116067</v>
      </c>
    </row>
    <row r="303" spans="1:12" x14ac:dyDescent="0.2">
      <c r="A303" t="s">
        <v>281</v>
      </c>
      <c r="B303" t="s">
        <v>373</v>
      </c>
      <c r="C303" t="s">
        <v>377</v>
      </c>
      <c r="D303" s="17">
        <v>581</v>
      </c>
      <c r="E303" s="17">
        <v>478</v>
      </c>
      <c r="F303" s="17">
        <f t="shared" si="20"/>
        <v>103</v>
      </c>
      <c r="G303" s="17">
        <v>1058</v>
      </c>
      <c r="H303" s="17">
        <v>948</v>
      </c>
      <c r="I303" s="17">
        <f t="shared" si="21"/>
        <v>110</v>
      </c>
      <c r="J303" s="16">
        <f t="shared" si="22"/>
        <v>0.35448444173276389</v>
      </c>
      <c r="K303" s="16">
        <f t="shared" si="23"/>
        <v>0.33520336605890605</v>
      </c>
      <c r="L303" s="18">
        <f t="shared" si="24"/>
        <v>1.9281075673857839</v>
      </c>
    </row>
    <row r="304" spans="1:12" x14ac:dyDescent="0.2">
      <c r="A304" t="s">
        <v>281</v>
      </c>
      <c r="B304" t="s">
        <v>373</v>
      </c>
      <c r="C304" t="s">
        <v>378</v>
      </c>
      <c r="D304" s="17">
        <v>391</v>
      </c>
      <c r="E304" s="17">
        <v>360</v>
      </c>
      <c r="F304" s="17">
        <f t="shared" si="20"/>
        <v>31</v>
      </c>
      <c r="G304" s="17">
        <v>732</v>
      </c>
      <c r="H304" s="17">
        <v>645</v>
      </c>
      <c r="I304" s="17">
        <f t="shared" si="21"/>
        <v>87</v>
      </c>
      <c r="J304" s="16">
        <f t="shared" si="22"/>
        <v>0.34817453250222619</v>
      </c>
      <c r="K304" s="16">
        <f t="shared" si="23"/>
        <v>0.35820895522388058</v>
      </c>
      <c r="L304" s="18">
        <f t="shared" si="24"/>
        <v>-1.003442272165439</v>
      </c>
    </row>
    <row r="305" spans="1:13" x14ac:dyDescent="0.2">
      <c r="A305" t="s">
        <v>281</v>
      </c>
      <c r="B305" t="s">
        <v>379</v>
      </c>
      <c r="C305" t="s">
        <v>380</v>
      </c>
      <c r="D305" s="17">
        <v>288</v>
      </c>
      <c r="E305" s="17">
        <v>264</v>
      </c>
      <c r="F305" s="17">
        <f t="shared" si="20"/>
        <v>24</v>
      </c>
      <c r="G305" s="17">
        <v>501</v>
      </c>
      <c r="H305" s="17">
        <v>439</v>
      </c>
      <c r="I305" s="17">
        <f t="shared" si="21"/>
        <v>62</v>
      </c>
      <c r="J305" s="16">
        <f t="shared" si="22"/>
        <v>0.36501901140684412</v>
      </c>
      <c r="K305" s="16">
        <f t="shared" si="23"/>
        <v>0.37553342816500712</v>
      </c>
      <c r="L305" s="18">
        <f t="shared" si="24"/>
        <v>-1.0514416758163003</v>
      </c>
    </row>
    <row r="306" spans="1:13" x14ac:dyDescent="0.2">
      <c r="A306" t="s">
        <v>281</v>
      </c>
      <c r="B306" t="s">
        <v>379</v>
      </c>
      <c r="C306" t="s">
        <v>381</v>
      </c>
      <c r="D306" s="17">
        <v>426</v>
      </c>
      <c r="E306" s="17">
        <v>361</v>
      </c>
      <c r="F306" s="17">
        <f t="shared" si="20"/>
        <v>65</v>
      </c>
      <c r="G306" s="17">
        <v>869</v>
      </c>
      <c r="H306" s="17">
        <v>775</v>
      </c>
      <c r="I306" s="17">
        <f t="shared" si="21"/>
        <v>94</v>
      </c>
      <c r="J306" s="16">
        <f t="shared" si="22"/>
        <v>0.32895752895752894</v>
      </c>
      <c r="K306" s="16">
        <f t="shared" si="23"/>
        <v>0.31778169014084506</v>
      </c>
      <c r="L306" s="18">
        <f t="shared" si="24"/>
        <v>1.1175838816683881</v>
      </c>
    </row>
    <row r="307" spans="1:13" ht="32" x14ac:dyDescent="0.2">
      <c r="A307" t="s">
        <v>281</v>
      </c>
      <c r="B307" t="s">
        <v>382</v>
      </c>
      <c r="C307" t="s">
        <v>383</v>
      </c>
      <c r="D307" s="17">
        <v>290</v>
      </c>
      <c r="E307" s="17"/>
      <c r="F307" s="17" t="str">
        <f t="shared" si="20"/>
        <v/>
      </c>
      <c r="G307" s="17">
        <v>406</v>
      </c>
      <c r="H307" s="17"/>
      <c r="I307" s="17" t="str">
        <f t="shared" si="21"/>
        <v/>
      </c>
      <c r="J307" s="16">
        <f t="shared" si="22"/>
        <v>0.41666666666666669</v>
      </c>
      <c r="K307" s="16" t="str">
        <f t="shared" si="23"/>
        <v/>
      </c>
      <c r="L307" s="18" t="str">
        <f t="shared" si="24"/>
        <v/>
      </c>
      <c r="M307" s="12" t="s">
        <v>522</v>
      </c>
    </row>
    <row r="308" spans="1:13" ht="32" x14ac:dyDescent="0.2">
      <c r="A308" t="s">
        <v>281</v>
      </c>
      <c r="B308" t="s">
        <v>382</v>
      </c>
      <c r="C308" t="s">
        <v>384</v>
      </c>
      <c r="D308" s="17">
        <v>665</v>
      </c>
      <c r="E308" s="17"/>
      <c r="F308" s="17" t="str">
        <f t="shared" si="20"/>
        <v/>
      </c>
      <c r="G308" s="17">
        <v>841</v>
      </c>
      <c r="H308" s="17"/>
      <c r="I308" s="17" t="str">
        <f t="shared" si="21"/>
        <v/>
      </c>
      <c r="J308" s="16">
        <f t="shared" si="22"/>
        <v>0.44156706507304117</v>
      </c>
      <c r="K308" s="16" t="str">
        <f t="shared" si="23"/>
        <v/>
      </c>
      <c r="L308" s="18" t="str">
        <f t="shared" si="24"/>
        <v/>
      </c>
      <c r="M308" s="12" t="s">
        <v>520</v>
      </c>
    </row>
    <row r="309" spans="1:13" ht="32" x14ac:dyDescent="0.2">
      <c r="A309" t="s">
        <v>281</v>
      </c>
      <c r="B309" t="s">
        <v>382</v>
      </c>
      <c r="C309" t="s">
        <v>385</v>
      </c>
      <c r="D309" s="17">
        <v>566</v>
      </c>
      <c r="E309" s="17"/>
      <c r="F309" s="17" t="str">
        <f t="shared" si="20"/>
        <v/>
      </c>
      <c r="G309" s="17">
        <v>885</v>
      </c>
      <c r="H309" s="17"/>
      <c r="I309" s="17" t="str">
        <f t="shared" si="21"/>
        <v/>
      </c>
      <c r="J309" s="16">
        <f t="shared" si="22"/>
        <v>0.39007580978635426</v>
      </c>
      <c r="K309" s="16" t="str">
        <f t="shared" si="23"/>
        <v/>
      </c>
      <c r="L309" s="18" t="str">
        <f t="shared" si="24"/>
        <v/>
      </c>
      <c r="M309" s="12" t="s">
        <v>522</v>
      </c>
    </row>
    <row r="310" spans="1:13" ht="32" x14ac:dyDescent="0.2">
      <c r="A310" t="s">
        <v>281</v>
      </c>
      <c r="B310" t="s">
        <v>382</v>
      </c>
      <c r="C310" t="s">
        <v>386</v>
      </c>
      <c r="D310" s="17">
        <v>604</v>
      </c>
      <c r="E310" s="17"/>
      <c r="F310" s="17" t="str">
        <f t="shared" si="20"/>
        <v/>
      </c>
      <c r="G310" s="17">
        <v>955</v>
      </c>
      <c r="H310" s="17"/>
      <c r="I310" s="17" t="str">
        <f t="shared" si="21"/>
        <v/>
      </c>
      <c r="J310" s="16">
        <f t="shared" si="22"/>
        <v>0.38742783835792177</v>
      </c>
      <c r="K310" s="16" t="str">
        <f t="shared" si="23"/>
        <v/>
      </c>
      <c r="L310" s="18" t="str">
        <f t="shared" si="24"/>
        <v/>
      </c>
      <c r="M310" s="12" t="s">
        <v>520</v>
      </c>
    </row>
    <row r="311" spans="1:13" ht="32" x14ac:dyDescent="0.2">
      <c r="A311" t="s">
        <v>281</v>
      </c>
      <c r="B311" t="s">
        <v>387</v>
      </c>
      <c r="C311" t="s">
        <v>388</v>
      </c>
      <c r="D311" s="17">
        <v>622</v>
      </c>
      <c r="E311" s="17"/>
      <c r="F311" s="17" t="str">
        <f t="shared" si="20"/>
        <v/>
      </c>
      <c r="G311" s="17">
        <v>670</v>
      </c>
      <c r="H311" s="17"/>
      <c r="I311" s="17" t="str">
        <f t="shared" si="21"/>
        <v/>
      </c>
      <c r="J311" s="16">
        <f t="shared" si="22"/>
        <v>0.48142414860681115</v>
      </c>
      <c r="K311" s="16" t="str">
        <f t="shared" si="23"/>
        <v/>
      </c>
      <c r="L311" s="18" t="str">
        <f t="shared" si="24"/>
        <v/>
      </c>
      <c r="M311" s="12" t="s">
        <v>522</v>
      </c>
    </row>
    <row r="312" spans="1:13" ht="32" x14ac:dyDescent="0.2">
      <c r="A312" t="s">
        <v>281</v>
      </c>
      <c r="B312" t="s">
        <v>387</v>
      </c>
      <c r="C312" t="s">
        <v>389</v>
      </c>
      <c r="D312" s="17">
        <v>731</v>
      </c>
      <c r="E312" s="17"/>
      <c r="F312" s="17" t="str">
        <f t="shared" si="20"/>
        <v/>
      </c>
      <c r="G312" s="17">
        <v>1045</v>
      </c>
      <c r="H312" s="17"/>
      <c r="I312" s="17" t="str">
        <f t="shared" si="21"/>
        <v/>
      </c>
      <c r="J312" s="16">
        <f t="shared" si="22"/>
        <v>0.41159909909909909</v>
      </c>
      <c r="K312" s="16" t="str">
        <f t="shared" si="23"/>
        <v/>
      </c>
      <c r="L312" s="18" t="str">
        <f t="shared" si="24"/>
        <v/>
      </c>
      <c r="M312" s="12" t="s">
        <v>522</v>
      </c>
    </row>
    <row r="313" spans="1:13" ht="32" x14ac:dyDescent="0.2">
      <c r="A313" t="s">
        <v>281</v>
      </c>
      <c r="B313" t="s">
        <v>387</v>
      </c>
      <c r="C313" t="s">
        <v>390</v>
      </c>
      <c r="D313" s="17">
        <v>454</v>
      </c>
      <c r="E313" s="17"/>
      <c r="F313" s="17" t="str">
        <f t="shared" si="20"/>
        <v/>
      </c>
      <c r="G313" s="17">
        <v>671</v>
      </c>
      <c r="H313" s="17"/>
      <c r="I313" s="17" t="str">
        <f t="shared" si="21"/>
        <v/>
      </c>
      <c r="J313" s="16">
        <f t="shared" si="22"/>
        <v>0.40355555555555556</v>
      </c>
      <c r="K313" s="16" t="str">
        <f t="shared" si="23"/>
        <v/>
      </c>
      <c r="L313" s="18" t="str">
        <f t="shared" si="24"/>
        <v/>
      </c>
      <c r="M313" s="12" t="s">
        <v>522</v>
      </c>
    </row>
    <row r="314" spans="1:13" ht="32" x14ac:dyDescent="0.2">
      <c r="A314" t="s">
        <v>281</v>
      </c>
      <c r="B314" t="s">
        <v>387</v>
      </c>
      <c r="C314" t="s">
        <v>391</v>
      </c>
      <c r="D314" s="17">
        <v>517</v>
      </c>
      <c r="E314" s="17"/>
      <c r="F314" s="17" t="str">
        <f t="shared" si="20"/>
        <v/>
      </c>
      <c r="G314" s="17">
        <v>536</v>
      </c>
      <c r="H314" s="17"/>
      <c r="I314" s="17" t="str">
        <f t="shared" si="21"/>
        <v/>
      </c>
      <c r="J314" s="16">
        <f t="shared" si="22"/>
        <v>0.49097815764482433</v>
      </c>
      <c r="K314" s="16" t="str">
        <f t="shared" si="23"/>
        <v/>
      </c>
      <c r="L314" s="18" t="str">
        <f t="shared" si="24"/>
        <v/>
      </c>
      <c r="M314" s="12" t="s">
        <v>522</v>
      </c>
    </row>
    <row r="315" spans="1:13" ht="32" x14ac:dyDescent="0.2">
      <c r="A315" t="s">
        <v>281</v>
      </c>
      <c r="B315" t="s">
        <v>387</v>
      </c>
      <c r="C315" t="s">
        <v>392</v>
      </c>
      <c r="D315" s="17">
        <v>458</v>
      </c>
      <c r="E315" s="17"/>
      <c r="F315" s="17" t="str">
        <f t="shared" si="20"/>
        <v/>
      </c>
      <c r="G315" s="17">
        <v>732</v>
      </c>
      <c r="H315" s="17"/>
      <c r="I315" s="17" t="str">
        <f t="shared" si="21"/>
        <v/>
      </c>
      <c r="J315" s="16">
        <f t="shared" si="22"/>
        <v>0.38487394957983195</v>
      </c>
      <c r="K315" s="16" t="str">
        <f t="shared" si="23"/>
        <v/>
      </c>
      <c r="L315" s="18" t="str">
        <f t="shared" si="24"/>
        <v/>
      </c>
      <c r="M315" s="12" t="s">
        <v>522</v>
      </c>
    </row>
    <row r="316" spans="1:13" ht="32" x14ac:dyDescent="0.2">
      <c r="A316" t="s">
        <v>281</v>
      </c>
      <c r="B316" t="s">
        <v>387</v>
      </c>
      <c r="C316" t="s">
        <v>393</v>
      </c>
      <c r="D316" s="17">
        <v>938</v>
      </c>
      <c r="E316" s="17"/>
      <c r="F316" s="17" t="str">
        <f t="shared" si="20"/>
        <v/>
      </c>
      <c r="G316" s="17">
        <v>962</v>
      </c>
      <c r="H316" s="17"/>
      <c r="I316" s="17" t="str">
        <f t="shared" si="21"/>
        <v/>
      </c>
      <c r="J316" s="16">
        <f t="shared" si="22"/>
        <v>0.49368421052631578</v>
      </c>
      <c r="K316" s="16" t="str">
        <f t="shared" si="23"/>
        <v/>
      </c>
      <c r="L316" s="18" t="str">
        <f t="shared" si="24"/>
        <v/>
      </c>
      <c r="M316" s="12" t="s">
        <v>522</v>
      </c>
    </row>
    <row r="317" spans="1:13" x14ac:dyDescent="0.2">
      <c r="A317" t="s">
        <v>281</v>
      </c>
      <c r="B317" t="s">
        <v>394</v>
      </c>
      <c r="C317" t="s">
        <v>395</v>
      </c>
      <c r="D317" s="17">
        <v>460</v>
      </c>
      <c r="E317" s="17">
        <v>409</v>
      </c>
      <c r="F317" s="17">
        <f t="shared" si="20"/>
        <v>51</v>
      </c>
      <c r="G317" s="17">
        <v>902</v>
      </c>
      <c r="H317" s="17">
        <v>764</v>
      </c>
      <c r="I317" s="17">
        <f t="shared" si="21"/>
        <v>138</v>
      </c>
      <c r="J317" s="16">
        <f t="shared" si="22"/>
        <v>0.33773861967694568</v>
      </c>
      <c r="K317" s="16">
        <f t="shared" si="23"/>
        <v>0.34867860187553285</v>
      </c>
      <c r="L317" s="18">
        <f t="shared" si="24"/>
        <v>-1.0939982198587161</v>
      </c>
    </row>
    <row r="318" spans="1:13" x14ac:dyDescent="0.2">
      <c r="A318" t="s">
        <v>281</v>
      </c>
      <c r="B318" t="s">
        <v>394</v>
      </c>
      <c r="C318" t="s">
        <v>396</v>
      </c>
      <c r="D318" s="17">
        <v>930</v>
      </c>
      <c r="E318" s="17">
        <v>805</v>
      </c>
      <c r="F318" s="17">
        <f t="shared" si="20"/>
        <v>125</v>
      </c>
      <c r="G318" s="17">
        <v>1835</v>
      </c>
      <c r="H318" s="17">
        <v>1577</v>
      </c>
      <c r="I318" s="17">
        <f t="shared" si="21"/>
        <v>258</v>
      </c>
      <c r="J318" s="16">
        <f t="shared" si="22"/>
        <v>0.33634719710669075</v>
      </c>
      <c r="K318" s="16">
        <f t="shared" si="23"/>
        <v>0.33795130142737195</v>
      </c>
      <c r="L318" s="18">
        <f t="shared" si="24"/>
        <v>-0.16041043206811989</v>
      </c>
    </row>
    <row r="319" spans="1:13" x14ac:dyDescent="0.2">
      <c r="A319" t="s">
        <v>281</v>
      </c>
      <c r="B319" t="s">
        <v>394</v>
      </c>
      <c r="C319" t="s">
        <v>397</v>
      </c>
      <c r="D319" s="17">
        <v>616</v>
      </c>
      <c r="E319" s="17">
        <v>547</v>
      </c>
      <c r="F319" s="17">
        <f t="shared" si="20"/>
        <v>69</v>
      </c>
      <c r="G319" s="17">
        <v>1315</v>
      </c>
      <c r="H319" s="17">
        <v>1179</v>
      </c>
      <c r="I319" s="17">
        <f t="shared" si="21"/>
        <v>136</v>
      </c>
      <c r="J319" s="16">
        <f t="shared" si="22"/>
        <v>0.3190056965302952</v>
      </c>
      <c r="K319" s="16">
        <f t="shared" si="23"/>
        <v>0.31691772885283892</v>
      </c>
      <c r="L319" s="18">
        <f t="shared" si="24"/>
        <v>0.20879676774562816</v>
      </c>
    </row>
    <row r="320" spans="1:13" x14ac:dyDescent="0.2">
      <c r="A320" t="s">
        <v>281</v>
      </c>
      <c r="B320" t="s">
        <v>394</v>
      </c>
      <c r="C320" t="s">
        <v>398</v>
      </c>
      <c r="D320" s="17">
        <v>298</v>
      </c>
      <c r="E320" s="17">
        <v>245</v>
      </c>
      <c r="F320" s="17">
        <f t="shared" si="20"/>
        <v>53</v>
      </c>
      <c r="G320" s="17">
        <v>571</v>
      </c>
      <c r="H320" s="17">
        <v>537</v>
      </c>
      <c r="I320" s="17">
        <f t="shared" si="21"/>
        <v>34</v>
      </c>
      <c r="J320" s="16">
        <f t="shared" si="22"/>
        <v>0.34292289988492519</v>
      </c>
      <c r="K320" s="16">
        <f t="shared" si="23"/>
        <v>0.3132992327365729</v>
      </c>
      <c r="L320" s="18">
        <f t="shared" si="24"/>
        <v>2.9623667148352295</v>
      </c>
    </row>
    <row r="321" spans="1:13" x14ac:dyDescent="0.2">
      <c r="A321" t="s">
        <v>281</v>
      </c>
      <c r="B321" t="s">
        <v>399</v>
      </c>
      <c r="C321" t="s">
        <v>400</v>
      </c>
      <c r="D321" s="17">
        <v>673</v>
      </c>
      <c r="E321" s="17">
        <v>601</v>
      </c>
      <c r="F321" s="17">
        <f t="shared" si="20"/>
        <v>72</v>
      </c>
      <c r="G321" s="17">
        <v>683</v>
      </c>
      <c r="H321" s="17">
        <v>605</v>
      </c>
      <c r="I321" s="17">
        <f t="shared" si="21"/>
        <v>78</v>
      </c>
      <c r="J321" s="16">
        <f t="shared" si="22"/>
        <v>0.49631268436578169</v>
      </c>
      <c r="K321" s="16">
        <f t="shared" si="23"/>
        <v>0.49834162520729686</v>
      </c>
      <c r="L321" s="18">
        <f t="shared" si="24"/>
        <v>-0.202894084151517</v>
      </c>
    </row>
    <row r="322" spans="1:13" x14ac:dyDescent="0.2">
      <c r="A322" t="s">
        <v>281</v>
      </c>
      <c r="B322" t="s">
        <v>399</v>
      </c>
      <c r="C322" t="s">
        <v>401</v>
      </c>
      <c r="D322" s="17">
        <v>597</v>
      </c>
      <c r="E322" s="17">
        <v>523</v>
      </c>
      <c r="F322" s="17">
        <f t="shared" ref="F322:F371" si="25">IF(E322="","",D322-E322)</f>
        <v>74</v>
      </c>
      <c r="G322" s="17">
        <v>557</v>
      </c>
      <c r="H322" s="17">
        <v>542</v>
      </c>
      <c r="I322" s="17">
        <f t="shared" ref="I322:I371" si="26">IF(H322="","",G322-H322)</f>
        <v>15</v>
      </c>
      <c r="J322" s="16">
        <f t="shared" ref="J322:J371" si="27">IF(D322+G322=0,"",D322/(D322+G322))</f>
        <v>0.51733102253032925</v>
      </c>
      <c r="K322" s="16">
        <f t="shared" ref="K322:K371" si="28">IF(E322="","",E322/(E322+H322))</f>
        <v>0.49107981220657276</v>
      </c>
      <c r="L322" s="18">
        <f t="shared" ref="L322:L371" si="29">IF(OR(K322="",J322=""),"",(J322-K322)*100)</f>
        <v>2.6251210323756489</v>
      </c>
    </row>
    <row r="323" spans="1:13" x14ac:dyDescent="0.2">
      <c r="A323" t="s">
        <v>281</v>
      </c>
      <c r="B323" t="s">
        <v>399</v>
      </c>
      <c r="C323" t="s">
        <v>402</v>
      </c>
      <c r="D323" s="17">
        <v>531</v>
      </c>
      <c r="E323" s="17">
        <v>472</v>
      </c>
      <c r="F323" s="17">
        <f t="shared" si="25"/>
        <v>59</v>
      </c>
      <c r="G323" s="17">
        <v>552</v>
      </c>
      <c r="H323" s="17">
        <v>517</v>
      </c>
      <c r="I323" s="17">
        <f t="shared" si="26"/>
        <v>35</v>
      </c>
      <c r="J323" s="16">
        <f t="shared" si="27"/>
        <v>0.49030470914127422</v>
      </c>
      <c r="K323" s="16">
        <f t="shared" si="28"/>
        <v>0.47724974721941354</v>
      </c>
      <c r="L323" s="18">
        <f t="shared" si="29"/>
        <v>1.3054961921860675</v>
      </c>
    </row>
    <row r="324" spans="1:13" x14ac:dyDescent="0.2">
      <c r="A324" t="s">
        <v>281</v>
      </c>
      <c r="B324" t="s">
        <v>403</v>
      </c>
      <c r="C324" t="s">
        <v>404</v>
      </c>
      <c r="D324" s="17">
        <v>251</v>
      </c>
      <c r="E324" s="17">
        <v>222</v>
      </c>
      <c r="F324" s="17">
        <f t="shared" si="25"/>
        <v>29</v>
      </c>
      <c r="G324" s="17">
        <v>329</v>
      </c>
      <c r="H324" s="17">
        <v>276</v>
      </c>
      <c r="I324" s="17">
        <f t="shared" si="26"/>
        <v>53</v>
      </c>
      <c r="J324" s="16">
        <f t="shared" si="27"/>
        <v>0.43275862068965515</v>
      </c>
      <c r="K324" s="16">
        <f t="shared" si="28"/>
        <v>0.44578313253012047</v>
      </c>
      <c r="L324" s="18">
        <f t="shared" si="29"/>
        <v>-1.3024511840465325</v>
      </c>
    </row>
    <row r="325" spans="1:13" x14ac:dyDescent="0.2">
      <c r="A325" t="s">
        <v>281</v>
      </c>
      <c r="B325" t="s">
        <v>403</v>
      </c>
      <c r="C325" t="s">
        <v>405</v>
      </c>
      <c r="D325" s="17">
        <v>640</v>
      </c>
      <c r="E325" s="17">
        <v>625</v>
      </c>
      <c r="F325" s="17">
        <f t="shared" si="25"/>
        <v>15</v>
      </c>
      <c r="G325" s="17">
        <v>598</v>
      </c>
      <c r="H325" s="17">
        <v>613</v>
      </c>
      <c r="I325" s="17">
        <f t="shared" si="26"/>
        <v>-15</v>
      </c>
      <c r="J325" s="16">
        <f t="shared" si="27"/>
        <v>0.51696284329563813</v>
      </c>
      <c r="K325" s="16">
        <f t="shared" si="28"/>
        <v>0.50484652665589658</v>
      </c>
      <c r="L325" s="18">
        <f t="shared" si="29"/>
        <v>1.2116316639741553</v>
      </c>
    </row>
    <row r="326" spans="1:13" x14ac:dyDescent="0.2">
      <c r="A326" t="s">
        <v>281</v>
      </c>
      <c r="B326" t="s">
        <v>406</v>
      </c>
      <c r="C326" t="s">
        <v>407</v>
      </c>
      <c r="D326" s="17">
        <v>691</v>
      </c>
      <c r="E326" s="17">
        <v>628</v>
      </c>
      <c r="F326" s="17">
        <f t="shared" si="25"/>
        <v>63</v>
      </c>
      <c r="G326" s="17">
        <v>771</v>
      </c>
      <c r="H326" s="17">
        <v>719</v>
      </c>
      <c r="I326" s="17">
        <f t="shared" si="26"/>
        <v>52</v>
      </c>
      <c r="J326" s="16">
        <f t="shared" si="27"/>
        <v>0.47264021887824897</v>
      </c>
      <c r="K326" s="16">
        <f t="shared" si="28"/>
        <v>0.46622123236822571</v>
      </c>
      <c r="L326" s="18">
        <f t="shared" si="29"/>
        <v>0.64189865100232613</v>
      </c>
    </row>
    <row r="327" spans="1:13" x14ac:dyDescent="0.2">
      <c r="A327" t="s">
        <v>281</v>
      </c>
      <c r="B327" t="s">
        <v>406</v>
      </c>
      <c r="C327" t="s">
        <v>408</v>
      </c>
      <c r="D327" s="17">
        <v>626</v>
      </c>
      <c r="E327" s="17">
        <v>588</v>
      </c>
      <c r="F327" s="17">
        <f t="shared" si="25"/>
        <v>38</v>
      </c>
      <c r="G327" s="17">
        <v>673</v>
      </c>
      <c r="H327" s="17">
        <v>628</v>
      </c>
      <c r="I327" s="17">
        <f t="shared" si="26"/>
        <v>45</v>
      </c>
      <c r="J327" s="16">
        <f t="shared" si="27"/>
        <v>0.48190916089299463</v>
      </c>
      <c r="K327" s="16">
        <f t="shared" si="28"/>
        <v>0.48355263157894735</v>
      </c>
      <c r="L327" s="18">
        <f t="shared" si="29"/>
        <v>-0.16434706859527193</v>
      </c>
    </row>
    <row r="328" spans="1:13" x14ac:dyDescent="0.2">
      <c r="A328" t="s">
        <v>281</v>
      </c>
      <c r="B328" t="s">
        <v>406</v>
      </c>
      <c r="C328" t="s">
        <v>409</v>
      </c>
      <c r="D328" s="17">
        <v>1292</v>
      </c>
      <c r="E328" s="17">
        <v>1120</v>
      </c>
      <c r="F328" s="17">
        <f t="shared" si="25"/>
        <v>172</v>
      </c>
      <c r="G328" s="17">
        <v>1358</v>
      </c>
      <c r="H328" s="17">
        <v>1352</v>
      </c>
      <c r="I328" s="17">
        <f t="shared" si="26"/>
        <v>6</v>
      </c>
      <c r="J328" s="16">
        <f t="shared" si="27"/>
        <v>0.48754716981132074</v>
      </c>
      <c r="K328" s="16">
        <f t="shared" si="28"/>
        <v>0.45307443365695793</v>
      </c>
      <c r="L328" s="18">
        <f t="shared" si="29"/>
        <v>3.4472736154362806</v>
      </c>
    </row>
    <row r="329" spans="1:13" x14ac:dyDescent="0.2">
      <c r="A329" t="s">
        <v>281</v>
      </c>
      <c r="B329" t="s">
        <v>406</v>
      </c>
      <c r="C329" t="s">
        <v>410</v>
      </c>
      <c r="D329" s="17">
        <v>293</v>
      </c>
      <c r="E329" s="17">
        <v>237</v>
      </c>
      <c r="F329" s="17">
        <f t="shared" si="25"/>
        <v>56</v>
      </c>
      <c r="G329" s="17">
        <v>349</v>
      </c>
      <c r="H329" s="17">
        <v>324</v>
      </c>
      <c r="I329" s="17">
        <f t="shared" si="26"/>
        <v>25</v>
      </c>
      <c r="J329" s="16">
        <f t="shared" si="27"/>
        <v>0.45638629283489096</v>
      </c>
      <c r="K329" s="16">
        <f t="shared" si="28"/>
        <v>0.42245989304812837</v>
      </c>
      <c r="L329" s="18">
        <f t="shared" si="29"/>
        <v>3.3926399786762595</v>
      </c>
    </row>
    <row r="330" spans="1:13" ht="32" x14ac:dyDescent="0.2">
      <c r="A330" t="s">
        <v>281</v>
      </c>
      <c r="B330" t="s">
        <v>411</v>
      </c>
      <c r="C330" t="s">
        <v>412</v>
      </c>
      <c r="D330" s="17">
        <v>981</v>
      </c>
      <c r="E330" s="17"/>
      <c r="F330" s="17" t="str">
        <f t="shared" si="25"/>
        <v/>
      </c>
      <c r="G330" s="17">
        <v>892</v>
      </c>
      <c r="H330" s="17"/>
      <c r="I330" s="17" t="str">
        <f t="shared" si="26"/>
        <v/>
      </c>
      <c r="J330" s="16">
        <f t="shared" si="27"/>
        <v>0.52375867592098235</v>
      </c>
      <c r="K330" s="16" t="str">
        <f t="shared" si="28"/>
        <v/>
      </c>
      <c r="L330" s="18" t="str">
        <f t="shared" si="29"/>
        <v/>
      </c>
      <c r="M330" s="12" t="s">
        <v>522</v>
      </c>
    </row>
    <row r="331" spans="1:13" ht="32" x14ac:dyDescent="0.2">
      <c r="A331" t="s">
        <v>281</v>
      </c>
      <c r="B331" t="s">
        <v>411</v>
      </c>
      <c r="C331" t="s">
        <v>413</v>
      </c>
      <c r="D331" s="17">
        <v>644</v>
      </c>
      <c r="E331" s="17"/>
      <c r="F331" s="17" t="str">
        <f t="shared" si="25"/>
        <v/>
      </c>
      <c r="G331" s="17">
        <v>545</v>
      </c>
      <c r="H331" s="17"/>
      <c r="I331" s="17" t="str">
        <f t="shared" si="26"/>
        <v/>
      </c>
      <c r="J331" s="16">
        <f t="shared" si="27"/>
        <v>0.5416316232127838</v>
      </c>
      <c r="K331" s="16" t="str">
        <f t="shared" si="28"/>
        <v/>
      </c>
      <c r="L331" s="18" t="str">
        <f t="shared" si="29"/>
        <v/>
      </c>
      <c r="M331" s="12" t="s">
        <v>522</v>
      </c>
    </row>
    <row r="332" spans="1:13" ht="32" x14ac:dyDescent="0.2">
      <c r="A332" t="s">
        <v>281</v>
      </c>
      <c r="B332" t="s">
        <v>411</v>
      </c>
      <c r="C332" t="s">
        <v>414</v>
      </c>
      <c r="D332" s="17">
        <v>794</v>
      </c>
      <c r="E332" s="17"/>
      <c r="F332" s="17" t="str">
        <f t="shared" si="25"/>
        <v/>
      </c>
      <c r="G332" s="17">
        <v>959</v>
      </c>
      <c r="H332" s="17"/>
      <c r="I332" s="17" t="str">
        <f t="shared" si="26"/>
        <v/>
      </c>
      <c r="J332" s="16">
        <f t="shared" si="27"/>
        <v>0.45293782087849399</v>
      </c>
      <c r="K332" s="16" t="str">
        <f t="shared" si="28"/>
        <v/>
      </c>
      <c r="L332" s="18" t="str">
        <f t="shared" si="29"/>
        <v/>
      </c>
      <c r="M332" s="12" t="s">
        <v>520</v>
      </c>
    </row>
    <row r="333" spans="1:13" ht="32" x14ac:dyDescent="0.2">
      <c r="A333" t="s">
        <v>281</v>
      </c>
      <c r="B333" t="s">
        <v>411</v>
      </c>
      <c r="C333" t="s">
        <v>415</v>
      </c>
      <c r="D333" s="17">
        <v>1101</v>
      </c>
      <c r="E333" s="17"/>
      <c r="F333" s="17" t="str">
        <f t="shared" si="25"/>
        <v/>
      </c>
      <c r="G333" s="17">
        <v>980</v>
      </c>
      <c r="H333" s="17"/>
      <c r="I333" s="17" t="str">
        <f t="shared" si="26"/>
        <v/>
      </c>
      <c r="J333" s="16">
        <f t="shared" si="27"/>
        <v>0.5290725612686209</v>
      </c>
      <c r="K333" s="16" t="str">
        <f t="shared" si="28"/>
        <v/>
      </c>
      <c r="L333" s="18" t="str">
        <f t="shared" si="29"/>
        <v/>
      </c>
      <c r="M333" s="12" t="s">
        <v>522</v>
      </c>
    </row>
    <row r="334" spans="1:13" ht="32" x14ac:dyDescent="0.2">
      <c r="A334" t="s">
        <v>281</v>
      </c>
      <c r="B334" t="s">
        <v>411</v>
      </c>
      <c r="C334" t="s">
        <v>416</v>
      </c>
      <c r="D334" s="17">
        <v>919</v>
      </c>
      <c r="E334" s="17"/>
      <c r="F334" s="17" t="str">
        <f t="shared" si="25"/>
        <v/>
      </c>
      <c r="G334" s="17">
        <v>923</v>
      </c>
      <c r="H334" s="17"/>
      <c r="I334" s="17" t="str">
        <f t="shared" si="26"/>
        <v/>
      </c>
      <c r="J334" s="16">
        <f t="shared" si="27"/>
        <v>0.498914223669924</v>
      </c>
      <c r="K334" s="16" t="str">
        <f t="shared" si="28"/>
        <v/>
      </c>
      <c r="L334" s="18" t="str">
        <f t="shared" si="29"/>
        <v/>
      </c>
      <c r="M334" s="12" t="s">
        <v>522</v>
      </c>
    </row>
    <row r="335" spans="1:13" ht="32" x14ac:dyDescent="0.2">
      <c r="A335" t="s">
        <v>281</v>
      </c>
      <c r="B335" t="s">
        <v>411</v>
      </c>
      <c r="C335" t="s">
        <v>417</v>
      </c>
      <c r="D335" s="17">
        <v>844</v>
      </c>
      <c r="E335" s="17"/>
      <c r="F335" s="17" t="str">
        <f t="shared" si="25"/>
        <v/>
      </c>
      <c r="G335" s="17">
        <v>890</v>
      </c>
      <c r="H335" s="17"/>
      <c r="I335" s="17" t="str">
        <f t="shared" si="26"/>
        <v/>
      </c>
      <c r="J335" s="16">
        <f t="shared" si="27"/>
        <v>0.48673587081891578</v>
      </c>
      <c r="K335" s="16" t="str">
        <f t="shared" si="28"/>
        <v/>
      </c>
      <c r="L335" s="18" t="str">
        <f t="shared" si="29"/>
        <v/>
      </c>
      <c r="M335" s="12" t="s">
        <v>522</v>
      </c>
    </row>
    <row r="336" spans="1:13" ht="32" x14ac:dyDescent="0.2">
      <c r="A336" t="s">
        <v>281</v>
      </c>
      <c r="B336" t="s">
        <v>411</v>
      </c>
      <c r="C336" t="s">
        <v>418</v>
      </c>
      <c r="D336" s="17">
        <v>889</v>
      </c>
      <c r="E336" s="17"/>
      <c r="F336" s="17" t="str">
        <f t="shared" si="25"/>
        <v/>
      </c>
      <c r="G336" s="17">
        <v>747</v>
      </c>
      <c r="H336" s="17"/>
      <c r="I336" s="17" t="str">
        <f t="shared" si="26"/>
        <v/>
      </c>
      <c r="J336" s="16">
        <f t="shared" si="27"/>
        <v>0.54339853300733498</v>
      </c>
      <c r="K336" s="16" t="str">
        <f t="shared" si="28"/>
        <v/>
      </c>
      <c r="L336" s="18" t="str">
        <f t="shared" si="29"/>
        <v/>
      </c>
      <c r="M336" s="12" t="s">
        <v>520</v>
      </c>
    </row>
    <row r="337" spans="1:13" ht="32" x14ac:dyDescent="0.2">
      <c r="A337" t="s">
        <v>281</v>
      </c>
      <c r="B337" t="s">
        <v>411</v>
      </c>
      <c r="C337" t="s">
        <v>419</v>
      </c>
      <c r="D337" s="17">
        <v>824</v>
      </c>
      <c r="E337" s="17"/>
      <c r="F337" s="17" t="str">
        <f t="shared" si="25"/>
        <v/>
      </c>
      <c r="G337" s="17">
        <v>787</v>
      </c>
      <c r="H337" s="17"/>
      <c r="I337" s="17" t="str">
        <f t="shared" si="26"/>
        <v/>
      </c>
      <c r="J337" s="16">
        <f t="shared" si="27"/>
        <v>0.51148355058969586</v>
      </c>
      <c r="K337" s="16" t="str">
        <f t="shared" si="28"/>
        <v/>
      </c>
      <c r="L337" s="18" t="str">
        <f t="shared" si="29"/>
        <v/>
      </c>
      <c r="M337" s="12" t="s">
        <v>522</v>
      </c>
    </row>
    <row r="338" spans="1:13" ht="32" x14ac:dyDescent="0.2">
      <c r="A338" t="s">
        <v>281</v>
      </c>
      <c r="B338" t="s">
        <v>411</v>
      </c>
      <c r="C338" t="s">
        <v>420</v>
      </c>
      <c r="D338" s="17">
        <v>918</v>
      </c>
      <c r="E338" s="17"/>
      <c r="F338" s="17" t="str">
        <f t="shared" si="25"/>
        <v/>
      </c>
      <c r="G338" s="17">
        <v>1005</v>
      </c>
      <c r="H338" s="17"/>
      <c r="I338" s="17" t="str">
        <f t="shared" si="26"/>
        <v/>
      </c>
      <c r="J338" s="16">
        <f t="shared" si="27"/>
        <v>0.47737909516380655</v>
      </c>
      <c r="K338" s="16" t="str">
        <f t="shared" si="28"/>
        <v/>
      </c>
      <c r="L338" s="18" t="str">
        <f t="shared" si="29"/>
        <v/>
      </c>
      <c r="M338" s="12" t="s">
        <v>522</v>
      </c>
    </row>
    <row r="339" spans="1:13" x14ac:dyDescent="0.2">
      <c r="A339" t="s">
        <v>281</v>
      </c>
      <c r="B339" t="s">
        <v>421</v>
      </c>
      <c r="C339" t="s">
        <v>422</v>
      </c>
      <c r="D339" s="17">
        <v>128</v>
      </c>
      <c r="E339" s="17">
        <v>112</v>
      </c>
      <c r="F339" s="17">
        <f t="shared" si="25"/>
        <v>16</v>
      </c>
      <c r="G339" s="17">
        <v>186</v>
      </c>
      <c r="H339" s="17">
        <v>199</v>
      </c>
      <c r="I339" s="17">
        <f t="shared" si="26"/>
        <v>-13</v>
      </c>
      <c r="J339" s="16">
        <f t="shared" si="27"/>
        <v>0.40764331210191085</v>
      </c>
      <c r="K339" s="16">
        <f t="shared" si="28"/>
        <v>0.36012861736334406</v>
      </c>
      <c r="L339" s="18">
        <f t="shared" si="29"/>
        <v>4.7514694738566785</v>
      </c>
    </row>
    <row r="340" spans="1:13" x14ac:dyDescent="0.2">
      <c r="A340" t="s">
        <v>281</v>
      </c>
      <c r="B340" t="s">
        <v>421</v>
      </c>
      <c r="C340" t="s">
        <v>423</v>
      </c>
      <c r="D340" s="17">
        <v>292</v>
      </c>
      <c r="E340" s="17">
        <v>259</v>
      </c>
      <c r="F340" s="17">
        <f t="shared" si="25"/>
        <v>33</v>
      </c>
      <c r="G340" s="17">
        <v>549</v>
      </c>
      <c r="H340" s="17">
        <v>480</v>
      </c>
      <c r="I340" s="17">
        <f t="shared" si="26"/>
        <v>69</v>
      </c>
      <c r="J340" s="16">
        <f t="shared" si="27"/>
        <v>0.34720570749108204</v>
      </c>
      <c r="K340" s="16">
        <f t="shared" si="28"/>
        <v>0.35047361299052776</v>
      </c>
      <c r="L340" s="18">
        <f t="shared" si="29"/>
        <v>-0.32679054994457224</v>
      </c>
    </row>
    <row r="341" spans="1:13" x14ac:dyDescent="0.2">
      <c r="A341" t="s">
        <v>281</v>
      </c>
      <c r="B341" t="s">
        <v>421</v>
      </c>
      <c r="C341" t="s">
        <v>424</v>
      </c>
      <c r="D341" s="17">
        <v>247</v>
      </c>
      <c r="E341" s="17">
        <v>204</v>
      </c>
      <c r="F341" s="17">
        <f t="shared" si="25"/>
        <v>43</v>
      </c>
      <c r="G341" s="17">
        <v>342</v>
      </c>
      <c r="H341" s="17">
        <v>301</v>
      </c>
      <c r="I341" s="17">
        <f t="shared" si="26"/>
        <v>41</v>
      </c>
      <c r="J341" s="16">
        <f t="shared" si="27"/>
        <v>0.41935483870967744</v>
      </c>
      <c r="K341" s="16">
        <f t="shared" si="28"/>
        <v>0.40396039603960399</v>
      </c>
      <c r="L341" s="18">
        <f t="shared" si="29"/>
        <v>1.5394442670073449</v>
      </c>
    </row>
    <row r="342" spans="1:13" x14ac:dyDescent="0.2">
      <c r="A342" t="s">
        <v>281</v>
      </c>
      <c r="B342" t="s">
        <v>421</v>
      </c>
      <c r="C342" t="s">
        <v>425</v>
      </c>
      <c r="D342" s="17">
        <v>151</v>
      </c>
      <c r="E342" s="17">
        <v>128</v>
      </c>
      <c r="F342" s="17">
        <f t="shared" si="25"/>
        <v>23</v>
      </c>
      <c r="G342" s="17">
        <v>199</v>
      </c>
      <c r="H342" s="17">
        <v>200</v>
      </c>
      <c r="I342" s="17">
        <f t="shared" si="26"/>
        <v>-1</v>
      </c>
      <c r="J342" s="16">
        <f t="shared" si="27"/>
        <v>0.43142857142857144</v>
      </c>
      <c r="K342" s="16">
        <f t="shared" si="28"/>
        <v>0.3902439024390244</v>
      </c>
      <c r="L342" s="18">
        <f t="shared" si="29"/>
        <v>4.1184668989547033</v>
      </c>
    </row>
    <row r="343" spans="1:13" x14ac:dyDescent="0.2">
      <c r="A343" t="s">
        <v>281</v>
      </c>
      <c r="B343" t="s">
        <v>426</v>
      </c>
      <c r="C343" t="s">
        <v>427</v>
      </c>
      <c r="D343" s="17">
        <v>466</v>
      </c>
      <c r="E343" s="17">
        <v>412</v>
      </c>
      <c r="F343" s="17">
        <f t="shared" si="25"/>
        <v>54</v>
      </c>
      <c r="G343" s="17">
        <v>929</v>
      </c>
      <c r="H343" s="17">
        <v>767</v>
      </c>
      <c r="I343" s="17">
        <f t="shared" si="26"/>
        <v>162</v>
      </c>
      <c r="J343" s="16">
        <f t="shared" si="27"/>
        <v>0.33405017921146951</v>
      </c>
      <c r="K343" s="16">
        <f t="shared" si="28"/>
        <v>0.34944868532654794</v>
      </c>
      <c r="L343" s="18">
        <f t="shared" si="29"/>
        <v>-1.5398506115078425</v>
      </c>
    </row>
    <row r="344" spans="1:13" x14ac:dyDescent="0.2">
      <c r="A344" t="s">
        <v>281</v>
      </c>
      <c r="B344" t="s">
        <v>426</v>
      </c>
      <c r="C344" t="s">
        <v>428</v>
      </c>
      <c r="D344" s="17">
        <v>387</v>
      </c>
      <c r="E344" s="17">
        <v>361</v>
      </c>
      <c r="F344" s="17">
        <f t="shared" si="25"/>
        <v>26</v>
      </c>
      <c r="G344" s="17">
        <v>728</v>
      </c>
      <c r="H344" s="17">
        <v>633</v>
      </c>
      <c r="I344" s="17">
        <f t="shared" si="26"/>
        <v>95</v>
      </c>
      <c r="J344" s="16">
        <f t="shared" si="27"/>
        <v>0.34708520179372199</v>
      </c>
      <c r="K344" s="16">
        <f t="shared" si="28"/>
        <v>0.36317907444668007</v>
      </c>
      <c r="L344" s="18">
        <f t="shared" si="29"/>
        <v>-1.6093872652958086</v>
      </c>
    </row>
    <row r="345" spans="1:13" x14ac:dyDescent="0.2">
      <c r="A345" t="s">
        <v>281</v>
      </c>
      <c r="B345" t="s">
        <v>426</v>
      </c>
      <c r="C345" t="s">
        <v>429</v>
      </c>
      <c r="D345" s="17">
        <v>334</v>
      </c>
      <c r="E345" s="17">
        <v>286</v>
      </c>
      <c r="F345" s="17">
        <f t="shared" si="25"/>
        <v>48</v>
      </c>
      <c r="G345" s="17">
        <v>676</v>
      </c>
      <c r="H345" s="17">
        <v>553</v>
      </c>
      <c r="I345" s="17">
        <f t="shared" si="26"/>
        <v>123</v>
      </c>
      <c r="J345" s="16">
        <f t="shared" si="27"/>
        <v>0.33069306930693071</v>
      </c>
      <c r="K345" s="16">
        <f t="shared" si="28"/>
        <v>0.34088200238379024</v>
      </c>
      <c r="L345" s="18">
        <f t="shared" si="29"/>
        <v>-1.018893307685953</v>
      </c>
    </row>
    <row r="346" spans="1:13" x14ac:dyDescent="0.2">
      <c r="A346" t="s">
        <v>281</v>
      </c>
      <c r="B346" t="s">
        <v>426</v>
      </c>
      <c r="C346" t="s">
        <v>430</v>
      </c>
      <c r="D346" s="17">
        <v>381</v>
      </c>
      <c r="E346" s="17">
        <v>302</v>
      </c>
      <c r="F346" s="17">
        <f t="shared" si="25"/>
        <v>79</v>
      </c>
      <c r="G346" s="17">
        <v>719</v>
      </c>
      <c r="H346" s="17">
        <v>608</v>
      </c>
      <c r="I346" s="17">
        <f t="shared" si="26"/>
        <v>111</v>
      </c>
      <c r="J346" s="16">
        <f t="shared" si="27"/>
        <v>0.34636363636363637</v>
      </c>
      <c r="K346" s="16">
        <f t="shared" si="28"/>
        <v>0.33186813186813185</v>
      </c>
      <c r="L346" s="18">
        <f t="shared" si="29"/>
        <v>1.4495504495504519</v>
      </c>
    </row>
    <row r="347" spans="1:13" x14ac:dyDescent="0.2">
      <c r="A347" t="s">
        <v>281</v>
      </c>
      <c r="B347" t="s">
        <v>431</v>
      </c>
      <c r="C347" t="s">
        <v>431</v>
      </c>
      <c r="D347" s="17">
        <v>92</v>
      </c>
      <c r="E347" s="17">
        <v>92</v>
      </c>
      <c r="F347" s="17">
        <f t="shared" si="25"/>
        <v>0</v>
      </c>
      <c r="G347" s="17">
        <v>213</v>
      </c>
      <c r="H347" s="17">
        <v>167</v>
      </c>
      <c r="I347" s="17">
        <f t="shared" si="26"/>
        <v>46</v>
      </c>
      <c r="J347" s="16">
        <f t="shared" si="27"/>
        <v>0.30163934426229511</v>
      </c>
      <c r="K347" s="16">
        <f t="shared" si="28"/>
        <v>0.35521235521235522</v>
      </c>
      <c r="L347" s="18">
        <f t="shared" si="29"/>
        <v>-5.3573010950060116</v>
      </c>
    </row>
    <row r="348" spans="1:13" x14ac:dyDescent="0.2">
      <c r="A348" t="s">
        <v>281</v>
      </c>
      <c r="B348" t="s">
        <v>432</v>
      </c>
      <c r="C348" t="s">
        <v>432</v>
      </c>
      <c r="D348" s="17">
        <v>401</v>
      </c>
      <c r="E348" s="17">
        <v>335</v>
      </c>
      <c r="F348" s="17">
        <f t="shared" si="25"/>
        <v>66</v>
      </c>
      <c r="G348" s="17">
        <v>663</v>
      </c>
      <c r="H348" s="17">
        <v>581</v>
      </c>
      <c r="I348" s="17">
        <f t="shared" si="26"/>
        <v>82</v>
      </c>
      <c r="J348" s="16">
        <f t="shared" si="27"/>
        <v>0.37687969924812031</v>
      </c>
      <c r="K348" s="16">
        <f t="shared" si="28"/>
        <v>0.36572052401746724</v>
      </c>
      <c r="L348" s="18">
        <f t="shared" si="29"/>
        <v>1.1159175230653073</v>
      </c>
    </row>
    <row r="349" spans="1:13" x14ac:dyDescent="0.2">
      <c r="A349" t="s">
        <v>281</v>
      </c>
      <c r="B349" t="s">
        <v>433</v>
      </c>
      <c r="C349" t="s">
        <v>433</v>
      </c>
      <c r="D349" s="17">
        <v>240</v>
      </c>
      <c r="E349" s="17">
        <v>210</v>
      </c>
      <c r="F349" s="17">
        <f t="shared" si="25"/>
        <v>30</v>
      </c>
      <c r="G349" s="17">
        <v>352</v>
      </c>
      <c r="H349" s="17">
        <v>309</v>
      </c>
      <c r="I349" s="17">
        <f t="shared" si="26"/>
        <v>43</v>
      </c>
      <c r="J349" s="16">
        <f t="shared" si="27"/>
        <v>0.40540540540540543</v>
      </c>
      <c r="K349" s="16">
        <f t="shared" si="28"/>
        <v>0.40462427745664742</v>
      </c>
      <c r="L349" s="18">
        <f t="shared" si="29"/>
        <v>7.8112794875800917E-2</v>
      </c>
    </row>
    <row r="350" spans="1:13" x14ac:dyDescent="0.2">
      <c r="A350" t="s">
        <v>281</v>
      </c>
      <c r="B350" t="s">
        <v>434</v>
      </c>
      <c r="C350" t="s">
        <v>434</v>
      </c>
      <c r="D350" s="17">
        <v>322</v>
      </c>
      <c r="E350" s="17">
        <v>331</v>
      </c>
      <c r="F350" s="17">
        <f t="shared" si="25"/>
        <v>-9</v>
      </c>
      <c r="G350" s="17">
        <v>459</v>
      </c>
      <c r="H350" s="17">
        <v>458</v>
      </c>
      <c r="I350" s="17">
        <f t="shared" si="26"/>
        <v>1</v>
      </c>
      <c r="J350" s="16">
        <f t="shared" si="27"/>
        <v>0.41229193341869397</v>
      </c>
      <c r="K350" s="16">
        <f t="shared" si="28"/>
        <v>0.41951837769328265</v>
      </c>
      <c r="L350" s="18">
        <f t="shared" si="29"/>
        <v>-0.72264442745886837</v>
      </c>
    </row>
    <row r="351" spans="1:13" x14ac:dyDescent="0.2">
      <c r="A351" t="s">
        <v>281</v>
      </c>
      <c r="B351" t="s">
        <v>435</v>
      </c>
      <c r="C351" t="s">
        <v>436</v>
      </c>
      <c r="D351" s="17">
        <v>329</v>
      </c>
      <c r="E351" s="17">
        <v>307</v>
      </c>
      <c r="F351" s="17">
        <f t="shared" si="25"/>
        <v>22</v>
      </c>
      <c r="G351" s="17">
        <v>861</v>
      </c>
      <c r="H351" s="17">
        <v>746</v>
      </c>
      <c r="I351" s="17">
        <f t="shared" si="26"/>
        <v>115</v>
      </c>
      <c r="J351" s="16">
        <f t="shared" si="27"/>
        <v>0.27647058823529413</v>
      </c>
      <c r="K351" s="16">
        <f t="shared" si="28"/>
        <v>0.29154795821462487</v>
      </c>
      <c r="L351" s="18">
        <f t="shared" si="29"/>
        <v>-1.5077369979330735</v>
      </c>
    </row>
    <row r="352" spans="1:13" x14ac:dyDescent="0.2">
      <c r="A352" t="s">
        <v>281</v>
      </c>
      <c r="B352" t="s">
        <v>435</v>
      </c>
      <c r="C352" t="s">
        <v>437</v>
      </c>
      <c r="D352" s="17">
        <v>266</v>
      </c>
      <c r="E352" s="17">
        <v>232</v>
      </c>
      <c r="F352" s="17">
        <f t="shared" si="25"/>
        <v>34</v>
      </c>
      <c r="G352" s="17">
        <v>576</v>
      </c>
      <c r="H352" s="17">
        <v>487</v>
      </c>
      <c r="I352" s="17">
        <f t="shared" si="26"/>
        <v>89</v>
      </c>
      <c r="J352" s="16">
        <f t="shared" si="27"/>
        <v>0.31591448931116389</v>
      </c>
      <c r="K352" s="16">
        <f t="shared" si="28"/>
        <v>0.3226703755215577</v>
      </c>
      <c r="L352" s="18">
        <f t="shared" si="29"/>
        <v>-0.67558862103938022</v>
      </c>
    </row>
    <row r="353" spans="1:13" x14ac:dyDescent="0.2">
      <c r="A353" t="s">
        <v>281</v>
      </c>
      <c r="B353" t="s">
        <v>435</v>
      </c>
      <c r="C353" t="s">
        <v>438</v>
      </c>
      <c r="D353" s="17">
        <v>220</v>
      </c>
      <c r="E353" s="17">
        <v>178</v>
      </c>
      <c r="F353" s="17">
        <f t="shared" si="25"/>
        <v>42</v>
      </c>
      <c r="G353" s="17">
        <v>497</v>
      </c>
      <c r="H353" s="17">
        <v>480</v>
      </c>
      <c r="I353" s="17">
        <f t="shared" si="26"/>
        <v>17</v>
      </c>
      <c r="J353" s="16">
        <f t="shared" si="27"/>
        <v>0.30683403068340309</v>
      </c>
      <c r="K353" s="16">
        <f t="shared" si="28"/>
        <v>0.27051671732522797</v>
      </c>
      <c r="L353" s="18">
        <f t="shared" si="29"/>
        <v>3.6317313358175118</v>
      </c>
    </row>
    <row r="354" spans="1:13" x14ac:dyDescent="0.2">
      <c r="A354" t="s">
        <v>281</v>
      </c>
      <c r="B354" t="s">
        <v>435</v>
      </c>
      <c r="C354" t="s">
        <v>439</v>
      </c>
      <c r="D354" s="17">
        <v>208</v>
      </c>
      <c r="E354" s="17">
        <v>180</v>
      </c>
      <c r="F354" s="17">
        <f t="shared" si="25"/>
        <v>28</v>
      </c>
      <c r="G354" s="17">
        <v>476</v>
      </c>
      <c r="H354" s="17">
        <v>430</v>
      </c>
      <c r="I354" s="17">
        <f t="shared" si="26"/>
        <v>46</v>
      </c>
      <c r="J354" s="16">
        <f t="shared" si="27"/>
        <v>0.30409356725146197</v>
      </c>
      <c r="K354" s="16">
        <f t="shared" si="28"/>
        <v>0.29508196721311475</v>
      </c>
      <c r="L354" s="18">
        <f t="shared" si="29"/>
        <v>0.90116000383472228</v>
      </c>
    </row>
    <row r="355" spans="1:13" x14ac:dyDescent="0.2">
      <c r="A355" t="s">
        <v>281</v>
      </c>
      <c r="B355" t="s">
        <v>435</v>
      </c>
      <c r="C355" t="s">
        <v>440</v>
      </c>
      <c r="D355" s="17">
        <v>395</v>
      </c>
      <c r="E355" s="17">
        <v>345</v>
      </c>
      <c r="F355" s="17">
        <f t="shared" si="25"/>
        <v>50</v>
      </c>
      <c r="G355" s="17">
        <v>697</v>
      </c>
      <c r="H355" s="17">
        <v>573</v>
      </c>
      <c r="I355" s="17">
        <f t="shared" si="26"/>
        <v>124</v>
      </c>
      <c r="J355" s="16">
        <f t="shared" si="27"/>
        <v>0.36172161172161171</v>
      </c>
      <c r="K355" s="16">
        <f t="shared" si="28"/>
        <v>0.37581699346405228</v>
      </c>
      <c r="L355" s="18">
        <f t="shared" si="29"/>
        <v>-1.4095381742440571</v>
      </c>
    </row>
    <row r="356" spans="1:13" ht="32" x14ac:dyDescent="0.2">
      <c r="A356" t="s">
        <v>281</v>
      </c>
      <c r="B356" t="s">
        <v>441</v>
      </c>
      <c r="C356" t="s">
        <v>442</v>
      </c>
      <c r="D356" s="17">
        <v>840</v>
      </c>
      <c r="E356" s="17"/>
      <c r="F356" s="17" t="str">
        <f t="shared" si="25"/>
        <v/>
      </c>
      <c r="G356" s="17">
        <v>913</v>
      </c>
      <c r="H356" s="17"/>
      <c r="I356" s="17" t="str">
        <f t="shared" si="26"/>
        <v/>
      </c>
      <c r="J356" s="16">
        <f t="shared" si="27"/>
        <v>0.47917855105533369</v>
      </c>
      <c r="K356" s="16" t="str">
        <f t="shared" si="28"/>
        <v/>
      </c>
      <c r="L356" s="18" t="str">
        <f t="shared" si="29"/>
        <v/>
      </c>
      <c r="M356" s="12" t="s">
        <v>522</v>
      </c>
    </row>
    <row r="357" spans="1:13" ht="32" x14ac:dyDescent="0.2">
      <c r="A357" t="s">
        <v>281</v>
      </c>
      <c r="B357" t="s">
        <v>441</v>
      </c>
      <c r="C357" t="s">
        <v>443</v>
      </c>
      <c r="D357" s="17">
        <v>424</v>
      </c>
      <c r="E357" s="17"/>
      <c r="F357" s="17" t="str">
        <f t="shared" si="25"/>
        <v/>
      </c>
      <c r="G357" s="17">
        <v>431</v>
      </c>
      <c r="H357" s="17"/>
      <c r="I357" s="17" t="str">
        <f t="shared" si="26"/>
        <v/>
      </c>
      <c r="J357" s="16">
        <f t="shared" si="27"/>
        <v>0.49590643274853802</v>
      </c>
      <c r="K357" s="16" t="str">
        <f t="shared" si="28"/>
        <v/>
      </c>
      <c r="L357" s="18" t="str">
        <f t="shared" si="29"/>
        <v/>
      </c>
      <c r="M357" s="12" t="s">
        <v>520</v>
      </c>
    </row>
    <row r="358" spans="1:13" ht="32" x14ac:dyDescent="0.2">
      <c r="A358" t="s">
        <v>281</v>
      </c>
      <c r="B358" t="s">
        <v>441</v>
      </c>
      <c r="C358" t="s">
        <v>444</v>
      </c>
      <c r="D358" s="17">
        <v>597</v>
      </c>
      <c r="E358" s="17"/>
      <c r="F358" s="17" t="str">
        <f t="shared" si="25"/>
        <v/>
      </c>
      <c r="G358" s="17">
        <v>837</v>
      </c>
      <c r="H358" s="17"/>
      <c r="I358" s="17" t="str">
        <f t="shared" si="26"/>
        <v/>
      </c>
      <c r="J358" s="16">
        <f t="shared" si="27"/>
        <v>0.41631799163179917</v>
      </c>
      <c r="K358" s="16" t="str">
        <f t="shared" si="28"/>
        <v/>
      </c>
      <c r="L358" s="18" t="str">
        <f t="shared" si="29"/>
        <v/>
      </c>
      <c r="M358" s="12" t="s">
        <v>522</v>
      </c>
    </row>
    <row r="359" spans="1:13" ht="32" x14ac:dyDescent="0.2">
      <c r="A359" t="s">
        <v>281</v>
      </c>
      <c r="B359" t="s">
        <v>441</v>
      </c>
      <c r="C359" t="s">
        <v>445</v>
      </c>
      <c r="D359" s="17">
        <v>264</v>
      </c>
      <c r="E359" s="17"/>
      <c r="F359" s="17" t="str">
        <f t="shared" si="25"/>
        <v/>
      </c>
      <c r="G359" s="17">
        <v>381</v>
      </c>
      <c r="H359" s="17"/>
      <c r="I359" s="17" t="str">
        <f t="shared" si="26"/>
        <v/>
      </c>
      <c r="J359" s="16">
        <f t="shared" si="27"/>
        <v>0.40930232558139534</v>
      </c>
      <c r="K359" s="16" t="str">
        <f t="shared" si="28"/>
        <v/>
      </c>
      <c r="L359" s="18" t="str">
        <f t="shared" si="29"/>
        <v/>
      </c>
      <c r="M359" s="12" t="s">
        <v>520</v>
      </c>
    </row>
    <row r="360" spans="1:13" x14ac:dyDescent="0.2">
      <c r="A360" t="s">
        <v>281</v>
      </c>
      <c r="B360" t="s">
        <v>446</v>
      </c>
      <c r="C360" t="s">
        <v>446</v>
      </c>
      <c r="D360" s="17">
        <v>474</v>
      </c>
      <c r="E360" s="17">
        <v>416</v>
      </c>
      <c r="F360" s="17">
        <f t="shared" si="25"/>
        <v>58</v>
      </c>
      <c r="G360" s="17">
        <v>674</v>
      </c>
      <c r="H360" s="17">
        <v>658</v>
      </c>
      <c r="I360" s="17">
        <f t="shared" si="26"/>
        <v>16</v>
      </c>
      <c r="J360" s="16">
        <f t="shared" si="27"/>
        <v>0.41289198606271776</v>
      </c>
      <c r="K360" s="16">
        <f t="shared" si="28"/>
        <v>0.38733705772811916</v>
      </c>
      <c r="L360" s="18">
        <f t="shared" si="29"/>
        <v>2.5554928334598603</v>
      </c>
    </row>
    <row r="361" spans="1:13" ht="32" x14ac:dyDescent="0.2">
      <c r="A361" t="s">
        <v>281</v>
      </c>
      <c r="B361" t="s">
        <v>447</v>
      </c>
      <c r="C361" t="s">
        <v>448</v>
      </c>
      <c r="D361" s="17">
        <v>609</v>
      </c>
      <c r="E361" s="17">
        <v>541</v>
      </c>
      <c r="F361" s="17">
        <f t="shared" si="25"/>
        <v>68</v>
      </c>
      <c r="G361" s="17">
        <v>1359</v>
      </c>
      <c r="H361" s="17">
        <v>1106</v>
      </c>
      <c r="I361" s="17">
        <f t="shared" si="26"/>
        <v>253</v>
      </c>
      <c r="J361" s="16">
        <f t="shared" si="27"/>
        <v>0.30945121951219512</v>
      </c>
      <c r="K361" s="16">
        <f t="shared" si="28"/>
        <v>0.32847601700060719</v>
      </c>
      <c r="L361" s="18">
        <f t="shared" si="29"/>
        <v>-1.9024797488412071</v>
      </c>
      <c r="M361" s="12" t="s">
        <v>521</v>
      </c>
    </row>
    <row r="362" spans="1:13" ht="32" x14ac:dyDescent="0.2">
      <c r="A362" t="s">
        <v>281</v>
      </c>
      <c r="B362" t="s">
        <v>447</v>
      </c>
      <c r="C362" t="s">
        <v>449</v>
      </c>
      <c r="D362" s="17">
        <v>625</v>
      </c>
      <c r="E362" s="17">
        <v>500</v>
      </c>
      <c r="F362" s="17">
        <f t="shared" si="25"/>
        <v>125</v>
      </c>
      <c r="G362" s="17">
        <v>1168</v>
      </c>
      <c r="H362" s="17">
        <v>982</v>
      </c>
      <c r="I362" s="17">
        <f t="shared" si="26"/>
        <v>186</v>
      </c>
      <c r="J362" s="16">
        <f t="shared" si="27"/>
        <v>0.34857780256553261</v>
      </c>
      <c r="K362" s="16">
        <f t="shared" si="28"/>
        <v>0.33738191632928477</v>
      </c>
      <c r="L362" s="18">
        <f t="shared" si="29"/>
        <v>1.1195886236247843</v>
      </c>
      <c r="M362" s="12" t="s">
        <v>521</v>
      </c>
    </row>
    <row r="363" spans="1:13" x14ac:dyDescent="0.2">
      <c r="A363" t="s">
        <v>281</v>
      </c>
      <c r="B363" t="s">
        <v>450</v>
      </c>
      <c r="C363" t="s">
        <v>450</v>
      </c>
      <c r="D363" s="17">
        <v>306</v>
      </c>
      <c r="E363" s="17">
        <v>281</v>
      </c>
      <c r="F363" s="17">
        <f t="shared" si="25"/>
        <v>25</v>
      </c>
      <c r="G363" s="17">
        <v>373</v>
      </c>
      <c r="H363" s="17">
        <v>310</v>
      </c>
      <c r="I363" s="17">
        <f t="shared" si="26"/>
        <v>63</v>
      </c>
      <c r="J363" s="16">
        <f t="shared" si="27"/>
        <v>0.45066273932253315</v>
      </c>
      <c r="K363" s="16">
        <f t="shared" si="28"/>
        <v>0.47546531302876482</v>
      </c>
      <c r="L363" s="18">
        <f t="shared" si="29"/>
        <v>-2.4802573706231676</v>
      </c>
    </row>
    <row r="364" spans="1:13" x14ac:dyDescent="0.2">
      <c r="A364" t="s">
        <v>281</v>
      </c>
      <c r="B364" t="s">
        <v>451</v>
      </c>
      <c r="C364" t="s">
        <v>452</v>
      </c>
      <c r="D364" s="17">
        <v>551</v>
      </c>
      <c r="E364" s="17">
        <v>514</v>
      </c>
      <c r="F364" s="17">
        <f t="shared" si="25"/>
        <v>37</v>
      </c>
      <c r="G364" s="17">
        <v>811</v>
      </c>
      <c r="H364" s="17">
        <v>713</v>
      </c>
      <c r="I364" s="17">
        <f t="shared" si="26"/>
        <v>98</v>
      </c>
      <c r="J364" s="16">
        <f t="shared" si="27"/>
        <v>0.40455212922173273</v>
      </c>
      <c r="K364" s="16">
        <f t="shared" si="28"/>
        <v>0.41890790546047268</v>
      </c>
      <c r="L364" s="18">
        <f t="shared" si="29"/>
        <v>-1.4355776238739959</v>
      </c>
    </row>
    <row r="365" spans="1:13" x14ac:dyDescent="0.2">
      <c r="A365" t="s">
        <v>281</v>
      </c>
      <c r="B365" t="s">
        <v>451</v>
      </c>
      <c r="C365" t="s">
        <v>453</v>
      </c>
      <c r="D365" s="17">
        <v>472</v>
      </c>
      <c r="E365" s="17">
        <v>425</v>
      </c>
      <c r="F365" s="17">
        <f t="shared" si="25"/>
        <v>47</v>
      </c>
      <c r="G365" s="17">
        <v>743</v>
      </c>
      <c r="H365" s="17">
        <v>656</v>
      </c>
      <c r="I365" s="17">
        <f t="shared" si="26"/>
        <v>87</v>
      </c>
      <c r="J365" s="16">
        <f t="shared" si="27"/>
        <v>0.38847736625514401</v>
      </c>
      <c r="K365" s="16">
        <f t="shared" si="28"/>
        <v>0.39315448658649399</v>
      </c>
      <c r="L365" s="18">
        <f t="shared" si="29"/>
        <v>-0.46771203313499821</v>
      </c>
    </row>
    <row r="366" spans="1:13" x14ac:dyDescent="0.2">
      <c r="A366" t="s">
        <v>281</v>
      </c>
      <c r="B366" t="s">
        <v>451</v>
      </c>
      <c r="C366" t="s">
        <v>454</v>
      </c>
      <c r="D366" s="17">
        <v>678</v>
      </c>
      <c r="E366" s="17">
        <v>624</v>
      </c>
      <c r="F366" s="17">
        <f t="shared" si="25"/>
        <v>54</v>
      </c>
      <c r="G366" s="17">
        <v>807</v>
      </c>
      <c r="H366" s="17">
        <v>618</v>
      </c>
      <c r="I366" s="17">
        <f t="shared" si="26"/>
        <v>189</v>
      </c>
      <c r="J366" s="16">
        <f t="shared" si="27"/>
        <v>0.45656565656565656</v>
      </c>
      <c r="K366" s="16">
        <f t="shared" si="28"/>
        <v>0.50241545893719808</v>
      </c>
      <c r="L366" s="18">
        <f t="shared" si="29"/>
        <v>-4.5849802371541513</v>
      </c>
    </row>
    <row r="367" spans="1:13" x14ac:dyDescent="0.2">
      <c r="A367" t="s">
        <v>281</v>
      </c>
      <c r="B367" t="s">
        <v>451</v>
      </c>
      <c r="C367" t="s">
        <v>455</v>
      </c>
      <c r="D367" s="17">
        <v>318</v>
      </c>
      <c r="E367" s="17">
        <v>284</v>
      </c>
      <c r="F367" s="17">
        <f t="shared" si="25"/>
        <v>34</v>
      </c>
      <c r="G367" s="17">
        <v>467</v>
      </c>
      <c r="H367" s="17">
        <v>414</v>
      </c>
      <c r="I367" s="17">
        <f t="shared" si="26"/>
        <v>53</v>
      </c>
      <c r="J367" s="16">
        <f t="shared" si="27"/>
        <v>0.40509554140127391</v>
      </c>
      <c r="K367" s="16">
        <f t="shared" si="28"/>
        <v>0.40687679083094558</v>
      </c>
      <c r="L367" s="18">
        <f t="shared" si="29"/>
        <v>-0.17812494296716719</v>
      </c>
    </row>
    <row r="368" spans="1:13" x14ac:dyDescent="0.2">
      <c r="A368" t="s">
        <v>281</v>
      </c>
      <c r="B368" t="s">
        <v>456</v>
      </c>
      <c r="C368" t="s">
        <v>457</v>
      </c>
      <c r="D368" s="17">
        <v>681</v>
      </c>
      <c r="E368" s="17">
        <v>648</v>
      </c>
      <c r="F368" s="17">
        <f t="shared" si="25"/>
        <v>33</v>
      </c>
      <c r="G368" s="17">
        <v>432</v>
      </c>
      <c r="H368" s="17">
        <v>462</v>
      </c>
      <c r="I368" s="17">
        <f t="shared" si="26"/>
        <v>-30</v>
      </c>
      <c r="J368" s="16">
        <f t="shared" si="27"/>
        <v>0.61185983827493262</v>
      </c>
      <c r="K368" s="16">
        <f t="shared" si="28"/>
        <v>0.58378378378378382</v>
      </c>
      <c r="L368" s="18">
        <f t="shared" si="29"/>
        <v>2.8076054491148805</v>
      </c>
    </row>
    <row r="369" spans="1:12" x14ac:dyDescent="0.2">
      <c r="A369" t="s">
        <v>281</v>
      </c>
      <c r="B369" t="s">
        <v>456</v>
      </c>
      <c r="C369" t="s">
        <v>458</v>
      </c>
      <c r="D369" s="17">
        <v>544</v>
      </c>
      <c r="E369" s="17">
        <v>491</v>
      </c>
      <c r="F369" s="17">
        <f t="shared" si="25"/>
        <v>53</v>
      </c>
      <c r="G369" s="17">
        <v>403</v>
      </c>
      <c r="H369" s="17">
        <v>402</v>
      </c>
      <c r="I369" s="17">
        <f t="shared" si="26"/>
        <v>1</v>
      </c>
      <c r="J369" s="16">
        <f t="shared" si="27"/>
        <v>0.57444561774023228</v>
      </c>
      <c r="K369" s="16">
        <f t="shared" si="28"/>
        <v>0.54983202687569988</v>
      </c>
      <c r="L369" s="18">
        <f t="shared" si="29"/>
        <v>2.4613590864532409</v>
      </c>
    </row>
    <row r="370" spans="1:12" x14ac:dyDescent="0.2">
      <c r="A370" t="s">
        <v>281</v>
      </c>
      <c r="B370" t="s">
        <v>456</v>
      </c>
      <c r="C370" t="s">
        <v>459</v>
      </c>
      <c r="D370" s="17">
        <v>905</v>
      </c>
      <c r="E370" s="17">
        <v>758</v>
      </c>
      <c r="F370" s="17">
        <f t="shared" si="25"/>
        <v>147</v>
      </c>
      <c r="G370" s="17">
        <v>757</v>
      </c>
      <c r="H370" s="17">
        <v>674</v>
      </c>
      <c r="I370" s="17">
        <f t="shared" si="26"/>
        <v>83</v>
      </c>
      <c r="J370" s="16">
        <f t="shared" si="27"/>
        <v>0.54452466907340558</v>
      </c>
      <c r="K370" s="16">
        <f t="shared" si="28"/>
        <v>0.52932960893854752</v>
      </c>
      <c r="L370" s="18">
        <f t="shared" si="29"/>
        <v>1.5195060134858052</v>
      </c>
    </row>
    <row r="371" spans="1:12" x14ac:dyDescent="0.2">
      <c r="A371" t="s">
        <v>281</v>
      </c>
      <c r="B371" t="s">
        <v>460</v>
      </c>
      <c r="C371" t="s">
        <v>461</v>
      </c>
      <c r="D371" s="17">
        <v>651</v>
      </c>
      <c r="E371" s="17">
        <v>634</v>
      </c>
      <c r="F371" s="17">
        <f t="shared" si="25"/>
        <v>17</v>
      </c>
      <c r="G371" s="17">
        <v>866</v>
      </c>
      <c r="H371" s="17">
        <v>856</v>
      </c>
      <c r="I371" s="17">
        <f t="shared" si="26"/>
        <v>10</v>
      </c>
      <c r="J371" s="16">
        <f t="shared" si="27"/>
        <v>0.42913645352669744</v>
      </c>
      <c r="K371" s="16">
        <f t="shared" si="28"/>
        <v>0.42550335570469799</v>
      </c>
      <c r="L371" s="18">
        <f t="shared" si="29"/>
        <v>0.36330978219994425</v>
      </c>
    </row>
    <row r="373" spans="1:12" x14ac:dyDescent="0.2">
      <c r="A373" s="15" t="s">
        <v>523</v>
      </c>
      <c r="D373" s="17">
        <f>SUMIF(E2:E371,"&gt;=0",D2:D371)</f>
        <v>187312</v>
      </c>
      <c r="E373" s="17">
        <f>SUM(E2:E371)</f>
        <v>174318</v>
      </c>
      <c r="F373" s="17">
        <f>D373-E373</f>
        <v>12994</v>
      </c>
      <c r="G373" s="17">
        <f>SUMIF(H2:H371,"&gt;=0",G2:G371)</f>
        <v>193785</v>
      </c>
      <c r="H373" s="17">
        <f>SUM(H2:H371)</f>
        <v>179340</v>
      </c>
      <c r="I373" s="17">
        <f>G373-H373</f>
        <v>14445</v>
      </c>
      <c r="J373" s="16">
        <f>D373/(D373+G373)</f>
        <v>0.49150741149890975</v>
      </c>
      <c r="K373" s="16">
        <f>E373/(E373+H373)</f>
        <v>0.49289992026194801</v>
      </c>
      <c r="L373" s="18">
        <f>(J373-K373)*100</f>
        <v>-0.13925087630382582</v>
      </c>
    </row>
    <row r="374" spans="1:12" x14ac:dyDescent="0.2">
      <c r="A374" s="15" t="s">
        <v>524</v>
      </c>
      <c r="D374" s="17">
        <f>SUM(D2:D371)</f>
        <v>214331</v>
      </c>
      <c r="E374" s="17"/>
      <c r="F374" s="17"/>
      <c r="G374" s="17">
        <f>SUM(G2:G371)</f>
        <v>221639</v>
      </c>
      <c r="H374" s="17"/>
      <c r="I374" s="17"/>
      <c r="J374" s="16">
        <f>D374/(D374+G374)</f>
        <v>0.4916186893593596</v>
      </c>
      <c r="K374" s="16"/>
      <c r="L374" s="18"/>
    </row>
    <row r="376" spans="1:12" x14ac:dyDescent="0.2">
      <c r="A376" s="15" t="s">
        <v>525</v>
      </c>
    </row>
    <row r="377" spans="1:12" x14ac:dyDescent="0.2">
      <c r="A377" s="19" t="s">
        <v>526</v>
      </c>
      <c r="F377" s="17">
        <f>F373</f>
        <v>12994</v>
      </c>
    </row>
    <row r="378" spans="1:12" x14ac:dyDescent="0.2">
      <c r="A378" s="19" t="s">
        <v>527</v>
      </c>
      <c r="F378" s="17">
        <f>I373</f>
        <v>14445</v>
      </c>
    </row>
    <row r="379" spans="1:12" x14ac:dyDescent="0.2">
      <c r="A379" s="19" t="s">
        <v>528</v>
      </c>
      <c r="F379" s="18">
        <f>L373</f>
        <v>-0.13925087630382582</v>
      </c>
    </row>
    <row r="380" spans="1:12" x14ac:dyDescent="0.2">
      <c r="A380" s="19" t="s">
        <v>529</v>
      </c>
      <c r="F380" s="20">
        <f>(SUMIF(F2:F371,"&gt;0")-SUMIF(F2:F371,"&lt;0"))/COUNT(F2:F371)</f>
        <v>66.127272727272725</v>
      </c>
    </row>
    <row r="381" spans="1:12" x14ac:dyDescent="0.2">
      <c r="A381" s="19" t="s">
        <v>530</v>
      </c>
      <c r="F381" s="20">
        <f>(SUMIF(I2:I371,"&gt;0")-SUMIF(I2:I371,"&lt;0"))/COUNT(I2:I371)</f>
        <v>71.160606060606057</v>
      </c>
    </row>
    <row r="382" spans="1:12" x14ac:dyDescent="0.2">
      <c r="A382" s="19" t="s">
        <v>531</v>
      </c>
      <c r="F382" s="21">
        <f>(SUMIF(L2:L371,"&gt;0")-SUMIF(L2:L371,"&lt;0"))/COUNT(L2:L371)</f>
        <v>2.4781663358063355</v>
      </c>
    </row>
    <row r="383" spans="1:12" x14ac:dyDescent="0.2">
      <c r="A383" s="19" t="s">
        <v>532</v>
      </c>
      <c r="F383" s="22">
        <f>COUNT(E2:E371)</f>
        <v>330</v>
      </c>
    </row>
    <row r="384" spans="1:12" x14ac:dyDescent="0.2">
      <c r="A384" s="19" t="s">
        <v>533</v>
      </c>
      <c r="F384" s="22">
        <f>COUNTA(A2:A371)</f>
        <v>370</v>
      </c>
    </row>
    <row r="386" spans="13:13" x14ac:dyDescent="0.2">
      <c r="M386" s="15" t="s">
        <v>18</v>
      </c>
    </row>
    <row r="387" spans="13:13" ht="32" x14ac:dyDescent="0.2">
      <c r="M387" s="12" t="s">
        <v>534</v>
      </c>
    </row>
    <row r="388" spans="13:13" ht="32" x14ac:dyDescent="0.2">
      <c r="M388" s="12" t="s">
        <v>535</v>
      </c>
    </row>
    <row r="389" spans="13:13" ht="32" x14ac:dyDescent="0.2">
      <c r="M389" s="12" t="s">
        <v>536</v>
      </c>
    </row>
    <row r="390" spans="13:13" ht="16" x14ac:dyDescent="0.2">
      <c r="M390" s="12" t="s">
        <v>537</v>
      </c>
    </row>
    <row r="391" spans="13:13" ht="32" x14ac:dyDescent="0.2">
      <c r="M391" s="12" t="s">
        <v>538</v>
      </c>
    </row>
    <row r="392" spans="13:13" ht="32" x14ac:dyDescent="0.2">
      <c r="M392" s="12" t="s">
        <v>539</v>
      </c>
    </row>
    <row r="393" spans="13:13" ht="64" x14ac:dyDescent="0.2">
      <c r="M393" s="12" t="s">
        <v>540</v>
      </c>
    </row>
    <row r="394" spans="13:13" ht="32" x14ac:dyDescent="0.2">
      <c r="M394" s="12" t="s">
        <v>541</v>
      </c>
    </row>
    <row r="395" spans="13:13" ht="48" x14ac:dyDescent="0.2">
      <c r="M395" s="12" t="s">
        <v>542</v>
      </c>
    </row>
    <row r="396" spans="13:13" ht="16" x14ac:dyDescent="0.2">
      <c r="M396" s="12" t="s">
        <v>543</v>
      </c>
    </row>
    <row r="397" spans="13:13" ht="32" x14ac:dyDescent="0.2">
      <c r="M397" s="12" t="s">
        <v>544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2026 Precinct Forecast</vt:lpstr>
      <vt:lpstr>Feature Ranking</vt:lpstr>
      <vt:lpstr>2024 Backtest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Weinstein</cp:lastModifiedBy>
  <dcterms:created xsi:type="dcterms:W3CDTF">2026-10-02T00:00:00Z</dcterms:created>
  <dcterms:modified xsi:type="dcterms:W3CDTF">2026-10-04T21:21:34Z</dcterms:modified>
</cp:coreProperties>
</file>