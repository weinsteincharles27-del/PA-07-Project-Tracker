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harlieweinstein/Desktop/"/>
    </mc:Choice>
  </mc:AlternateContent>
  <xr:revisionPtr revIDLastSave="0" documentId="11_87A97A8E7FC12B137EE16AD3B19CEE42C682E36B" xr6:coauthVersionLast="47" xr6:coauthVersionMax="47" xr10:uidLastSave="{00000000-0000-0000-0000-000000000000}"/>
  <bookViews>
    <workbookView xWindow="0" yWindow="0" windowWidth="34200" windowHeight="22140" xr2:uid="{00000000-000D-0000-FFFF-FFFF00000000}"/>
  </bookViews>
  <sheets>
    <sheet name="2026 Municipal Forecast" sheetId="1" r:id="rId1"/>
    <sheet name="2026 Precinct Forecast" sheetId="2" r:id="rId2"/>
    <sheet name="Feature Ranking" sheetId="3" r:id="rId3"/>
    <sheet name="2024 Backtest Municipal" sheetId="4" r:id="rId4"/>
    <sheet name="2024 Backtest Precinc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1" i="5" l="1"/>
  <c r="H381" i="5" s="1"/>
  <c r="F380" i="5"/>
  <c r="H380" i="5" s="1"/>
  <c r="F379" i="5"/>
  <c r="H379" i="5" s="1"/>
  <c r="G378" i="5"/>
  <c r="F378" i="5"/>
  <c r="H378" i="5" s="1"/>
  <c r="F377" i="5"/>
  <c r="H377" i="5" s="1"/>
  <c r="G376" i="5"/>
  <c r="F376" i="5"/>
  <c r="H376" i="5" s="1"/>
  <c r="H375" i="5"/>
  <c r="G375" i="5"/>
  <c r="F375" i="5"/>
  <c r="G374" i="5"/>
  <c r="F374" i="5"/>
  <c r="H374" i="5" s="1"/>
  <c r="F373" i="5"/>
  <c r="H372" i="5"/>
  <c r="G372" i="5"/>
  <c r="F372" i="5"/>
  <c r="F371" i="5"/>
  <c r="G371" i="5" s="1"/>
  <c r="G370" i="5"/>
  <c r="F370" i="5"/>
  <c r="H370" i="5" s="1"/>
  <c r="F369" i="5"/>
  <c r="G369" i="5" s="1"/>
  <c r="H368" i="5"/>
  <c r="G368" i="5"/>
  <c r="F368" i="5"/>
  <c r="H367" i="5"/>
  <c r="G367" i="5"/>
  <c r="F367" i="5"/>
  <c r="F366" i="5"/>
  <c r="H366" i="5" s="1"/>
  <c r="F365" i="5"/>
  <c r="G365" i="5" s="1"/>
  <c r="H364" i="5"/>
  <c r="G364" i="5"/>
  <c r="F364" i="5"/>
  <c r="F363" i="5"/>
  <c r="F362" i="5"/>
  <c r="H362" i="5" s="1"/>
  <c r="F361" i="5"/>
  <c r="G361" i="5" s="1"/>
  <c r="H360" i="5"/>
  <c r="G360" i="5"/>
  <c r="F360" i="5"/>
  <c r="H359" i="5"/>
  <c r="F359" i="5"/>
  <c r="G359" i="5" s="1"/>
  <c r="F358" i="5"/>
  <c r="H358" i="5" s="1"/>
  <c r="H357" i="5"/>
  <c r="F357" i="5"/>
  <c r="G357" i="5" s="1"/>
  <c r="H356" i="5"/>
  <c r="G356" i="5"/>
  <c r="F356" i="5"/>
  <c r="F355" i="5"/>
  <c r="H355" i="5" s="1"/>
  <c r="G354" i="5"/>
  <c r="F354" i="5"/>
  <c r="H354" i="5" s="1"/>
  <c r="F353" i="5"/>
  <c r="G353" i="5" s="1"/>
  <c r="H352" i="5"/>
  <c r="G352" i="5"/>
  <c r="F352" i="5"/>
  <c r="H351" i="5"/>
  <c r="G351" i="5"/>
  <c r="F351" i="5"/>
  <c r="F350" i="5"/>
  <c r="H350" i="5" s="1"/>
  <c r="F349" i="5"/>
  <c r="G349" i="5" s="1"/>
  <c r="H348" i="5"/>
  <c r="G348" i="5"/>
  <c r="F348" i="5"/>
  <c r="F347" i="5"/>
  <c r="F346" i="5"/>
  <c r="H346" i="5" s="1"/>
  <c r="F345" i="5"/>
  <c r="G345" i="5" s="1"/>
  <c r="H344" i="5"/>
  <c r="G344" i="5"/>
  <c r="F344" i="5"/>
  <c r="H343" i="5"/>
  <c r="F343" i="5"/>
  <c r="G343" i="5" s="1"/>
  <c r="F342" i="5"/>
  <c r="H342" i="5" s="1"/>
  <c r="H341" i="5"/>
  <c r="F341" i="5"/>
  <c r="G341" i="5" s="1"/>
  <c r="H340" i="5"/>
  <c r="G340" i="5"/>
  <c r="F340" i="5"/>
  <c r="F339" i="5"/>
  <c r="H339" i="5" s="1"/>
  <c r="G338" i="5"/>
  <c r="F338" i="5"/>
  <c r="H338" i="5" s="1"/>
  <c r="F337" i="5"/>
  <c r="G337" i="5" s="1"/>
  <c r="H336" i="5"/>
  <c r="G336" i="5"/>
  <c r="F336" i="5"/>
  <c r="H335" i="5"/>
  <c r="G335" i="5"/>
  <c r="F335" i="5"/>
  <c r="F334" i="5"/>
  <c r="H334" i="5" s="1"/>
  <c r="F333" i="5"/>
  <c r="G333" i="5" s="1"/>
  <c r="H332" i="5"/>
  <c r="G332" i="5"/>
  <c r="F332" i="5"/>
  <c r="F331" i="5"/>
  <c r="F330" i="5"/>
  <c r="H330" i="5" s="1"/>
  <c r="F329" i="5"/>
  <c r="G329" i="5" s="1"/>
  <c r="H328" i="5"/>
  <c r="G328" i="5"/>
  <c r="F328" i="5"/>
  <c r="H327" i="5"/>
  <c r="F327" i="5"/>
  <c r="G327" i="5" s="1"/>
  <c r="F326" i="5"/>
  <c r="H326" i="5" s="1"/>
  <c r="H325" i="5"/>
  <c r="F325" i="5"/>
  <c r="G325" i="5" s="1"/>
  <c r="H324" i="5"/>
  <c r="G324" i="5"/>
  <c r="F324" i="5"/>
  <c r="F323" i="5"/>
  <c r="H323" i="5" s="1"/>
  <c r="G322" i="5"/>
  <c r="F322" i="5"/>
  <c r="H322" i="5" s="1"/>
  <c r="F321" i="5"/>
  <c r="G321" i="5" s="1"/>
  <c r="H320" i="5"/>
  <c r="G320" i="5"/>
  <c r="F320" i="5"/>
  <c r="H319" i="5"/>
  <c r="G319" i="5"/>
  <c r="F319" i="5"/>
  <c r="F318" i="5"/>
  <c r="H318" i="5" s="1"/>
  <c r="F317" i="5"/>
  <c r="G317" i="5" s="1"/>
  <c r="H316" i="5"/>
  <c r="G316" i="5"/>
  <c r="F316" i="5"/>
  <c r="F315" i="5"/>
  <c r="F314" i="5"/>
  <c r="H314" i="5" s="1"/>
  <c r="F313" i="5"/>
  <c r="G313" i="5" s="1"/>
  <c r="H312" i="5"/>
  <c r="G312" i="5"/>
  <c r="F312" i="5"/>
  <c r="H311" i="5"/>
  <c r="F311" i="5"/>
  <c r="G311" i="5" s="1"/>
  <c r="F310" i="5"/>
  <c r="H310" i="5" s="1"/>
  <c r="H309" i="5"/>
  <c r="F309" i="5"/>
  <c r="G309" i="5" s="1"/>
  <c r="H308" i="5"/>
  <c r="G308" i="5"/>
  <c r="F308" i="5"/>
  <c r="F307" i="5"/>
  <c r="H307" i="5" s="1"/>
  <c r="G306" i="5"/>
  <c r="F306" i="5"/>
  <c r="H306" i="5" s="1"/>
  <c r="F305" i="5"/>
  <c r="G305" i="5" s="1"/>
  <c r="H304" i="5"/>
  <c r="G304" i="5"/>
  <c r="F304" i="5"/>
  <c r="H303" i="5"/>
  <c r="G303" i="5"/>
  <c r="F303" i="5"/>
  <c r="F302" i="5"/>
  <c r="H302" i="5" s="1"/>
  <c r="F301" i="5"/>
  <c r="G301" i="5" s="1"/>
  <c r="H300" i="5"/>
  <c r="G300" i="5"/>
  <c r="F300" i="5"/>
  <c r="F299" i="5"/>
  <c r="F298" i="5"/>
  <c r="H298" i="5" s="1"/>
  <c r="F297" i="5"/>
  <c r="G297" i="5" s="1"/>
  <c r="H296" i="5"/>
  <c r="G296" i="5"/>
  <c r="F296" i="5"/>
  <c r="H295" i="5"/>
  <c r="F295" i="5"/>
  <c r="G295" i="5" s="1"/>
  <c r="F294" i="5"/>
  <c r="H294" i="5" s="1"/>
  <c r="H293" i="5"/>
  <c r="F293" i="5"/>
  <c r="G293" i="5" s="1"/>
  <c r="H292" i="5"/>
  <c r="G292" i="5"/>
  <c r="F292" i="5"/>
  <c r="F291" i="5"/>
  <c r="H291" i="5" s="1"/>
  <c r="G290" i="5"/>
  <c r="F290" i="5"/>
  <c r="H290" i="5" s="1"/>
  <c r="H289" i="5"/>
  <c r="F289" i="5"/>
  <c r="G289" i="5" s="1"/>
  <c r="H288" i="5"/>
  <c r="G288" i="5"/>
  <c r="F288" i="5"/>
  <c r="H287" i="5"/>
  <c r="G287" i="5"/>
  <c r="F287" i="5"/>
  <c r="G286" i="5"/>
  <c r="F286" i="5"/>
  <c r="H286" i="5" s="1"/>
  <c r="F285" i="5"/>
  <c r="G285" i="5" s="1"/>
  <c r="H284" i="5"/>
  <c r="G284" i="5"/>
  <c r="F284" i="5"/>
  <c r="F283" i="5"/>
  <c r="F282" i="5"/>
  <c r="H282" i="5" s="1"/>
  <c r="F281" i="5"/>
  <c r="G281" i="5" s="1"/>
  <c r="H280" i="5"/>
  <c r="G280" i="5"/>
  <c r="F280" i="5"/>
  <c r="H279" i="5"/>
  <c r="F279" i="5"/>
  <c r="G279" i="5" s="1"/>
  <c r="F278" i="5"/>
  <c r="H278" i="5" s="1"/>
  <c r="H277" i="5"/>
  <c r="F277" i="5"/>
  <c r="G277" i="5" s="1"/>
  <c r="H276" i="5"/>
  <c r="G276" i="5"/>
  <c r="F276" i="5"/>
  <c r="F275" i="5"/>
  <c r="H275" i="5" s="1"/>
  <c r="G274" i="5"/>
  <c r="F274" i="5"/>
  <c r="H274" i="5" s="1"/>
  <c r="F273" i="5"/>
  <c r="G273" i="5" s="1"/>
  <c r="H272" i="5"/>
  <c r="G272" i="5"/>
  <c r="F272" i="5"/>
  <c r="H271" i="5"/>
  <c r="G271" i="5"/>
  <c r="F271" i="5"/>
  <c r="F270" i="5"/>
  <c r="H270" i="5" s="1"/>
  <c r="F269" i="5"/>
  <c r="G269" i="5" s="1"/>
  <c r="H268" i="5"/>
  <c r="G268" i="5"/>
  <c r="F268" i="5"/>
  <c r="F267" i="5"/>
  <c r="F266" i="5"/>
  <c r="H266" i="5" s="1"/>
  <c r="F265" i="5"/>
  <c r="G265" i="5" s="1"/>
  <c r="H264" i="5"/>
  <c r="G264" i="5"/>
  <c r="F264" i="5"/>
  <c r="H263" i="5"/>
  <c r="F263" i="5"/>
  <c r="G263" i="5" s="1"/>
  <c r="F262" i="5"/>
  <c r="H262" i="5" s="1"/>
  <c r="H261" i="5"/>
  <c r="F261" i="5"/>
  <c r="G261" i="5" s="1"/>
  <c r="H260" i="5"/>
  <c r="G260" i="5"/>
  <c r="F260" i="5"/>
  <c r="F259" i="5"/>
  <c r="G258" i="5"/>
  <c r="F258" i="5"/>
  <c r="H258" i="5" s="1"/>
  <c r="H257" i="5"/>
  <c r="F257" i="5"/>
  <c r="G257" i="5" s="1"/>
  <c r="H256" i="5"/>
  <c r="G256" i="5"/>
  <c r="F256" i="5"/>
  <c r="H255" i="5"/>
  <c r="G255" i="5"/>
  <c r="F255" i="5"/>
  <c r="G254" i="5"/>
  <c r="F254" i="5"/>
  <c r="H254" i="5" s="1"/>
  <c r="F253" i="5"/>
  <c r="G253" i="5" s="1"/>
  <c r="H252" i="5"/>
  <c r="G252" i="5"/>
  <c r="F252" i="5"/>
  <c r="F251" i="5"/>
  <c r="F250" i="5"/>
  <c r="H250" i="5" s="1"/>
  <c r="F249" i="5"/>
  <c r="H248" i="5"/>
  <c r="G248" i="5"/>
  <c r="F248" i="5"/>
  <c r="H247" i="5"/>
  <c r="F247" i="5"/>
  <c r="G247" i="5" s="1"/>
  <c r="F246" i="5"/>
  <c r="H245" i="5"/>
  <c r="F245" i="5"/>
  <c r="G245" i="5" s="1"/>
  <c r="H244" i="5"/>
  <c r="G244" i="5"/>
  <c r="F244" i="5"/>
  <c r="F243" i="5"/>
  <c r="G242" i="5"/>
  <c r="F242" i="5"/>
  <c r="H242" i="5" s="1"/>
  <c r="H241" i="5"/>
  <c r="F241" i="5"/>
  <c r="G241" i="5" s="1"/>
  <c r="H240" i="5"/>
  <c r="G240" i="5"/>
  <c r="F240" i="5"/>
  <c r="H239" i="5"/>
  <c r="G239" i="5"/>
  <c r="F239" i="5"/>
  <c r="F238" i="5"/>
  <c r="H238" i="5" s="1"/>
  <c r="F237" i="5"/>
  <c r="G237" i="5" s="1"/>
  <c r="H236" i="5"/>
  <c r="G236" i="5"/>
  <c r="F236" i="5"/>
  <c r="F235" i="5"/>
  <c r="F234" i="5"/>
  <c r="H234" i="5" s="1"/>
  <c r="F233" i="5"/>
  <c r="H232" i="5"/>
  <c r="G232" i="5"/>
  <c r="F232" i="5"/>
  <c r="H231" i="5"/>
  <c r="F231" i="5"/>
  <c r="G231" i="5" s="1"/>
  <c r="F230" i="5"/>
  <c r="H229" i="5"/>
  <c r="F229" i="5"/>
  <c r="G229" i="5" s="1"/>
  <c r="H228" i="5"/>
  <c r="G228" i="5"/>
  <c r="F228" i="5"/>
  <c r="F227" i="5"/>
  <c r="G226" i="5"/>
  <c r="F226" i="5"/>
  <c r="H226" i="5" s="1"/>
  <c r="F225" i="5"/>
  <c r="G225" i="5" s="1"/>
  <c r="H224" i="5"/>
  <c r="G224" i="5"/>
  <c r="F224" i="5"/>
  <c r="H223" i="5"/>
  <c r="G223" i="5"/>
  <c r="F223" i="5"/>
  <c r="F222" i="5"/>
  <c r="H222" i="5" s="1"/>
  <c r="F221" i="5"/>
  <c r="G221" i="5" s="1"/>
  <c r="H220" i="5"/>
  <c r="G220" i="5"/>
  <c r="F220" i="5"/>
  <c r="F219" i="5"/>
  <c r="F218" i="5"/>
  <c r="H218" i="5" s="1"/>
  <c r="F217" i="5"/>
  <c r="H216" i="5"/>
  <c r="G216" i="5"/>
  <c r="F216" i="5"/>
  <c r="H215" i="5"/>
  <c r="F215" i="5"/>
  <c r="G215" i="5" s="1"/>
  <c r="F214" i="5"/>
  <c r="H213" i="5"/>
  <c r="F213" i="5"/>
  <c r="G213" i="5" s="1"/>
  <c r="H212" i="5"/>
  <c r="G212" i="5"/>
  <c r="F212" i="5"/>
  <c r="F211" i="5"/>
  <c r="G210" i="5"/>
  <c r="F210" i="5"/>
  <c r="H210" i="5" s="1"/>
  <c r="F209" i="5"/>
  <c r="G209" i="5" s="1"/>
  <c r="H208" i="5"/>
  <c r="G208" i="5"/>
  <c r="F208" i="5"/>
  <c r="H207" i="5"/>
  <c r="G207" i="5"/>
  <c r="F207" i="5"/>
  <c r="F206" i="5"/>
  <c r="H206" i="5" s="1"/>
  <c r="F205" i="5"/>
  <c r="G205" i="5" s="1"/>
  <c r="H204" i="5"/>
  <c r="G204" i="5"/>
  <c r="F204" i="5"/>
  <c r="F203" i="5"/>
  <c r="F202" i="5"/>
  <c r="H202" i="5" s="1"/>
  <c r="F201" i="5"/>
  <c r="H200" i="5"/>
  <c r="G200" i="5"/>
  <c r="F200" i="5"/>
  <c r="H199" i="5"/>
  <c r="F199" i="5"/>
  <c r="G199" i="5" s="1"/>
  <c r="F198" i="5"/>
  <c r="H197" i="5"/>
  <c r="F197" i="5"/>
  <c r="G197" i="5" s="1"/>
  <c r="H196" i="5"/>
  <c r="G196" i="5"/>
  <c r="F196" i="5"/>
  <c r="F195" i="5"/>
  <c r="G194" i="5"/>
  <c r="F194" i="5"/>
  <c r="H194" i="5" s="1"/>
  <c r="F193" i="5"/>
  <c r="G193" i="5" s="1"/>
  <c r="H192" i="5"/>
  <c r="G192" i="5"/>
  <c r="F192" i="5"/>
  <c r="H191" i="5"/>
  <c r="G191" i="5"/>
  <c r="F191" i="5"/>
  <c r="F190" i="5"/>
  <c r="H190" i="5" s="1"/>
  <c r="F189" i="5"/>
  <c r="G189" i="5" s="1"/>
  <c r="H188" i="5"/>
  <c r="G188" i="5"/>
  <c r="F188" i="5"/>
  <c r="F187" i="5"/>
  <c r="F186" i="5"/>
  <c r="H186" i="5" s="1"/>
  <c r="F185" i="5"/>
  <c r="H184" i="5"/>
  <c r="G184" i="5"/>
  <c r="F184" i="5"/>
  <c r="H183" i="5"/>
  <c r="F183" i="5"/>
  <c r="G183" i="5" s="1"/>
  <c r="F182" i="5"/>
  <c r="H181" i="5"/>
  <c r="F181" i="5"/>
  <c r="G181" i="5" s="1"/>
  <c r="H180" i="5"/>
  <c r="G180" i="5"/>
  <c r="F180" i="5"/>
  <c r="F179" i="5"/>
  <c r="G178" i="5"/>
  <c r="F178" i="5"/>
  <c r="H178" i="5" s="1"/>
  <c r="F177" i="5"/>
  <c r="G177" i="5" s="1"/>
  <c r="H176" i="5"/>
  <c r="G176" i="5"/>
  <c r="F176" i="5"/>
  <c r="H175" i="5"/>
  <c r="G175" i="5"/>
  <c r="F175" i="5"/>
  <c r="F174" i="5"/>
  <c r="H174" i="5" s="1"/>
  <c r="F173" i="5"/>
  <c r="G173" i="5" s="1"/>
  <c r="H172" i="5"/>
  <c r="G172" i="5"/>
  <c r="F172" i="5"/>
  <c r="F171" i="5"/>
  <c r="F170" i="5"/>
  <c r="H170" i="5" s="1"/>
  <c r="F169" i="5"/>
  <c r="H168" i="5"/>
  <c r="G168" i="5"/>
  <c r="F168" i="5"/>
  <c r="H167" i="5"/>
  <c r="F167" i="5"/>
  <c r="G167" i="5" s="1"/>
  <c r="F166" i="5"/>
  <c r="H165" i="5"/>
  <c r="F165" i="5"/>
  <c r="G165" i="5" s="1"/>
  <c r="H164" i="5"/>
  <c r="G164" i="5"/>
  <c r="F164" i="5"/>
  <c r="F163" i="5"/>
  <c r="G162" i="5"/>
  <c r="F162" i="5"/>
  <c r="H162" i="5" s="1"/>
  <c r="H161" i="5"/>
  <c r="F161" i="5"/>
  <c r="G161" i="5" s="1"/>
  <c r="H160" i="5"/>
  <c r="G160" i="5"/>
  <c r="F160" i="5"/>
  <c r="H159" i="5"/>
  <c r="G159" i="5"/>
  <c r="F159" i="5"/>
  <c r="G158" i="5"/>
  <c r="F158" i="5"/>
  <c r="H158" i="5" s="1"/>
  <c r="F157" i="5"/>
  <c r="G157" i="5" s="1"/>
  <c r="H156" i="5"/>
  <c r="G156" i="5"/>
  <c r="F156" i="5"/>
  <c r="F155" i="5"/>
  <c r="F154" i="5"/>
  <c r="H154" i="5" s="1"/>
  <c r="F153" i="5"/>
  <c r="H152" i="5"/>
  <c r="G152" i="5"/>
  <c r="F152" i="5"/>
  <c r="H151" i="5"/>
  <c r="F151" i="5"/>
  <c r="G151" i="5" s="1"/>
  <c r="F150" i="5"/>
  <c r="H149" i="5"/>
  <c r="F149" i="5"/>
  <c r="G149" i="5" s="1"/>
  <c r="H148" i="5"/>
  <c r="G148" i="5"/>
  <c r="F148" i="5"/>
  <c r="F147" i="5"/>
  <c r="G146" i="5"/>
  <c r="F146" i="5"/>
  <c r="H146" i="5" s="1"/>
  <c r="F145" i="5"/>
  <c r="G145" i="5" s="1"/>
  <c r="H144" i="5"/>
  <c r="G144" i="5"/>
  <c r="F144" i="5"/>
  <c r="H143" i="5"/>
  <c r="G143" i="5"/>
  <c r="F143" i="5"/>
  <c r="F142" i="5"/>
  <c r="H142" i="5" s="1"/>
  <c r="F141" i="5"/>
  <c r="G141" i="5" s="1"/>
  <c r="H140" i="5"/>
  <c r="G140" i="5"/>
  <c r="F140" i="5"/>
  <c r="F139" i="5"/>
  <c r="F138" i="5"/>
  <c r="H138" i="5" s="1"/>
  <c r="F137" i="5"/>
  <c r="H136" i="5"/>
  <c r="G136" i="5"/>
  <c r="F136" i="5"/>
  <c r="H135" i="5"/>
  <c r="F135" i="5"/>
  <c r="G135" i="5" s="1"/>
  <c r="F134" i="5"/>
  <c r="H133" i="5"/>
  <c r="F133" i="5"/>
  <c r="G133" i="5" s="1"/>
  <c r="H132" i="5"/>
  <c r="G132" i="5"/>
  <c r="F132" i="5"/>
  <c r="F131" i="5"/>
  <c r="G130" i="5"/>
  <c r="F130" i="5"/>
  <c r="H130" i="5" s="1"/>
  <c r="H129" i="5"/>
  <c r="F129" i="5"/>
  <c r="G129" i="5" s="1"/>
  <c r="H128" i="5"/>
  <c r="G128" i="5"/>
  <c r="F128" i="5"/>
  <c r="H127" i="5"/>
  <c r="G127" i="5"/>
  <c r="F127" i="5"/>
  <c r="G126" i="5"/>
  <c r="F126" i="5"/>
  <c r="H126" i="5" s="1"/>
  <c r="F125" i="5"/>
  <c r="G125" i="5" s="1"/>
  <c r="H124" i="5"/>
  <c r="G124" i="5"/>
  <c r="F124" i="5"/>
  <c r="F123" i="5"/>
  <c r="F122" i="5"/>
  <c r="H122" i="5" s="1"/>
  <c r="F121" i="5"/>
  <c r="H120" i="5"/>
  <c r="G120" i="5"/>
  <c r="F120" i="5"/>
  <c r="H119" i="5"/>
  <c r="F119" i="5"/>
  <c r="G119" i="5" s="1"/>
  <c r="F118" i="5"/>
  <c r="H117" i="5"/>
  <c r="F117" i="5"/>
  <c r="G117" i="5" s="1"/>
  <c r="H116" i="5"/>
  <c r="G116" i="5"/>
  <c r="F116" i="5"/>
  <c r="F115" i="5"/>
  <c r="G114" i="5"/>
  <c r="F114" i="5"/>
  <c r="H114" i="5" s="1"/>
  <c r="H113" i="5"/>
  <c r="F113" i="5"/>
  <c r="G113" i="5" s="1"/>
  <c r="H112" i="5"/>
  <c r="G112" i="5"/>
  <c r="F112" i="5"/>
  <c r="H111" i="5"/>
  <c r="G111" i="5"/>
  <c r="F111" i="5"/>
  <c r="G110" i="5"/>
  <c r="F110" i="5"/>
  <c r="H110" i="5" s="1"/>
  <c r="F109" i="5"/>
  <c r="G109" i="5" s="1"/>
  <c r="H108" i="5"/>
  <c r="G108" i="5"/>
  <c r="F108" i="5"/>
  <c r="F107" i="5"/>
  <c r="F106" i="5"/>
  <c r="H106" i="5" s="1"/>
  <c r="F105" i="5"/>
  <c r="H104" i="5"/>
  <c r="G104" i="5"/>
  <c r="F104" i="5"/>
  <c r="H103" i="5"/>
  <c r="F103" i="5"/>
  <c r="G103" i="5" s="1"/>
  <c r="F102" i="5"/>
  <c r="H101" i="5"/>
  <c r="F101" i="5"/>
  <c r="G101" i="5" s="1"/>
  <c r="H100" i="5"/>
  <c r="G100" i="5"/>
  <c r="F100" i="5"/>
  <c r="F99" i="5"/>
  <c r="G98" i="5"/>
  <c r="F98" i="5"/>
  <c r="H98" i="5" s="1"/>
  <c r="F97" i="5"/>
  <c r="G97" i="5" s="1"/>
  <c r="H96" i="5"/>
  <c r="G96" i="5"/>
  <c r="F96" i="5"/>
  <c r="H95" i="5"/>
  <c r="G95" i="5"/>
  <c r="F95" i="5"/>
  <c r="F94" i="5"/>
  <c r="H94" i="5" s="1"/>
  <c r="F93" i="5"/>
  <c r="G93" i="5" s="1"/>
  <c r="H92" i="5"/>
  <c r="G92" i="5"/>
  <c r="F92" i="5"/>
  <c r="F91" i="5"/>
  <c r="F90" i="5"/>
  <c r="H90" i="5" s="1"/>
  <c r="F89" i="5"/>
  <c r="H88" i="5"/>
  <c r="G88" i="5"/>
  <c r="F88" i="5"/>
  <c r="H87" i="5"/>
  <c r="F87" i="5"/>
  <c r="G87" i="5" s="1"/>
  <c r="F86" i="5"/>
  <c r="H85" i="5"/>
  <c r="F85" i="5"/>
  <c r="G85" i="5" s="1"/>
  <c r="H84" i="5"/>
  <c r="G84" i="5"/>
  <c r="F84" i="5"/>
  <c r="F83" i="5"/>
  <c r="G82" i="5"/>
  <c r="F82" i="5"/>
  <c r="H82" i="5" s="1"/>
  <c r="H81" i="5"/>
  <c r="G81" i="5"/>
  <c r="F81" i="5"/>
  <c r="H80" i="5"/>
  <c r="G80" i="5"/>
  <c r="F80" i="5"/>
  <c r="F79" i="5"/>
  <c r="H78" i="5"/>
  <c r="F78" i="5"/>
  <c r="G78" i="5" s="1"/>
  <c r="F77" i="5"/>
  <c r="H76" i="5"/>
  <c r="F76" i="5"/>
  <c r="G76" i="5" s="1"/>
  <c r="H75" i="5"/>
  <c r="F75" i="5"/>
  <c r="G75" i="5" s="1"/>
  <c r="F74" i="5"/>
  <c r="H73" i="5"/>
  <c r="F73" i="5"/>
  <c r="G73" i="5" s="1"/>
  <c r="H72" i="5"/>
  <c r="G72" i="5"/>
  <c r="F72" i="5"/>
  <c r="F71" i="5"/>
  <c r="H71" i="5" s="1"/>
  <c r="G70" i="5"/>
  <c r="F70" i="5"/>
  <c r="H70" i="5" s="1"/>
  <c r="F69" i="5"/>
  <c r="G69" i="5" s="1"/>
  <c r="G68" i="5"/>
  <c r="F68" i="5"/>
  <c r="H68" i="5" s="1"/>
  <c r="F67" i="5"/>
  <c r="H67" i="5" s="1"/>
  <c r="F66" i="5"/>
  <c r="H66" i="5" s="1"/>
  <c r="F65" i="5"/>
  <c r="H65" i="5" s="1"/>
  <c r="H64" i="5"/>
  <c r="G64" i="5"/>
  <c r="F64" i="5"/>
  <c r="G63" i="5"/>
  <c r="F63" i="5"/>
  <c r="H63" i="5" s="1"/>
  <c r="H62" i="5"/>
  <c r="G62" i="5"/>
  <c r="F62" i="5"/>
  <c r="F61" i="5"/>
  <c r="G61" i="5" s="1"/>
  <c r="G60" i="5"/>
  <c r="F60" i="5"/>
  <c r="H60" i="5" s="1"/>
  <c r="H59" i="5"/>
  <c r="G59" i="5"/>
  <c r="F59" i="5"/>
  <c r="G58" i="5"/>
  <c r="F58" i="5"/>
  <c r="H58" i="5" s="1"/>
  <c r="G57" i="5"/>
  <c r="F57" i="5"/>
  <c r="H57" i="5" s="1"/>
  <c r="H56" i="5"/>
  <c r="G56" i="5"/>
  <c r="F56" i="5"/>
  <c r="H55" i="5"/>
  <c r="G55" i="5"/>
  <c r="F55" i="5"/>
  <c r="F54" i="5"/>
  <c r="H53" i="5"/>
  <c r="F53" i="5"/>
  <c r="G53" i="5" s="1"/>
  <c r="H52" i="5"/>
  <c r="G52" i="5"/>
  <c r="F52" i="5"/>
  <c r="F51" i="5"/>
  <c r="G50" i="5"/>
  <c r="F50" i="5"/>
  <c r="H50" i="5" s="1"/>
  <c r="H49" i="5"/>
  <c r="G49" i="5"/>
  <c r="F49" i="5"/>
  <c r="H48" i="5"/>
  <c r="G48" i="5"/>
  <c r="F48" i="5"/>
  <c r="F47" i="5"/>
  <c r="G47" i="5" s="1"/>
  <c r="H46" i="5"/>
  <c r="F46" i="5"/>
  <c r="G46" i="5" s="1"/>
  <c r="F45" i="5"/>
  <c r="F44" i="5"/>
  <c r="H43" i="5"/>
  <c r="F43" i="5"/>
  <c r="G43" i="5" s="1"/>
  <c r="G42" i="5"/>
  <c r="F42" i="5"/>
  <c r="H42" i="5" s="1"/>
  <c r="F41" i="5"/>
  <c r="H41" i="5" s="1"/>
  <c r="G40" i="5"/>
  <c r="F40" i="5"/>
  <c r="H40" i="5" s="1"/>
  <c r="H39" i="5"/>
  <c r="G39" i="5"/>
  <c r="F39" i="5"/>
  <c r="H38" i="5"/>
  <c r="G38" i="5"/>
  <c r="F38" i="5"/>
  <c r="F37" i="5"/>
  <c r="H36" i="5"/>
  <c r="F36" i="5"/>
  <c r="G36" i="5" s="1"/>
  <c r="H35" i="5"/>
  <c r="F35" i="5"/>
  <c r="G35" i="5" s="1"/>
  <c r="G34" i="5"/>
  <c r="F34" i="5"/>
  <c r="H34" i="5" s="1"/>
  <c r="F33" i="5"/>
  <c r="H33" i="5" s="1"/>
  <c r="G32" i="5"/>
  <c r="F32" i="5"/>
  <c r="H32" i="5" s="1"/>
  <c r="H31" i="5"/>
  <c r="G31" i="5"/>
  <c r="F31" i="5"/>
  <c r="H30" i="5"/>
  <c r="G30" i="5"/>
  <c r="F30" i="5"/>
  <c r="F29" i="5"/>
  <c r="H28" i="5"/>
  <c r="F28" i="5"/>
  <c r="G28" i="5" s="1"/>
  <c r="H27" i="5"/>
  <c r="F27" i="5"/>
  <c r="G27" i="5" s="1"/>
  <c r="F26" i="5"/>
  <c r="H26" i="5" s="1"/>
  <c r="F25" i="5"/>
  <c r="G24" i="5"/>
  <c r="F24" i="5"/>
  <c r="H24" i="5" s="1"/>
  <c r="H23" i="5"/>
  <c r="G23" i="5"/>
  <c r="F23" i="5"/>
  <c r="H22" i="5"/>
  <c r="G22" i="5"/>
  <c r="F22" i="5"/>
  <c r="F21" i="5"/>
  <c r="G21" i="5" s="1"/>
  <c r="H20" i="5"/>
  <c r="G20" i="5"/>
  <c r="F20" i="5"/>
  <c r="F19" i="5"/>
  <c r="G19" i="5" s="1"/>
  <c r="F18" i="5"/>
  <c r="H18" i="5" s="1"/>
  <c r="H17" i="5"/>
  <c r="G17" i="5"/>
  <c r="F17" i="5"/>
  <c r="G16" i="5"/>
  <c r="F16" i="5"/>
  <c r="H16" i="5" s="1"/>
  <c r="G15" i="5"/>
  <c r="F15" i="5"/>
  <c r="H15" i="5" s="1"/>
  <c r="H14" i="5"/>
  <c r="G14" i="5"/>
  <c r="F14" i="5"/>
  <c r="F13" i="5"/>
  <c r="G13" i="5" s="1"/>
  <c r="G12" i="5"/>
  <c r="F12" i="5"/>
  <c r="H12" i="5" s="1"/>
  <c r="L8" i="5"/>
  <c r="M8" i="5" s="1"/>
  <c r="K8" i="5"/>
  <c r="J8" i="5"/>
  <c r="E8" i="5"/>
  <c r="F8" i="5" s="1"/>
  <c r="D8" i="5"/>
  <c r="K8" i="4"/>
  <c r="J8" i="4"/>
  <c r="L8" i="4" s="1"/>
  <c r="M8" i="4" s="1"/>
  <c r="E8" i="4"/>
  <c r="F8" i="4" s="1"/>
  <c r="D8" i="4"/>
  <c r="C8" i="4"/>
  <c r="F381" i="2"/>
  <c r="H381" i="2" s="1"/>
  <c r="H380" i="2"/>
  <c r="F380" i="2"/>
  <c r="G380" i="2" s="1"/>
  <c r="G379" i="2"/>
  <c r="F379" i="2"/>
  <c r="H379" i="2" s="1"/>
  <c r="F378" i="2"/>
  <c r="H378" i="2" s="1"/>
  <c r="H377" i="2"/>
  <c r="G377" i="2"/>
  <c r="F377" i="2"/>
  <c r="H376" i="2"/>
  <c r="G376" i="2"/>
  <c r="F376" i="2"/>
  <c r="F375" i="2"/>
  <c r="F374" i="2"/>
  <c r="G374" i="2" s="1"/>
  <c r="H373" i="2"/>
  <c r="G373" i="2"/>
  <c r="F373" i="2"/>
  <c r="F372" i="2"/>
  <c r="F371" i="2"/>
  <c r="H371" i="2" s="1"/>
  <c r="H370" i="2"/>
  <c r="G370" i="2"/>
  <c r="F370" i="2"/>
  <c r="H369" i="2"/>
  <c r="G369" i="2"/>
  <c r="F369" i="2"/>
  <c r="F368" i="2"/>
  <c r="G368" i="2" s="1"/>
  <c r="F367" i="2"/>
  <c r="G367" i="2" s="1"/>
  <c r="F366" i="2"/>
  <c r="H365" i="2"/>
  <c r="F365" i="2"/>
  <c r="G365" i="2" s="1"/>
  <c r="F364" i="2"/>
  <c r="G364" i="2" s="1"/>
  <c r="F363" i="2"/>
  <c r="H362" i="2"/>
  <c r="G362" i="2"/>
  <c r="F362" i="2"/>
  <c r="H361" i="2"/>
  <c r="G361" i="2"/>
  <c r="F361" i="2"/>
  <c r="F360" i="2"/>
  <c r="H360" i="2" s="1"/>
  <c r="H359" i="2"/>
  <c r="G359" i="2"/>
  <c r="F359" i="2"/>
  <c r="F358" i="2"/>
  <c r="G358" i="2" s="1"/>
  <c r="F357" i="2"/>
  <c r="H357" i="2" s="1"/>
  <c r="H356" i="2"/>
  <c r="G356" i="2"/>
  <c r="F356" i="2"/>
  <c r="F355" i="2"/>
  <c r="H355" i="2" s="1"/>
  <c r="F354" i="2"/>
  <c r="H354" i="2" s="1"/>
  <c r="H353" i="2"/>
  <c r="G353" i="2"/>
  <c r="F353" i="2"/>
  <c r="F352" i="2"/>
  <c r="H352" i="2" s="1"/>
  <c r="H351" i="2"/>
  <c r="G351" i="2"/>
  <c r="F351" i="2"/>
  <c r="H350" i="2"/>
  <c r="F350" i="2"/>
  <c r="G350" i="2" s="1"/>
  <c r="F349" i="2"/>
  <c r="H349" i="2" s="1"/>
  <c r="F348" i="2"/>
  <c r="G348" i="2" s="1"/>
  <c r="G347" i="2"/>
  <c r="F347" i="2"/>
  <c r="H347" i="2" s="1"/>
  <c r="F346" i="2"/>
  <c r="H346" i="2" s="1"/>
  <c r="H345" i="2"/>
  <c r="G345" i="2"/>
  <c r="F345" i="2"/>
  <c r="H344" i="2"/>
  <c r="G344" i="2"/>
  <c r="F344" i="2"/>
  <c r="F343" i="2"/>
  <c r="H342" i="2"/>
  <c r="F342" i="2"/>
  <c r="G342" i="2" s="1"/>
  <c r="H341" i="2"/>
  <c r="G341" i="2"/>
  <c r="F341" i="2"/>
  <c r="F340" i="2"/>
  <c r="G339" i="2"/>
  <c r="F339" i="2"/>
  <c r="H339" i="2" s="1"/>
  <c r="H338" i="2"/>
  <c r="G338" i="2"/>
  <c r="F338" i="2"/>
  <c r="H337" i="2"/>
  <c r="G337" i="2"/>
  <c r="F337" i="2"/>
  <c r="H336" i="2"/>
  <c r="F336" i="2"/>
  <c r="G336" i="2" s="1"/>
  <c r="F335" i="2"/>
  <c r="G335" i="2" s="1"/>
  <c r="F334" i="2"/>
  <c r="F333" i="2"/>
  <c r="G333" i="2" s="1"/>
  <c r="F332" i="2"/>
  <c r="G332" i="2" s="1"/>
  <c r="F331" i="2"/>
  <c r="H330" i="2"/>
  <c r="F330" i="2"/>
  <c r="G330" i="2" s="1"/>
  <c r="F329" i="2"/>
  <c r="G329" i="2" s="1"/>
  <c r="F328" i="2"/>
  <c r="H328" i="2" s="1"/>
  <c r="H327" i="2"/>
  <c r="G327" i="2"/>
  <c r="F327" i="2"/>
  <c r="F326" i="2"/>
  <c r="H326" i="2" s="1"/>
  <c r="F325" i="2"/>
  <c r="H325" i="2" s="1"/>
  <c r="H324" i="2"/>
  <c r="G324" i="2"/>
  <c r="F324" i="2"/>
  <c r="F323" i="2"/>
  <c r="G322" i="2"/>
  <c r="F322" i="2"/>
  <c r="H322" i="2" s="1"/>
  <c r="F321" i="2"/>
  <c r="G321" i="2" s="1"/>
  <c r="F320" i="2"/>
  <c r="H320" i="2" s="1"/>
  <c r="H319" i="2"/>
  <c r="G319" i="2"/>
  <c r="F319" i="2"/>
  <c r="F318" i="2"/>
  <c r="H318" i="2" s="1"/>
  <c r="F317" i="2"/>
  <c r="G317" i="2" s="1"/>
  <c r="H316" i="2"/>
  <c r="G316" i="2"/>
  <c r="F316" i="2"/>
  <c r="F315" i="2"/>
  <c r="F314" i="2"/>
  <c r="H314" i="2" s="1"/>
  <c r="F313" i="2"/>
  <c r="G313" i="2" s="1"/>
  <c r="G312" i="2"/>
  <c r="F312" i="2"/>
  <c r="H312" i="2" s="1"/>
  <c r="H311" i="2"/>
  <c r="G311" i="2"/>
  <c r="F311" i="2"/>
  <c r="F310" i="2"/>
  <c r="H310" i="2" s="1"/>
  <c r="F309" i="2"/>
  <c r="G309" i="2" s="1"/>
  <c r="H308" i="2"/>
  <c r="G308" i="2"/>
  <c r="F308" i="2"/>
  <c r="F307" i="2"/>
  <c r="F306" i="2"/>
  <c r="H306" i="2" s="1"/>
  <c r="F305" i="2"/>
  <c r="G305" i="2" s="1"/>
  <c r="F304" i="2"/>
  <c r="H304" i="2" s="1"/>
  <c r="H303" i="2"/>
  <c r="G303" i="2"/>
  <c r="F303" i="2"/>
  <c r="F302" i="2"/>
  <c r="H302" i="2" s="1"/>
  <c r="H301" i="2"/>
  <c r="G301" i="2"/>
  <c r="F301" i="2"/>
  <c r="H300" i="2"/>
  <c r="G300" i="2"/>
  <c r="F300" i="2"/>
  <c r="F299" i="2"/>
  <c r="F298" i="2"/>
  <c r="H298" i="2" s="1"/>
  <c r="F297" i="2"/>
  <c r="G297" i="2" s="1"/>
  <c r="G296" i="2"/>
  <c r="F296" i="2"/>
  <c r="H296" i="2" s="1"/>
  <c r="H295" i="2"/>
  <c r="G295" i="2"/>
  <c r="F295" i="2"/>
  <c r="F294" i="2"/>
  <c r="H294" i="2" s="1"/>
  <c r="H293" i="2"/>
  <c r="F293" i="2"/>
  <c r="G293" i="2" s="1"/>
  <c r="H292" i="2"/>
  <c r="G292" i="2"/>
  <c r="F292" i="2"/>
  <c r="F291" i="2"/>
  <c r="H290" i="2"/>
  <c r="G290" i="2"/>
  <c r="F290" i="2"/>
  <c r="F289" i="2"/>
  <c r="G289" i="2" s="1"/>
  <c r="F288" i="2"/>
  <c r="H288" i="2" s="1"/>
  <c r="H287" i="2"/>
  <c r="G287" i="2"/>
  <c r="F287" i="2"/>
  <c r="F286" i="2"/>
  <c r="H286" i="2" s="1"/>
  <c r="H285" i="2"/>
  <c r="G285" i="2"/>
  <c r="F285" i="2"/>
  <c r="H284" i="2"/>
  <c r="G284" i="2"/>
  <c r="F284" i="2"/>
  <c r="F283" i="2"/>
  <c r="H282" i="2"/>
  <c r="F282" i="2"/>
  <c r="G282" i="2" s="1"/>
  <c r="F281" i="2"/>
  <c r="G281" i="2" s="1"/>
  <c r="G280" i="2"/>
  <c r="F280" i="2"/>
  <c r="H280" i="2" s="1"/>
  <c r="H279" i="2"/>
  <c r="G279" i="2"/>
  <c r="F279" i="2"/>
  <c r="F278" i="2"/>
  <c r="H278" i="2" s="1"/>
  <c r="H277" i="2"/>
  <c r="F277" i="2"/>
  <c r="G277" i="2" s="1"/>
  <c r="H276" i="2"/>
  <c r="G276" i="2"/>
  <c r="F276" i="2"/>
  <c r="F275" i="2"/>
  <c r="H274" i="2"/>
  <c r="G274" i="2"/>
  <c r="F274" i="2"/>
  <c r="F273" i="2"/>
  <c r="G273" i="2" s="1"/>
  <c r="F272" i="2"/>
  <c r="H272" i="2" s="1"/>
  <c r="H271" i="2"/>
  <c r="G271" i="2"/>
  <c r="F271" i="2"/>
  <c r="F270" i="2"/>
  <c r="H270" i="2" s="1"/>
  <c r="G269" i="2"/>
  <c r="F269" i="2"/>
  <c r="H269" i="2" s="1"/>
  <c r="H268" i="2"/>
  <c r="G268" i="2"/>
  <c r="F268" i="2"/>
  <c r="F267" i="2"/>
  <c r="H266" i="2"/>
  <c r="F266" i="2"/>
  <c r="G266" i="2" s="1"/>
  <c r="F265" i="2"/>
  <c r="G265" i="2" s="1"/>
  <c r="F264" i="2"/>
  <c r="H264" i="2" s="1"/>
  <c r="H263" i="2"/>
  <c r="G263" i="2"/>
  <c r="F263" i="2"/>
  <c r="F262" i="2"/>
  <c r="H262" i="2" s="1"/>
  <c r="F261" i="2"/>
  <c r="H261" i="2" s="1"/>
  <c r="H260" i="2"/>
  <c r="G260" i="2"/>
  <c r="F260" i="2"/>
  <c r="F259" i="2"/>
  <c r="G258" i="2"/>
  <c r="F258" i="2"/>
  <c r="H258" i="2" s="1"/>
  <c r="F257" i="2"/>
  <c r="G257" i="2" s="1"/>
  <c r="F256" i="2"/>
  <c r="H256" i="2" s="1"/>
  <c r="H255" i="2"/>
  <c r="G255" i="2"/>
  <c r="F255" i="2"/>
  <c r="F254" i="2"/>
  <c r="H254" i="2" s="1"/>
  <c r="F253" i="2"/>
  <c r="H253" i="2" s="1"/>
  <c r="H252" i="2"/>
  <c r="G252" i="2"/>
  <c r="F252" i="2"/>
  <c r="F251" i="2"/>
  <c r="F250" i="2"/>
  <c r="H250" i="2" s="1"/>
  <c r="H249" i="2"/>
  <c r="F249" i="2"/>
  <c r="G249" i="2" s="1"/>
  <c r="F248" i="2"/>
  <c r="H248" i="2" s="1"/>
  <c r="H247" i="2"/>
  <c r="G247" i="2"/>
  <c r="F247" i="2"/>
  <c r="F246" i="2"/>
  <c r="H246" i="2" s="1"/>
  <c r="H245" i="2"/>
  <c r="G245" i="2"/>
  <c r="F245" i="2"/>
  <c r="H244" i="2"/>
  <c r="G244" i="2"/>
  <c r="F244" i="2"/>
  <c r="F243" i="2"/>
  <c r="F242" i="2"/>
  <c r="H242" i="2" s="1"/>
  <c r="H241" i="2"/>
  <c r="F241" i="2"/>
  <c r="G241" i="2" s="1"/>
  <c r="F240" i="2"/>
  <c r="H240" i="2" s="1"/>
  <c r="H239" i="2"/>
  <c r="G239" i="2"/>
  <c r="F239" i="2"/>
  <c r="F238" i="2"/>
  <c r="H238" i="2" s="1"/>
  <c r="H237" i="2"/>
  <c r="G237" i="2"/>
  <c r="F237" i="2"/>
  <c r="H236" i="2"/>
  <c r="G236" i="2"/>
  <c r="F236" i="2"/>
  <c r="F235" i="2"/>
  <c r="H234" i="2"/>
  <c r="F234" i="2"/>
  <c r="G234" i="2" s="1"/>
  <c r="H233" i="2"/>
  <c r="F233" i="2"/>
  <c r="G233" i="2" s="1"/>
  <c r="F232" i="2"/>
  <c r="H232" i="2" s="1"/>
  <c r="H231" i="2"/>
  <c r="G231" i="2"/>
  <c r="F231" i="2"/>
  <c r="F230" i="2"/>
  <c r="H230" i="2" s="1"/>
  <c r="G229" i="2"/>
  <c r="F229" i="2"/>
  <c r="H229" i="2" s="1"/>
  <c r="H228" i="2"/>
  <c r="G228" i="2"/>
  <c r="F228" i="2"/>
  <c r="F227" i="2"/>
  <c r="H226" i="2"/>
  <c r="F226" i="2"/>
  <c r="G226" i="2" s="1"/>
  <c r="H225" i="2"/>
  <c r="F225" i="2"/>
  <c r="G225" i="2" s="1"/>
  <c r="F224" i="2"/>
  <c r="H224" i="2" s="1"/>
  <c r="H223" i="2"/>
  <c r="G223" i="2"/>
  <c r="F223" i="2"/>
  <c r="F222" i="2"/>
  <c r="H222" i="2" s="1"/>
  <c r="F221" i="2"/>
  <c r="G221" i="2" s="1"/>
  <c r="H220" i="2"/>
  <c r="G220" i="2"/>
  <c r="F220" i="2"/>
  <c r="F219" i="2"/>
  <c r="F218" i="2"/>
  <c r="H218" i="2" s="1"/>
  <c r="H217" i="2"/>
  <c r="F217" i="2"/>
  <c r="G217" i="2" s="1"/>
  <c r="F216" i="2"/>
  <c r="H216" i="2" s="1"/>
  <c r="H215" i="2"/>
  <c r="G215" i="2"/>
  <c r="F215" i="2"/>
  <c r="F214" i="2"/>
  <c r="H214" i="2" s="1"/>
  <c r="H213" i="2"/>
  <c r="G213" i="2"/>
  <c r="F213" i="2"/>
  <c r="H212" i="2"/>
  <c r="G212" i="2"/>
  <c r="F212" i="2"/>
  <c r="F211" i="2"/>
  <c r="F210" i="2"/>
  <c r="H210" i="2" s="1"/>
  <c r="H209" i="2"/>
  <c r="F209" i="2"/>
  <c r="G209" i="2" s="1"/>
  <c r="F208" i="2"/>
  <c r="H208" i="2" s="1"/>
  <c r="H207" i="2"/>
  <c r="G207" i="2"/>
  <c r="F207" i="2"/>
  <c r="F206" i="2"/>
  <c r="H206" i="2" s="1"/>
  <c r="H205" i="2"/>
  <c r="G205" i="2"/>
  <c r="F205" i="2"/>
  <c r="H204" i="2"/>
  <c r="G204" i="2"/>
  <c r="F204" i="2"/>
  <c r="F203" i="2"/>
  <c r="H203" i="2" s="1"/>
  <c r="H202" i="2"/>
  <c r="G202" i="2"/>
  <c r="F202" i="2"/>
  <c r="H201" i="2"/>
  <c r="F201" i="2"/>
  <c r="G201" i="2" s="1"/>
  <c r="F200" i="2"/>
  <c r="H200" i="2" s="1"/>
  <c r="H199" i="2"/>
  <c r="G199" i="2"/>
  <c r="F199" i="2"/>
  <c r="F198" i="2"/>
  <c r="F197" i="2"/>
  <c r="H197" i="2" s="1"/>
  <c r="H196" i="2"/>
  <c r="G196" i="2"/>
  <c r="F196" i="2"/>
  <c r="G195" i="2"/>
  <c r="F195" i="2"/>
  <c r="H195" i="2" s="1"/>
  <c r="F194" i="2"/>
  <c r="H194" i="2" s="1"/>
  <c r="F193" i="2"/>
  <c r="G193" i="2" s="1"/>
  <c r="G192" i="2"/>
  <c r="F192" i="2"/>
  <c r="H192" i="2" s="1"/>
  <c r="F191" i="2"/>
  <c r="H191" i="2" s="1"/>
  <c r="F190" i="2"/>
  <c r="H190" i="2" s="1"/>
  <c r="G189" i="2"/>
  <c r="F189" i="2"/>
  <c r="H189" i="2" s="1"/>
  <c r="H188" i="2"/>
  <c r="G188" i="2"/>
  <c r="F188" i="2"/>
  <c r="H187" i="2"/>
  <c r="G187" i="2"/>
  <c r="F187" i="2"/>
  <c r="F186" i="2"/>
  <c r="H186" i="2" s="1"/>
  <c r="F185" i="2"/>
  <c r="G185" i="2" s="1"/>
  <c r="H184" i="2"/>
  <c r="G184" i="2"/>
  <c r="F184" i="2"/>
  <c r="F183" i="2"/>
  <c r="H183" i="2" s="1"/>
  <c r="F182" i="2"/>
  <c r="H182" i="2" s="1"/>
  <c r="H181" i="2"/>
  <c r="G181" i="2"/>
  <c r="F181" i="2"/>
  <c r="H180" i="2"/>
  <c r="G180" i="2"/>
  <c r="F180" i="2"/>
  <c r="H179" i="2"/>
  <c r="G179" i="2"/>
  <c r="F179" i="2"/>
  <c r="H178" i="2"/>
  <c r="F178" i="2"/>
  <c r="G178" i="2" s="1"/>
  <c r="F177" i="2"/>
  <c r="G177" i="2" s="1"/>
  <c r="H176" i="2"/>
  <c r="G176" i="2"/>
  <c r="F176" i="2"/>
  <c r="H175" i="2"/>
  <c r="F175" i="2"/>
  <c r="G175" i="2" s="1"/>
  <c r="F174" i="2"/>
  <c r="H174" i="2" s="1"/>
  <c r="H173" i="2"/>
  <c r="G173" i="2"/>
  <c r="F173" i="2"/>
  <c r="H172" i="2"/>
  <c r="G172" i="2"/>
  <c r="F172" i="2"/>
  <c r="F171" i="2"/>
  <c r="H171" i="2" s="1"/>
  <c r="H170" i="2"/>
  <c r="F170" i="2"/>
  <c r="G170" i="2" s="1"/>
  <c r="F169" i="2"/>
  <c r="G169" i="2" s="1"/>
  <c r="F168" i="2"/>
  <c r="H168" i="2" s="1"/>
  <c r="H167" i="2"/>
  <c r="F167" i="2"/>
  <c r="G167" i="2" s="1"/>
  <c r="F166" i="2"/>
  <c r="H166" i="2" s="1"/>
  <c r="F165" i="2"/>
  <c r="H165" i="2" s="1"/>
  <c r="H164" i="2"/>
  <c r="G164" i="2"/>
  <c r="F164" i="2"/>
  <c r="G163" i="2"/>
  <c r="F163" i="2"/>
  <c r="H163" i="2" s="1"/>
  <c r="F162" i="2"/>
  <c r="G162" i="2" s="1"/>
  <c r="F161" i="2"/>
  <c r="G161" i="2" s="1"/>
  <c r="G160" i="2"/>
  <c r="F160" i="2"/>
  <c r="H160" i="2" s="1"/>
  <c r="F159" i="2"/>
  <c r="G159" i="2" s="1"/>
  <c r="F158" i="2"/>
  <c r="H158" i="2" s="1"/>
  <c r="G157" i="2"/>
  <c r="F157" i="2"/>
  <c r="H157" i="2" s="1"/>
  <c r="H156" i="2"/>
  <c r="G156" i="2"/>
  <c r="F156" i="2"/>
  <c r="H155" i="2"/>
  <c r="G155" i="2"/>
  <c r="F155" i="2"/>
  <c r="F154" i="2"/>
  <c r="H154" i="2" s="1"/>
  <c r="F153" i="2"/>
  <c r="G153" i="2" s="1"/>
  <c r="H152" i="2"/>
  <c r="G152" i="2"/>
  <c r="F152" i="2"/>
  <c r="F151" i="2"/>
  <c r="H151" i="2" s="1"/>
  <c r="F150" i="2"/>
  <c r="H150" i="2" s="1"/>
  <c r="H149" i="2"/>
  <c r="G149" i="2"/>
  <c r="F149" i="2"/>
  <c r="H148" i="2"/>
  <c r="G148" i="2"/>
  <c r="F148" i="2"/>
  <c r="H147" i="2"/>
  <c r="G147" i="2"/>
  <c r="F147" i="2"/>
  <c r="H146" i="2"/>
  <c r="F146" i="2"/>
  <c r="G146" i="2" s="1"/>
  <c r="F145" i="2"/>
  <c r="G145" i="2" s="1"/>
  <c r="H144" i="2"/>
  <c r="G144" i="2"/>
  <c r="F144" i="2"/>
  <c r="H143" i="2"/>
  <c r="F143" i="2"/>
  <c r="G143" i="2" s="1"/>
  <c r="F142" i="2"/>
  <c r="H142" i="2" s="1"/>
  <c r="H141" i="2"/>
  <c r="G141" i="2"/>
  <c r="F141" i="2"/>
  <c r="H140" i="2"/>
  <c r="G140" i="2"/>
  <c r="F140" i="2"/>
  <c r="F139" i="2"/>
  <c r="H139" i="2" s="1"/>
  <c r="H138" i="2"/>
  <c r="F138" i="2"/>
  <c r="G138" i="2" s="1"/>
  <c r="F137" i="2"/>
  <c r="G137" i="2" s="1"/>
  <c r="F136" i="2"/>
  <c r="G136" i="2" s="1"/>
  <c r="H135" i="2"/>
  <c r="F135" i="2"/>
  <c r="G135" i="2" s="1"/>
  <c r="F134" i="2"/>
  <c r="H134" i="2" s="1"/>
  <c r="F133" i="2"/>
  <c r="H133" i="2" s="1"/>
  <c r="H132" i="2"/>
  <c r="G132" i="2"/>
  <c r="F132" i="2"/>
  <c r="H131" i="2"/>
  <c r="G131" i="2"/>
  <c r="F131" i="2"/>
  <c r="F130" i="2"/>
  <c r="H130" i="2" s="1"/>
  <c r="F129" i="2"/>
  <c r="G129" i="2" s="1"/>
  <c r="G128" i="2"/>
  <c r="F128" i="2"/>
  <c r="H128" i="2" s="1"/>
  <c r="F127" i="2"/>
  <c r="H127" i="2" s="1"/>
  <c r="F126" i="2"/>
  <c r="H126" i="2" s="1"/>
  <c r="G125" i="2"/>
  <c r="F125" i="2"/>
  <c r="H125" i="2" s="1"/>
  <c r="H124" i="2"/>
  <c r="G124" i="2"/>
  <c r="F124" i="2"/>
  <c r="H123" i="2"/>
  <c r="G123" i="2"/>
  <c r="F123" i="2"/>
  <c r="F122" i="2"/>
  <c r="H122" i="2" s="1"/>
  <c r="F121" i="2"/>
  <c r="G121" i="2" s="1"/>
  <c r="H120" i="2"/>
  <c r="G120" i="2"/>
  <c r="F120" i="2"/>
  <c r="F119" i="2"/>
  <c r="H119" i="2" s="1"/>
  <c r="F118" i="2"/>
  <c r="H118" i="2" s="1"/>
  <c r="H117" i="2"/>
  <c r="G117" i="2"/>
  <c r="F117" i="2"/>
  <c r="H116" i="2"/>
  <c r="G116" i="2"/>
  <c r="F116" i="2"/>
  <c r="H115" i="2"/>
  <c r="G115" i="2"/>
  <c r="F115" i="2"/>
  <c r="H114" i="2"/>
  <c r="F114" i="2"/>
  <c r="G114" i="2" s="1"/>
  <c r="F113" i="2"/>
  <c r="G113" i="2" s="1"/>
  <c r="H112" i="2"/>
  <c r="G112" i="2"/>
  <c r="F112" i="2"/>
  <c r="H111" i="2"/>
  <c r="F111" i="2"/>
  <c r="G111" i="2" s="1"/>
  <c r="F110" i="2"/>
  <c r="H110" i="2" s="1"/>
  <c r="H109" i="2"/>
  <c r="G109" i="2"/>
  <c r="F109" i="2"/>
  <c r="H108" i="2"/>
  <c r="G108" i="2"/>
  <c r="F108" i="2"/>
  <c r="F107" i="2"/>
  <c r="G107" i="2" s="1"/>
  <c r="H106" i="2"/>
  <c r="F106" i="2"/>
  <c r="G106" i="2" s="1"/>
  <c r="F105" i="2"/>
  <c r="G105" i="2" s="1"/>
  <c r="F104" i="2"/>
  <c r="G104" i="2" s="1"/>
  <c r="H103" i="2"/>
  <c r="F103" i="2"/>
  <c r="G103" i="2" s="1"/>
  <c r="F102" i="2"/>
  <c r="H102" i="2" s="1"/>
  <c r="F101" i="2"/>
  <c r="H101" i="2" s="1"/>
  <c r="H100" i="2"/>
  <c r="G100" i="2"/>
  <c r="F100" i="2"/>
  <c r="G99" i="2"/>
  <c r="F99" i="2"/>
  <c r="H99" i="2" s="1"/>
  <c r="F98" i="2"/>
  <c r="H98" i="2" s="1"/>
  <c r="F97" i="2"/>
  <c r="G97" i="2" s="1"/>
  <c r="G96" i="2"/>
  <c r="F96" i="2"/>
  <c r="H96" i="2" s="1"/>
  <c r="F95" i="2"/>
  <c r="H95" i="2" s="1"/>
  <c r="F94" i="2"/>
  <c r="H94" i="2" s="1"/>
  <c r="G93" i="2"/>
  <c r="F93" i="2"/>
  <c r="H93" i="2" s="1"/>
  <c r="H92" i="2"/>
  <c r="G92" i="2"/>
  <c r="F92" i="2"/>
  <c r="H91" i="2"/>
  <c r="G91" i="2"/>
  <c r="F91" i="2"/>
  <c r="F90" i="2"/>
  <c r="H90" i="2" s="1"/>
  <c r="F89" i="2"/>
  <c r="G89" i="2" s="1"/>
  <c r="H88" i="2"/>
  <c r="G88" i="2"/>
  <c r="F88" i="2"/>
  <c r="F87" i="2"/>
  <c r="H87" i="2" s="1"/>
  <c r="F86" i="2"/>
  <c r="H86" i="2" s="1"/>
  <c r="H85" i="2"/>
  <c r="G85" i="2"/>
  <c r="F85" i="2"/>
  <c r="H84" i="2"/>
  <c r="G84" i="2"/>
  <c r="F84" i="2"/>
  <c r="H83" i="2"/>
  <c r="G83" i="2"/>
  <c r="F83" i="2"/>
  <c r="H82" i="2"/>
  <c r="F82" i="2"/>
  <c r="G82" i="2" s="1"/>
  <c r="F81" i="2"/>
  <c r="G81" i="2" s="1"/>
  <c r="H80" i="2"/>
  <c r="G80" i="2"/>
  <c r="F80" i="2"/>
  <c r="H79" i="2"/>
  <c r="F79" i="2"/>
  <c r="G79" i="2" s="1"/>
  <c r="F78" i="2"/>
  <c r="H78" i="2" s="1"/>
  <c r="H77" i="2"/>
  <c r="G77" i="2"/>
  <c r="F77" i="2"/>
  <c r="H76" i="2"/>
  <c r="G76" i="2"/>
  <c r="F76" i="2"/>
  <c r="F75" i="2"/>
  <c r="G75" i="2" s="1"/>
  <c r="H74" i="2"/>
  <c r="F74" i="2"/>
  <c r="G74" i="2" s="1"/>
  <c r="F73" i="2"/>
  <c r="G73" i="2" s="1"/>
  <c r="F72" i="2"/>
  <c r="G72" i="2" s="1"/>
  <c r="H71" i="2"/>
  <c r="F71" i="2"/>
  <c r="G71" i="2" s="1"/>
  <c r="F70" i="2"/>
  <c r="H70" i="2" s="1"/>
  <c r="F69" i="2"/>
  <c r="G69" i="2" s="1"/>
  <c r="H68" i="2"/>
  <c r="G68" i="2"/>
  <c r="F68" i="2"/>
  <c r="H67" i="2"/>
  <c r="G67" i="2"/>
  <c r="F67" i="2"/>
  <c r="F66" i="2"/>
  <c r="G66" i="2" s="1"/>
  <c r="F65" i="2"/>
  <c r="G65" i="2" s="1"/>
  <c r="H64" i="2"/>
  <c r="G64" i="2"/>
  <c r="F64" i="2"/>
  <c r="F63" i="2"/>
  <c r="H63" i="2" s="1"/>
  <c r="F62" i="2"/>
  <c r="H62" i="2" s="1"/>
  <c r="H61" i="2"/>
  <c r="G61" i="2"/>
  <c r="F61" i="2"/>
  <c r="H60" i="2"/>
  <c r="G60" i="2"/>
  <c r="F60" i="2"/>
  <c r="H59" i="2"/>
  <c r="G59" i="2"/>
  <c r="F59" i="2"/>
  <c r="F58" i="2"/>
  <c r="H58" i="2" s="1"/>
  <c r="F57" i="2"/>
  <c r="G57" i="2" s="1"/>
  <c r="H56" i="2"/>
  <c r="G56" i="2"/>
  <c r="F56" i="2"/>
  <c r="F55" i="2"/>
  <c r="H55" i="2" s="1"/>
  <c r="F54" i="2"/>
  <c r="H54" i="2" s="1"/>
  <c r="H53" i="2"/>
  <c r="G53" i="2"/>
  <c r="F53" i="2"/>
  <c r="F52" i="2"/>
  <c r="H52" i="2" s="1"/>
  <c r="H51" i="2"/>
  <c r="G51" i="2"/>
  <c r="F51" i="2"/>
  <c r="H50" i="2"/>
  <c r="F50" i="2"/>
  <c r="G50" i="2" s="1"/>
  <c r="F49" i="2"/>
  <c r="H49" i="2" s="1"/>
  <c r="H48" i="2"/>
  <c r="F48" i="2"/>
  <c r="G48" i="2" s="1"/>
  <c r="H47" i="2"/>
  <c r="G47" i="2"/>
  <c r="F47" i="2"/>
  <c r="F46" i="2"/>
  <c r="H46" i="2" s="1"/>
  <c r="H45" i="2"/>
  <c r="G45" i="2"/>
  <c r="F45" i="2"/>
  <c r="F44" i="2"/>
  <c r="H44" i="2" s="1"/>
  <c r="H43" i="2"/>
  <c r="G43" i="2"/>
  <c r="F43" i="2"/>
  <c r="H42" i="2"/>
  <c r="F42" i="2"/>
  <c r="G42" i="2" s="1"/>
  <c r="F41" i="2"/>
  <c r="G41" i="2" s="1"/>
  <c r="H40" i="2"/>
  <c r="F40" i="2"/>
  <c r="G40" i="2" s="1"/>
  <c r="H39" i="2"/>
  <c r="G39" i="2"/>
  <c r="F39" i="2"/>
  <c r="F38" i="2"/>
  <c r="H38" i="2" s="1"/>
  <c r="H37" i="2"/>
  <c r="G37" i="2"/>
  <c r="F37" i="2"/>
  <c r="F36" i="2"/>
  <c r="H36" i="2" s="1"/>
  <c r="H35" i="2"/>
  <c r="G35" i="2"/>
  <c r="F35" i="2"/>
  <c r="H34" i="2"/>
  <c r="F34" i="2"/>
  <c r="G34" i="2" s="1"/>
  <c r="F33" i="2"/>
  <c r="H33" i="2" s="1"/>
  <c r="H32" i="2"/>
  <c r="F32" i="2"/>
  <c r="G32" i="2" s="1"/>
  <c r="H31" i="2"/>
  <c r="G31" i="2"/>
  <c r="F31" i="2"/>
  <c r="F30" i="2"/>
  <c r="H30" i="2" s="1"/>
  <c r="H29" i="2"/>
  <c r="G29" i="2"/>
  <c r="F29" i="2"/>
  <c r="F28" i="2"/>
  <c r="H28" i="2" s="1"/>
  <c r="H27" i="2"/>
  <c r="G27" i="2"/>
  <c r="F27" i="2"/>
  <c r="H26" i="2"/>
  <c r="F26" i="2"/>
  <c r="G26" i="2" s="1"/>
  <c r="F25" i="2"/>
  <c r="G25" i="2" s="1"/>
  <c r="H24" i="2"/>
  <c r="F24" i="2"/>
  <c r="G24" i="2" s="1"/>
  <c r="H23" i="2"/>
  <c r="G23" i="2"/>
  <c r="F23" i="2"/>
  <c r="F22" i="2"/>
  <c r="G22" i="2" s="1"/>
  <c r="H21" i="2"/>
  <c r="G21" i="2"/>
  <c r="F21" i="2"/>
  <c r="F20" i="2"/>
  <c r="H20" i="2" s="1"/>
  <c r="H19" i="2"/>
  <c r="G19" i="2"/>
  <c r="F19" i="2"/>
  <c r="H18" i="2"/>
  <c r="F18" i="2"/>
  <c r="G18" i="2" s="1"/>
  <c r="F17" i="2"/>
  <c r="H17" i="2" s="1"/>
  <c r="H16" i="2"/>
  <c r="F16" i="2"/>
  <c r="G16" i="2" s="1"/>
  <c r="H15" i="2"/>
  <c r="G15" i="2"/>
  <c r="F15" i="2"/>
  <c r="F14" i="2"/>
  <c r="H14" i="2" s="1"/>
  <c r="H13" i="2"/>
  <c r="G13" i="2"/>
  <c r="F13" i="2"/>
  <c r="F12" i="2"/>
  <c r="H12" i="2" s="1"/>
  <c r="E8" i="2"/>
  <c r="D8" i="2"/>
  <c r="F8" i="2" s="1"/>
  <c r="E8" i="1"/>
  <c r="D8" i="1"/>
  <c r="F8" i="1" s="1"/>
  <c r="C8" i="1"/>
  <c r="H8" i="1" l="1"/>
  <c r="G8" i="1"/>
  <c r="H8" i="2"/>
  <c r="G8" i="2"/>
  <c r="H8" i="5"/>
  <c r="G8" i="5"/>
  <c r="N8" i="5" s="1"/>
  <c r="H8" i="4"/>
  <c r="G8" i="4"/>
  <c r="N8" i="4" s="1"/>
  <c r="G63" i="2"/>
  <c r="G98" i="2"/>
  <c r="H259" i="2"/>
  <c r="G259" i="2"/>
  <c r="H323" i="2"/>
  <c r="G323" i="2"/>
  <c r="H51" i="5"/>
  <c r="G51" i="5"/>
  <c r="G153" i="5"/>
  <c r="H153" i="5"/>
  <c r="H182" i="5"/>
  <c r="G182" i="5"/>
  <c r="H187" i="5"/>
  <c r="G187" i="5"/>
  <c r="H315" i="5"/>
  <c r="G315" i="5"/>
  <c r="G62" i="2"/>
  <c r="H65" i="2"/>
  <c r="G94" i="2"/>
  <c r="H97" i="2"/>
  <c r="G126" i="2"/>
  <c r="H129" i="2"/>
  <c r="G158" i="2"/>
  <c r="H161" i="2"/>
  <c r="G190" i="2"/>
  <c r="H193" i="2"/>
  <c r="G216" i="2"/>
  <c r="H227" i="2"/>
  <c r="G227" i="2"/>
  <c r="G248" i="2"/>
  <c r="H267" i="2"/>
  <c r="G267" i="2"/>
  <c r="G304" i="2"/>
  <c r="H331" i="2"/>
  <c r="G331" i="2"/>
  <c r="H343" i="2"/>
  <c r="G343" i="2"/>
  <c r="G354" i="2"/>
  <c r="G366" i="2"/>
  <c r="H366" i="2"/>
  <c r="G65" i="5"/>
  <c r="G137" i="5"/>
  <c r="H137" i="5"/>
  <c r="G142" i="5"/>
  <c r="H145" i="5"/>
  <c r="H166" i="5"/>
  <c r="G166" i="5"/>
  <c r="H171" i="5"/>
  <c r="G171" i="5"/>
  <c r="G270" i="5"/>
  <c r="H273" i="5"/>
  <c r="H299" i="5"/>
  <c r="G299" i="5"/>
  <c r="H275" i="2"/>
  <c r="G275" i="2"/>
  <c r="G44" i="5"/>
  <c r="H44" i="5"/>
  <c r="G121" i="5"/>
  <c r="H121" i="5"/>
  <c r="H150" i="5"/>
  <c r="G150" i="5"/>
  <c r="H155" i="5"/>
  <c r="G155" i="5"/>
  <c r="G249" i="5"/>
  <c r="H249" i="5"/>
  <c r="H283" i="5"/>
  <c r="G283" i="5"/>
  <c r="G373" i="5"/>
  <c r="H373" i="5"/>
  <c r="G30" i="2"/>
  <c r="H57" i="2"/>
  <c r="H89" i="2"/>
  <c r="G130" i="2"/>
  <c r="H185" i="2"/>
  <c r="G210" i="2"/>
  <c r="G105" i="5"/>
  <c r="H105" i="5"/>
  <c r="H134" i="5"/>
  <c r="G134" i="5"/>
  <c r="H139" i="5"/>
  <c r="G139" i="5"/>
  <c r="G233" i="5"/>
  <c r="H233" i="5"/>
  <c r="G238" i="5"/>
  <c r="H267" i="5"/>
  <c r="G267" i="5"/>
  <c r="G366" i="5"/>
  <c r="H369" i="5"/>
  <c r="G38" i="2"/>
  <c r="G54" i="2"/>
  <c r="H153" i="2"/>
  <c r="G182" i="2"/>
  <c r="G200" i="2"/>
  <c r="G224" i="2"/>
  <c r="G256" i="2"/>
  <c r="H374" i="2"/>
  <c r="G33" i="2"/>
  <c r="H66" i="2"/>
  <c r="G101" i="2"/>
  <c r="G139" i="2"/>
  <c r="G165" i="2"/>
  <c r="H375" i="2"/>
  <c r="G375" i="2"/>
  <c r="G89" i="5"/>
  <c r="H89" i="5"/>
  <c r="G94" i="5"/>
  <c r="H97" i="5"/>
  <c r="H118" i="5"/>
  <c r="G118" i="5"/>
  <c r="H123" i="5"/>
  <c r="G123" i="5"/>
  <c r="G217" i="5"/>
  <c r="H217" i="5"/>
  <c r="G222" i="5"/>
  <c r="H225" i="5"/>
  <c r="H246" i="5"/>
  <c r="G246" i="5"/>
  <c r="G350" i="5"/>
  <c r="H353" i="5"/>
  <c r="G86" i="2"/>
  <c r="G17" i="2"/>
  <c r="H22" i="2"/>
  <c r="G49" i="2"/>
  <c r="G133" i="2"/>
  <c r="H159" i="2"/>
  <c r="H162" i="2"/>
  <c r="G168" i="2"/>
  <c r="G171" i="2"/>
  <c r="G197" i="2"/>
  <c r="G253" i="2"/>
  <c r="G264" i="2"/>
  <c r="H291" i="2"/>
  <c r="G291" i="2"/>
  <c r="G306" i="2"/>
  <c r="G328" i="2"/>
  <c r="H29" i="5"/>
  <c r="G29" i="5"/>
  <c r="G77" i="5"/>
  <c r="H77" i="5"/>
  <c r="H251" i="5"/>
  <c r="G251" i="5"/>
  <c r="G12" i="2"/>
  <c r="G20" i="2"/>
  <c r="H25" i="2"/>
  <c r="G28" i="2"/>
  <c r="G36" i="2"/>
  <c r="H41" i="2"/>
  <c r="G44" i="2"/>
  <c r="G52" i="2"/>
  <c r="G55" i="2"/>
  <c r="G58" i="2"/>
  <c r="H69" i="2"/>
  <c r="H72" i="2"/>
  <c r="H75" i="2"/>
  <c r="G78" i="2"/>
  <c r="H81" i="2"/>
  <c r="G87" i="2"/>
  <c r="G90" i="2"/>
  <c r="H104" i="2"/>
  <c r="H107" i="2"/>
  <c r="G110" i="2"/>
  <c r="H113" i="2"/>
  <c r="G119" i="2"/>
  <c r="G122" i="2"/>
  <c r="H136" i="2"/>
  <c r="G142" i="2"/>
  <c r="H145" i="2"/>
  <c r="G151" i="2"/>
  <c r="G154" i="2"/>
  <c r="G174" i="2"/>
  <c r="H177" i="2"/>
  <c r="G183" i="2"/>
  <c r="G186" i="2"/>
  <c r="H211" i="2"/>
  <c r="G211" i="2"/>
  <c r="G218" i="2"/>
  <c r="H221" i="2"/>
  <c r="G232" i="2"/>
  <c r="H243" i="2"/>
  <c r="G243" i="2"/>
  <c r="G250" i="2"/>
  <c r="G261" i="2"/>
  <c r="G272" i="2"/>
  <c r="H299" i="2"/>
  <c r="G299" i="2"/>
  <c r="G314" i="2"/>
  <c r="H317" i="2"/>
  <c r="G325" i="2"/>
  <c r="H333" i="2"/>
  <c r="H348" i="2"/>
  <c r="G360" i="2"/>
  <c r="H368" i="2"/>
  <c r="G371" i="2"/>
  <c r="H21" i="5"/>
  <c r="H102" i="5"/>
  <c r="G102" i="5"/>
  <c r="H107" i="5"/>
  <c r="G107" i="5"/>
  <c r="G201" i="5"/>
  <c r="H201" i="5"/>
  <c r="G206" i="5"/>
  <c r="H209" i="5"/>
  <c r="H230" i="5"/>
  <c r="G230" i="5"/>
  <c r="H235" i="5"/>
  <c r="G235" i="5"/>
  <c r="G334" i="5"/>
  <c r="H337" i="5"/>
  <c r="H363" i="5"/>
  <c r="G363" i="5"/>
  <c r="G46" i="2"/>
  <c r="G95" i="2"/>
  <c r="H121" i="2"/>
  <c r="G127" i="2"/>
  <c r="G150" i="2"/>
  <c r="G191" i="2"/>
  <c r="H283" i="2"/>
  <c r="G283" i="2"/>
  <c r="G298" i="2"/>
  <c r="H309" i="2"/>
  <c r="H198" i="2"/>
  <c r="G198" i="2"/>
  <c r="H307" i="2"/>
  <c r="G307" i="2"/>
  <c r="G334" i="2"/>
  <c r="H334" i="2"/>
  <c r="H372" i="2"/>
  <c r="G372" i="2"/>
  <c r="H25" i="5"/>
  <c r="G25" i="5"/>
  <c r="H54" i="5"/>
  <c r="G54" i="5"/>
  <c r="H86" i="5"/>
  <c r="G86" i="5"/>
  <c r="H91" i="5"/>
  <c r="G91" i="5"/>
  <c r="G185" i="5"/>
  <c r="H185" i="5"/>
  <c r="G190" i="5"/>
  <c r="H193" i="5"/>
  <c r="H214" i="5"/>
  <c r="G214" i="5"/>
  <c r="H219" i="5"/>
  <c r="G219" i="5"/>
  <c r="G318" i="5"/>
  <c r="H321" i="5"/>
  <c r="H347" i="5"/>
  <c r="G347" i="5"/>
  <c r="G14" i="2"/>
  <c r="G118" i="2"/>
  <c r="G194" i="2"/>
  <c r="G203" i="2"/>
  <c r="H235" i="2"/>
  <c r="G235" i="2"/>
  <c r="G242" i="2"/>
  <c r="G320" i="2"/>
  <c r="H340" i="2"/>
  <c r="G340" i="2"/>
  <c r="H363" i="2"/>
  <c r="G363" i="2"/>
  <c r="G70" i="2"/>
  <c r="H73" i="2"/>
  <c r="G102" i="2"/>
  <c r="H105" i="2"/>
  <c r="G134" i="2"/>
  <c r="H137" i="2"/>
  <c r="G166" i="2"/>
  <c r="H169" i="2"/>
  <c r="G208" i="2"/>
  <c r="H219" i="2"/>
  <c r="G219" i="2"/>
  <c r="G240" i="2"/>
  <c r="H251" i="2"/>
  <c r="G251" i="2"/>
  <c r="G288" i="2"/>
  <c r="H315" i="2"/>
  <c r="G315" i="2"/>
  <c r="G357" i="2"/>
  <c r="G18" i="5"/>
  <c r="H47" i="5"/>
  <c r="H61" i="5"/>
  <c r="H74" i="5"/>
  <c r="G74" i="5"/>
  <c r="G79" i="5"/>
  <c r="H79" i="5"/>
  <c r="G169" i="5"/>
  <c r="H169" i="5"/>
  <c r="G174" i="5"/>
  <c r="H177" i="5"/>
  <c r="H198" i="5"/>
  <c r="G198" i="5"/>
  <c r="H203" i="5"/>
  <c r="G203" i="5"/>
  <c r="G302" i="5"/>
  <c r="H305" i="5"/>
  <c r="H331" i="5"/>
  <c r="G331" i="5"/>
  <c r="H257" i="2"/>
  <c r="H265" i="2"/>
  <c r="H273" i="2"/>
  <c r="H281" i="2"/>
  <c r="H289" i="2"/>
  <c r="H297" i="2"/>
  <c r="H305" i="2"/>
  <c r="H313" i="2"/>
  <c r="H321" i="2"/>
  <c r="H329" i="2"/>
  <c r="H332" i="2"/>
  <c r="H335" i="2"/>
  <c r="H364" i="2"/>
  <c r="H367" i="2"/>
  <c r="H37" i="5"/>
  <c r="G37" i="5"/>
  <c r="G206" i="2"/>
  <c r="G214" i="2"/>
  <c r="G222" i="2"/>
  <c r="G230" i="2"/>
  <c r="G238" i="2"/>
  <c r="G246" i="2"/>
  <c r="G254" i="2"/>
  <c r="G262" i="2"/>
  <c r="G270" i="2"/>
  <c r="G278" i="2"/>
  <c r="G286" i="2"/>
  <c r="G294" i="2"/>
  <c r="G302" i="2"/>
  <c r="G310" i="2"/>
  <c r="G318" i="2"/>
  <c r="G326" i="2"/>
  <c r="G346" i="2"/>
  <c r="G349" i="2"/>
  <c r="G352" i="2"/>
  <c r="G378" i="2"/>
  <c r="G381" i="2"/>
  <c r="H19" i="5"/>
  <c r="G33" i="5"/>
  <c r="G45" i="5"/>
  <c r="H45" i="5"/>
  <c r="G71" i="5"/>
  <c r="H83" i="5"/>
  <c r="G83" i="5"/>
  <c r="H99" i="5"/>
  <c r="G99" i="5"/>
  <c r="H115" i="5"/>
  <c r="G115" i="5"/>
  <c r="H131" i="5"/>
  <c r="G131" i="5"/>
  <c r="H147" i="5"/>
  <c r="G147" i="5"/>
  <c r="H163" i="5"/>
  <c r="G163" i="5"/>
  <c r="H179" i="5"/>
  <c r="G179" i="5"/>
  <c r="H195" i="5"/>
  <c r="G195" i="5"/>
  <c r="H211" i="5"/>
  <c r="G211" i="5"/>
  <c r="H227" i="5"/>
  <c r="G227" i="5"/>
  <c r="H243" i="5"/>
  <c r="G243" i="5"/>
  <c r="H259" i="5"/>
  <c r="G259" i="5"/>
  <c r="G355" i="2"/>
  <c r="H358" i="2"/>
  <c r="H13" i="5"/>
  <c r="G26" i="5"/>
  <c r="G41" i="5"/>
  <c r="G67" i="5"/>
  <c r="G262" i="5"/>
  <c r="H265" i="5"/>
  <c r="G275" i="5"/>
  <c r="G278" i="5"/>
  <c r="H281" i="5"/>
  <c r="G291" i="5"/>
  <c r="G294" i="5"/>
  <c r="H297" i="5"/>
  <c r="G307" i="5"/>
  <c r="G310" i="5"/>
  <c r="H313" i="5"/>
  <c r="G323" i="5"/>
  <c r="G326" i="5"/>
  <c r="H329" i="5"/>
  <c r="G339" i="5"/>
  <c r="G342" i="5"/>
  <c r="H345" i="5"/>
  <c r="G355" i="5"/>
  <c r="G358" i="5"/>
  <c r="H361" i="5"/>
  <c r="H371" i="5"/>
  <c r="G66" i="5"/>
  <c r="H69" i="5"/>
  <c r="G90" i="5"/>
  <c r="H93" i="5"/>
  <c r="G106" i="5"/>
  <c r="H109" i="5"/>
  <c r="G122" i="5"/>
  <c r="H125" i="5"/>
  <c r="G138" i="5"/>
  <c r="H141" i="5"/>
  <c r="G154" i="5"/>
  <c r="H157" i="5"/>
  <c r="G170" i="5"/>
  <c r="H173" i="5"/>
  <c r="G186" i="5"/>
  <c r="H189" i="5"/>
  <c r="G202" i="5"/>
  <c r="H205" i="5"/>
  <c r="G218" i="5"/>
  <c r="H221" i="5"/>
  <c r="G234" i="5"/>
  <c r="H237" i="5"/>
  <c r="G250" i="5"/>
  <c r="H253" i="5"/>
  <c r="G266" i="5"/>
  <c r="H269" i="5"/>
  <c r="G282" i="5"/>
  <c r="H285" i="5"/>
  <c r="G298" i="5"/>
  <c r="H301" i="5"/>
  <c r="G314" i="5"/>
  <c r="H317" i="5"/>
  <c r="G330" i="5"/>
  <c r="H333" i="5"/>
  <c r="G346" i="5"/>
  <c r="H349" i="5"/>
  <c r="G362" i="5"/>
  <c r="H365" i="5"/>
  <c r="G379" i="5"/>
  <c r="G377" i="5"/>
  <c r="G380" i="5"/>
  <c r="G381" i="5"/>
</calcChain>
</file>

<file path=xl/sharedStrings.xml><?xml version="1.0" encoding="utf-8"?>
<sst xmlns="http://schemas.openxmlformats.org/spreadsheetml/2006/main" count="3717" uniqueCount="540">
  <si>
    <t>PA-07 2026 House Forecast — Municipal-Level Predictions</t>
  </si>
  <si>
    <t>Candidates: Brooks | Mackenzie   |   District totals (yellow) are formulas over the municipal rows.</t>
  </si>
  <si>
    <t>Enter votes only in the Brooks / Mackenzie / Other columns. Shares are of total votes (Brooks + Mackenzie + Other).</t>
  </si>
  <si>
    <t>Model / scenario</t>
  </si>
  <si>
    <t>Results-anchored random forest</t>
  </si>
  <si>
    <t>As-of date</t>
  </si>
  <si>
    <t>2026-09-29</t>
  </si>
  <si>
    <t>Prepared by</t>
  </si>
  <si>
    <t>Charlie Weinstein</t>
  </si>
  <si>
    <t>Version</t>
  </si>
  <si>
    <t>v0.4</t>
  </si>
  <si>
    <t>DISTRICT TOTALS (auto-sum — do not type over)</t>
  </si>
  <si>
    <t>Geography</t>
  </si>
  <si>
    <t>Brooks votes</t>
  </si>
  <si>
    <t>Mackenzie votes</t>
  </si>
  <si>
    <t>Other (optional)</t>
  </si>
  <si>
    <t>Total votes</t>
  </si>
  <si>
    <t>Brooks share</t>
  </si>
  <si>
    <t>Mackenzie share</t>
  </si>
  <si>
    <t>Notes</t>
  </si>
  <si>
    <t>PA-07 District</t>
  </si>
  <si>
    <t>(all municipalities)</t>
  </si>
  <si>
    <t>Headline forecast for the briefing</t>
  </si>
  <si>
    <t>Discussion prompt: A successful final names these district numbers and shows the municipal table that adds to them.</t>
  </si>
  <si>
    <t>MUNICIPAL DETAIL</t>
  </si>
  <si>
    <t>County</t>
  </si>
  <si>
    <t>Municipality</t>
  </si>
  <si>
    <t>Notes / source method</t>
  </si>
  <si>
    <t>Carbon</t>
  </si>
  <si>
    <t>BANKS TOWNSHIP</t>
  </si>
  <si>
    <t>Sum of precinct RF forecasts</t>
  </si>
  <si>
    <t>BEAVER MEADOWS BOROUGH</t>
  </si>
  <si>
    <t>BOWMANSTOWN BOROUGH</t>
  </si>
  <si>
    <t>EAST PENN TOWNSHIP</t>
  </si>
  <si>
    <t>EAST SIDE BOROUGH</t>
  </si>
  <si>
    <t>FRANKLIN TOWNSHIP</t>
  </si>
  <si>
    <t>JIM THORPE BOROUGH</t>
  </si>
  <si>
    <t>KIDDER TOWNSHIP</t>
  </si>
  <si>
    <t>LANSFORD BOROUGH</t>
  </si>
  <si>
    <t>LAUSANNE TOWNSHIP</t>
  </si>
  <si>
    <t>LEHIGH TOWNSHIP</t>
  </si>
  <si>
    <t>LEHIGHTON BOROUGH</t>
  </si>
  <si>
    <t>LOWER TOWAMENSING TWP.</t>
  </si>
  <si>
    <t>MAHONING TOWNSHIP</t>
  </si>
  <si>
    <t>NESQUEHONING BOROUGH</t>
  </si>
  <si>
    <t>PACKER TOWNSHIP</t>
  </si>
  <si>
    <t>PALMERTON BOROUGH</t>
  </si>
  <si>
    <t>PARRYVILLE BOROUGH</t>
  </si>
  <si>
    <t>PENN FOREST TOWNSHIP</t>
  </si>
  <si>
    <t>SUMMIT HILL BOROUGH</t>
  </si>
  <si>
    <t>TOWAMENSING TOWNSHIP</t>
  </si>
  <si>
    <t>WEATHERLY BOROUGH</t>
  </si>
  <si>
    <t>WEISSPORT BOROUGH</t>
  </si>
  <si>
    <t>Lehigh</t>
  </si>
  <si>
    <t>ALBURTIS</t>
  </si>
  <si>
    <t>ALLENTOWN</t>
  </si>
  <si>
    <t>BETHLEHEM</t>
  </si>
  <si>
    <t>CATASAUQUA</t>
  </si>
  <si>
    <t>COOPERSBURG</t>
  </si>
  <si>
    <t>COPLAY</t>
  </si>
  <si>
    <t>EMMAUS</t>
  </si>
  <si>
    <t>FOUNTAIN HILL</t>
  </si>
  <si>
    <t>HANOVER</t>
  </si>
  <si>
    <t>HEIDELBERG</t>
  </si>
  <si>
    <t>LOWER MACUNGIE</t>
  </si>
  <si>
    <t>LOWER MILFORD</t>
  </si>
  <si>
    <t>LOWHILL</t>
  </si>
  <si>
    <t>LYNN</t>
  </si>
  <si>
    <t>MACUNGIE</t>
  </si>
  <si>
    <t>NORTH WHITEHALL</t>
  </si>
  <si>
    <t>SALISBURY</t>
  </si>
  <si>
    <t>SLATINGTON</t>
  </si>
  <si>
    <t>SOUTH WHITEHALL</t>
  </si>
  <si>
    <t>UPPER MACUNGIE</t>
  </si>
  <si>
    <t>UPPER MILFORD</t>
  </si>
  <si>
    <t>UPPER SAUCON</t>
  </si>
  <si>
    <t>WASHINGTON</t>
  </si>
  <si>
    <t>WEISENBERG</t>
  </si>
  <si>
    <t>WHITEHALL</t>
  </si>
  <si>
    <t>Monroe</t>
  </si>
  <si>
    <t>POLK TOWNSHIP</t>
  </si>
  <si>
    <t>ELDRED TOWNSHIP</t>
  </si>
  <si>
    <t>ROSS TOWNSHIP</t>
  </si>
  <si>
    <t>Northampton</t>
  </si>
  <si>
    <t>ALLEN TWSP</t>
  </si>
  <si>
    <t>BANGOR BORO</t>
  </si>
  <si>
    <t>BATH BORO</t>
  </si>
  <si>
    <t>BETHLEHEM TWSP</t>
  </si>
  <si>
    <t>BUSHKILL TWSP</t>
  </si>
  <si>
    <t>CHAPMAN</t>
  </si>
  <si>
    <t>EAST ALLEN TWSP</t>
  </si>
  <si>
    <t>EAST BANGOR</t>
  </si>
  <si>
    <t>EASTON</t>
  </si>
  <si>
    <t>FORKS</t>
  </si>
  <si>
    <t>FREEMANSBURG</t>
  </si>
  <si>
    <t>GLENDON</t>
  </si>
  <si>
    <t>HELLERTOWN BORO</t>
  </si>
  <si>
    <t>LEHIGH TWSP</t>
  </si>
  <si>
    <t>LOWER MT BETHEL</t>
  </si>
  <si>
    <t>LOWER NAZARETH</t>
  </si>
  <si>
    <t>LOWER SAUCON TWSP</t>
  </si>
  <si>
    <t>MOORE TWSP</t>
  </si>
  <si>
    <t>NAZARETH BORO</t>
  </si>
  <si>
    <t>NORTH CATASAUQUA</t>
  </si>
  <si>
    <t>NORTHAMPTON BORO</t>
  </si>
  <si>
    <t>PALMER</t>
  </si>
  <si>
    <t>PEN ARGYL BORO</t>
  </si>
  <si>
    <t>PLAINFIELD TWSP</t>
  </si>
  <si>
    <t>PORTLAND BORO</t>
  </si>
  <si>
    <t>ROSETO BORO</t>
  </si>
  <si>
    <t>STOCKERTOWN BORO</t>
  </si>
  <si>
    <t>TATAMY BORO</t>
  </si>
  <si>
    <t>UPPER MT BETHEL TWSP</t>
  </si>
  <si>
    <t>UPPER NAZARETH</t>
  </si>
  <si>
    <t>WALNUTPORT BORO</t>
  </si>
  <si>
    <t>WASHINGTON TWSP</t>
  </si>
  <si>
    <t>WEST EASTON</t>
  </si>
  <si>
    <t>WILLIAMS TWSP</t>
  </si>
  <si>
    <t>WILSON BORO</t>
  </si>
  <si>
    <t>WIND GAP BORO</t>
  </si>
  <si>
    <t>PA-07 2026 House Forecast — Precinct-Level Predictions</t>
  </si>
  <si>
    <t>Candidates: Brooks | Mackenzie   |   District totals (yellow) are formulas over the precinct rows.</t>
  </si>
  <si>
    <t>Enter votes only in the Brooks / Mackenzie / Other columns. Compare district totals to the municipal template and explain any gap.</t>
  </si>
  <si>
    <t>(muni)</t>
  </si>
  <si>
    <t>(precinct)</t>
  </si>
  <si>
    <t>(all precincts)</t>
  </si>
  <si>
    <t>Discussion prompt: Precinct and municipal district totals should match, or the class must document why they do not.</t>
  </si>
  <si>
    <t>PRECINCT DETAIL</t>
  </si>
  <si>
    <t>Precinct</t>
  </si>
  <si>
    <t>RF swing from own 2024 result</t>
  </si>
  <si>
    <t>EAST PENN TOWNSHIP-NORTH</t>
  </si>
  <si>
    <t>EAST PENN TOWNSHIP-SOUTH</t>
  </si>
  <si>
    <t>FRANKLIN TOWNSHIP-HARRITY</t>
  </si>
  <si>
    <t>FRANKLIN TOWNSHIP-IND DIST</t>
  </si>
  <si>
    <t>FRANKLIN TOWNSHIP-LONG RUN</t>
  </si>
  <si>
    <t>JIM THORPE BOROUGH-1ST</t>
  </si>
  <si>
    <t>JIM THORPE BOROUGH-2ND</t>
  </si>
  <si>
    <t>JIM THORPE BOROUGH-3RD</t>
  </si>
  <si>
    <t>JIM THORPE BOROUGH-4TH</t>
  </si>
  <si>
    <t>JIM THORPE BOROUGH-5TH</t>
  </si>
  <si>
    <t>KIDDER TOWNSHIP-NORTH</t>
  </si>
  <si>
    <t>KIDDER TOWNSHIP-SOUTH</t>
  </si>
  <si>
    <t>LANSFORD BOROUGH - EAST WARD</t>
  </si>
  <si>
    <t>LANSFORD BOROUGH-MIDDLE WARD</t>
  </si>
  <si>
    <t>LANSFORD BOROUGH-WEST WARD</t>
  </si>
  <si>
    <t>LEHIGHTON BOROUGH-1ST</t>
  </si>
  <si>
    <t>LEHIGHTON BOROUGH-2ND</t>
  </si>
  <si>
    <t>LEHIGHTON BOROUGH-3RD</t>
  </si>
  <si>
    <t>LOWER TOWAMENSING TWP.-NORTH</t>
  </si>
  <si>
    <t>LOWER TOWAMENSING TWP.-SOUTH</t>
  </si>
  <si>
    <t>MAHONING TOWNSHIP - NEW MAHONING</t>
  </si>
  <si>
    <t>MAHONING TOWNSHIP - PACKERTON/JAMESTOWN</t>
  </si>
  <si>
    <t>MAHONING TOWNSHIP-MAHONING</t>
  </si>
  <si>
    <t>NESQUEHONING BOROUGH-EAST</t>
  </si>
  <si>
    <t>NESQUEHONING BOROUGH-WEST</t>
  </si>
  <si>
    <t>PALMERTON BOROUGH-EASTERN</t>
  </si>
  <si>
    <t>PALMERTON BOROUGH-MIDDLE</t>
  </si>
  <si>
    <t>PALMERTON BOROUGH-WESTERN</t>
  </si>
  <si>
    <t>PENN FOREST TOWNSHIP-EAST</t>
  </si>
  <si>
    <t>PENN FOREST TOWNSHIP-MIDDLE</t>
  </si>
  <si>
    <t>PENN FOREST TOWNSHIP-NORTH EAST</t>
  </si>
  <si>
    <t>PENN FOREST TOWNSHIP-NORTH WEST</t>
  </si>
  <si>
    <t>PENN FOREST TOWNSHIP-SOUTH WEST</t>
  </si>
  <si>
    <t>SUMMIT HILL BOROUGH-1ST</t>
  </si>
  <si>
    <t>SUMMIT HILL BOROUGH-2ND</t>
  </si>
  <si>
    <t>SUMMIT HILL BOROUGH-3RD/2ND</t>
  </si>
  <si>
    <t>SUMMIT HILL-3RD/1ST DIST</t>
  </si>
  <si>
    <t>TOWAMENSING TOWNSHIP-NORTH</t>
  </si>
  <si>
    <t>TOWAMENSING TOWNSHIP-SOUTH-1</t>
  </si>
  <si>
    <t>TOWAMENSING TOWNSHIP-SOUTH-2</t>
  </si>
  <si>
    <t>WEATHERLY BOROUGH-EAST</t>
  </si>
  <si>
    <t>WEATHERLY BOROUGH-WEST</t>
  </si>
  <si>
    <t>ALLENTOWN 10TH WARD 1ST DIST</t>
  </si>
  <si>
    <t>ALLENTOWN 10TH WARD 3RD DIST</t>
  </si>
  <si>
    <t>ALLENTOWN 10TH WARD 4TH DIST</t>
  </si>
  <si>
    <t>ALLENTOWN 11TH WARD 1ST DIST</t>
  </si>
  <si>
    <t>ALLENTOWN 11TH WARD 2ND DIST</t>
  </si>
  <si>
    <t>ALLENTOWN 11TH WARD 3RD DIST</t>
  </si>
  <si>
    <t>ALLENTOWN 11TH WARD 4TH DIST</t>
  </si>
  <si>
    <t>ALLENTOWN 11TH WARD 5TH DIST</t>
  </si>
  <si>
    <t>ALLENTOWN 11TH WARD 6TH DIST</t>
  </si>
  <si>
    <t>ALLENTOWN 11TH WARD 7TH DIST</t>
  </si>
  <si>
    <t>ALLENTOWN 12TH WARD 1ST DIST</t>
  </si>
  <si>
    <t>ALLENTOWN 12TH WARD 2ND DIST</t>
  </si>
  <si>
    <t>ALLENTOWN 12TH WARD 3RD DIST</t>
  </si>
  <si>
    <t>ALLENTOWN 12TH WARD 4TH DIST</t>
  </si>
  <si>
    <t>ALLENTOWN 12TH WARD 5TH DIST</t>
  </si>
  <si>
    <t>ALLENTOWN 13TH WARD 1ST DIST</t>
  </si>
  <si>
    <t>ALLENTOWN 13TH WARD 2ND DIST</t>
  </si>
  <si>
    <t>ALLENTOWN 13TH WARD 3RD DIST</t>
  </si>
  <si>
    <t>ALLENTOWN 13TH WARD 4TH DIST</t>
  </si>
  <si>
    <t>ALLENTOWN 14TH WARD 1ST DIST</t>
  </si>
  <si>
    <t>ALLENTOWN 14TH WARD 2ND DIST</t>
  </si>
  <si>
    <t>ALLENTOWN 15TH WARD 1ST DIST</t>
  </si>
  <si>
    <t>ALLENTOWN 15TH WARD 2ND DIST</t>
  </si>
  <si>
    <t>ALLENTOWN 15TH WARD 3RD DIST</t>
  </si>
  <si>
    <t>ALLENTOWN 15TH WARD 4TH DIST</t>
  </si>
  <si>
    <t>ALLENTOWN 16TH WARD 1ST DIST</t>
  </si>
  <si>
    <t>ALLENTOWN 16TH WARD 2ND DIST</t>
  </si>
  <si>
    <t>ALLENTOWN 17TH WARD 1ST DIST</t>
  </si>
  <si>
    <t>ALLENTOWN 17TH WARD 2ND DIST</t>
  </si>
  <si>
    <t>ALLENTOWN 17TH WARD 3RD DIST</t>
  </si>
  <si>
    <t>ALLENTOWN 17TH WARD 4TH DIST</t>
  </si>
  <si>
    <t>RF swing from town 2024 result</t>
  </si>
  <si>
    <t>ALLENTOWN 17TH WD 4TH DT PARK</t>
  </si>
  <si>
    <t>ALLENTOWN 18TH WARD 1ST DIST</t>
  </si>
  <si>
    <t>ALLENTOWN 18TH WARD 2ND DIST</t>
  </si>
  <si>
    <t>ALLENTOWN 18TH WD 2ND DT PARK</t>
  </si>
  <si>
    <t>ALLENTOWN 19TH WARD 1ST DIST</t>
  </si>
  <si>
    <t>ALLENTOWN 19TH WARD 2ND DIST</t>
  </si>
  <si>
    <t>ALLENTOWN 19TH WARD 3RD DIST</t>
  </si>
  <si>
    <t>ALLENTOWN 19TH WARD 4TH DIST</t>
  </si>
  <si>
    <t>ALLENTOWN 19TH WARD 5TH DIST</t>
  </si>
  <si>
    <t>ALLENTOWN 19TH WARD 5TH DT SAL</t>
  </si>
  <si>
    <t>ALLENTOWN 19TH WARD 6TH DIST</t>
  </si>
  <si>
    <t>ALLENTOWN 1ST WARD</t>
  </si>
  <si>
    <t>ALLENTOWN 2ND WARD</t>
  </si>
  <si>
    <t>ALLENTOWN 3RD WARD</t>
  </si>
  <si>
    <t>ALLENTOWN 4TH WARD</t>
  </si>
  <si>
    <t>ALLENTOWN 5TH WARD</t>
  </si>
  <si>
    <t>ALLENTOWN 6TH WARD 1ST DIST</t>
  </si>
  <si>
    <t>ALLENTOWN 6TH WARD 2ND DIST</t>
  </si>
  <si>
    <t>ALLENTOWN 7TH WARD</t>
  </si>
  <si>
    <t>ALLENTOWN 8TH WARD 1ST DIST</t>
  </si>
  <si>
    <t>ALLENTOWN 8TH WARD 2ND DIST</t>
  </si>
  <si>
    <t>ALLENTOWN 8TH WARD 3RD DIST</t>
  </si>
  <si>
    <t>ALLENTOWN 8TH WARD 4TH DIST</t>
  </si>
  <si>
    <t>ALLENTOWN 8TH WARD 5TH DIST</t>
  </si>
  <si>
    <t>ALLENTOWN 8TH WARD 6TH DIST</t>
  </si>
  <si>
    <t>ALLENTOWN 8TH WARD 7TH DIST</t>
  </si>
  <si>
    <t>ALLENTOWN 9TH WARD</t>
  </si>
  <si>
    <t>BETHLEHEM 10TH WARD</t>
  </si>
  <si>
    <t>BETHLEHEM 11TH WARD</t>
  </si>
  <si>
    <t>BETHLEHEM 12TH WARD 1ST DIST</t>
  </si>
  <si>
    <t>BETHLEHEM 12TH WARD 2ND DIST</t>
  </si>
  <si>
    <t>BETHLEHEM 13TH WARD 1ST DIST</t>
  </si>
  <si>
    <t>BETHLEHEM 13TH WARD 2ND DIST</t>
  </si>
  <si>
    <t>BETHLEHEM 13TH WARD 3RD DIST</t>
  </si>
  <si>
    <t>BETHLEHEM 13TH WARD 4TH DIST</t>
  </si>
  <si>
    <t>BETHLEHEM 13TH WARD 5TH DIST</t>
  </si>
  <si>
    <t>BETHLEHEM 13TH WARD 6TH DIST</t>
  </si>
  <si>
    <t>BETHLEHEM 13TH WARD 7TH DIST</t>
  </si>
  <si>
    <t>BETHLEHEM 13TH WARD 8TH DIST</t>
  </si>
  <si>
    <t>CATASAUQUA 1ST DIST</t>
  </si>
  <si>
    <t>CATASAUQUA 2ND DIST</t>
  </si>
  <si>
    <t>CATASAUQUA 3RD DIST</t>
  </si>
  <si>
    <t>COPLAY 1ST DISTRICT</t>
  </si>
  <si>
    <t>COPLAY 2ND DISTRICT</t>
  </si>
  <si>
    <t>EMMAUS 1ST DISTRICT</t>
  </si>
  <si>
    <t>EMMAUS 2ND DISTRICT</t>
  </si>
  <si>
    <t>EMMAUS 3RD DISTRICT</t>
  </si>
  <si>
    <t>EMMAUS 4TH DISTRICT</t>
  </si>
  <si>
    <t>EMMAUS 5TH DISTRICT</t>
  </si>
  <si>
    <t>EMMAUS 6TH DISTRICT</t>
  </si>
  <si>
    <t>FOUNTAIN HILL 1ST DIST</t>
  </si>
  <si>
    <t>FOUNTAIN HILL 2ND DIST</t>
  </si>
  <si>
    <t>FOUNTAIN HILL 3RD DIST</t>
  </si>
  <si>
    <t>LOWER MACUNGIE 10TH DISTRICT</t>
  </si>
  <si>
    <t>LOWER MACUNGIE 1ST DISTRICT</t>
  </si>
  <si>
    <t>LOWER MACUNGIE 2ND DISTRICT</t>
  </si>
  <si>
    <t>LOWER MACUNGIE 3RD DISTRICT</t>
  </si>
  <si>
    <t>LOWER MACUNGIE 4TH DISTRICT</t>
  </si>
  <si>
    <t>LOWER MACUNGIE 5TH DISTRICT</t>
  </si>
  <si>
    <t>LOWER MACUNGIE 6TH DISTRICT</t>
  </si>
  <si>
    <t>LOWER MACUNGIE 7TH DISTRICT</t>
  </si>
  <si>
    <t>LOWER MACUNGIE 8TH DISTRICT</t>
  </si>
  <si>
    <t>LOWER MACUNGIE 9TH DISTRICT</t>
  </si>
  <si>
    <t>LYNN JACKSONVILLE DISTRICT</t>
  </si>
  <si>
    <t>LYNN LYNNVILLE DISTRICT</t>
  </si>
  <si>
    <t>LYNN NEW TRIPOLI DISTRICT</t>
  </si>
  <si>
    <t>NORTH WHITEHALL 1ST DISTRICT</t>
  </si>
  <si>
    <t>NORTH WHITEHALL 2ND DISTRICT</t>
  </si>
  <si>
    <t>NORTH WHITEHALL 3RD DISTRICT</t>
  </si>
  <si>
    <t>NORTH WHITEHALL 4TH DISTRICT</t>
  </si>
  <si>
    <t>NORTH WHITEHALL 5TH DISTRICT</t>
  </si>
  <si>
    <t>NORTH WHITEHALL 6TH DISTRICT</t>
  </si>
  <si>
    <t>SALISBURY 1ST WARD</t>
  </si>
  <si>
    <t>SALISBURY 2ND WARD</t>
  </si>
  <si>
    <t>SALISBURY 3RD WARD 1ST DIST</t>
  </si>
  <si>
    <t>SALISBURY 3RD WARD 2ND DIST</t>
  </si>
  <si>
    <t>SALISBURY 4TH WARD 1ST DIST</t>
  </si>
  <si>
    <t>SALISBURY 4TH WARD 2ND DIST</t>
  </si>
  <si>
    <t>SALISBURY 5TH WARD 1ST DIST</t>
  </si>
  <si>
    <t>SALISBURY 5TH WARD 2ND DIST</t>
  </si>
  <si>
    <t>SLATINGTON 1ST DIST</t>
  </si>
  <si>
    <t>SLATINGTON 2ND DIST</t>
  </si>
  <si>
    <t>SLATINGTON 3RD DIST</t>
  </si>
  <si>
    <t>SOUTH WHITEHALL 1ST DISTRICT</t>
  </si>
  <si>
    <t>SOUTH WHITEHALL 2ND DISTRICT</t>
  </si>
  <si>
    <t>SOUTH WHITEHALL 3RD DISTRICT</t>
  </si>
  <si>
    <t>SOUTH WHITEHALL 4TH DISTRICT</t>
  </si>
  <si>
    <t>SOUTH WHITEHALL 5TH DISTRICT</t>
  </si>
  <si>
    <t>SOUTH WHITEHALL 6TH DISTRICT</t>
  </si>
  <si>
    <t>SOUTH WHITEHALL 7TH DISTRICT</t>
  </si>
  <si>
    <t>SOUTH WHITEHALL 8TH DISTRICT</t>
  </si>
  <si>
    <t>UPPER MACUNGIE 1ST DISTRICT</t>
  </si>
  <si>
    <t>UPPER MACUNGIE 2ND DISTRICT</t>
  </si>
  <si>
    <t>UPPER MACUNGIE 3RD DISTRICT</t>
  </si>
  <si>
    <t>UPPER MACUNGIE 4TH DISTRICT</t>
  </si>
  <si>
    <t>UPPER MACUNGIE 5TH DISTRICT</t>
  </si>
  <si>
    <t>UPPER MACUNGIE 6TH DISTRICT</t>
  </si>
  <si>
    <t>UPPER MACUNGIE 7TH DISTRICT</t>
  </si>
  <si>
    <t>UPPER MACUNGIE 8TH DISTRICT</t>
  </si>
  <si>
    <t>UPPER MILFORD EASTERN DISTRICT</t>
  </si>
  <si>
    <t>UPPER MILFORD WESTERN DISTRICT</t>
  </si>
  <si>
    <t>UPPER SAUCON 1ST DISTRICT</t>
  </si>
  <si>
    <t>UPPER SAUCON 2ND DISTRICT</t>
  </si>
  <si>
    <t>UPPER SAUCON 3RD DISTRICT</t>
  </si>
  <si>
    <t>UPPER SAUCON 4TH DISTRICT</t>
  </si>
  <si>
    <t>UPPER SAUCON 5TH DISTRICT</t>
  </si>
  <si>
    <t>UPPER SAUCON 6TH DISTRICT</t>
  </si>
  <si>
    <t>WASHINGTON EASTERN DISTRICT</t>
  </si>
  <si>
    <t>WASHINGTON SOUTHERN DISTRICT</t>
  </si>
  <si>
    <t>WASHINGTON WESTERN DISTRICT</t>
  </si>
  <si>
    <t>WHITEHALL 10TH DISTRICT</t>
  </si>
  <si>
    <t>WHITEHALL 11TH DISTRICT</t>
  </si>
  <si>
    <t>WHITEHALL 12TH DISTRICT</t>
  </si>
  <si>
    <t>WHITEHALL 1ST DISTRICT</t>
  </si>
  <si>
    <t>WHITEHALL 2ND DISTRICT</t>
  </si>
  <si>
    <t>WHITEHALL 3RD DISTRICT</t>
  </si>
  <si>
    <t>WHITEHALL 4TH DISTRICT</t>
  </si>
  <si>
    <t>WHITEHALL 5TH DISTRICT</t>
  </si>
  <si>
    <t>WHITEHALL 6TH DISTRICT</t>
  </si>
  <si>
    <t>WHITEHALL 7TH DISTRICT</t>
  </si>
  <si>
    <t>WHITEHALL 8TH DISTRICT</t>
  </si>
  <si>
    <t>WHITEHALL 9TH DISTRICT</t>
  </si>
  <si>
    <t>ELDRED</t>
  </si>
  <si>
    <t>POLK</t>
  </si>
  <si>
    <t>ROSS ONE</t>
  </si>
  <si>
    <t>ALLEN TWSP - NORTH</t>
  </si>
  <si>
    <t>ALLEN TWSP - SOUTH</t>
  </si>
  <si>
    <t>BANGOR BORO NORTH</t>
  </si>
  <si>
    <t>RF swing from town 2024 result, precinct redrawn</t>
  </si>
  <si>
    <t>BANGOR BORO SOUTH</t>
  </si>
  <si>
    <t>BETHLEHEM 14TH WARD 1ST DISTRICT</t>
  </si>
  <si>
    <t>BETHLEHEM 14TH WARD 2ND DISTRICT</t>
  </si>
  <si>
    <t>BETHLEHEM 14TH WARD 3RD DISTRICT</t>
  </si>
  <si>
    <t>BETHLEHEM 14TH WARD 4TH DISTRICT</t>
  </si>
  <si>
    <t>BETHLEHEM 14TH WARD 5TH DISTRICT</t>
  </si>
  <si>
    <t>BETHLEHEM 14TH WARD 6TH DISTRICT</t>
  </si>
  <si>
    <t>BETHLEHEM 14TH WARD 7TH DISTRICT</t>
  </si>
  <si>
    <t>BETHLEHEM 14TH WARD 8TH DISTRICT</t>
  </si>
  <si>
    <t>BETHLEHEM 15TH WARD 1ST DISTRICT</t>
  </si>
  <si>
    <t>BETHLEHEM 15TH WARD 2ND DISTRICT</t>
  </si>
  <si>
    <t>BETHLEHEM 15TH WARD 3RD DISTRICT</t>
  </si>
  <si>
    <t>BETHLEHEM 16TH WARD</t>
  </si>
  <si>
    <t>BETHLEHEM 17TH WARD</t>
  </si>
  <si>
    <t>BETHLEHEM 1ST WARD - NORTHERN</t>
  </si>
  <si>
    <t>BETHLEHEM 1ST WARD - SOUTHERN</t>
  </si>
  <si>
    <t>BETHLEHEM 2ND WARD</t>
  </si>
  <si>
    <t>BETHLEHEM 3RD WARD</t>
  </si>
  <si>
    <t>BETHLEHEM 4TH WARD</t>
  </si>
  <si>
    <t>BETHLEHEM 5TH WARD</t>
  </si>
  <si>
    <t>BETHLEHEM 6TH WARD</t>
  </si>
  <si>
    <t>BETHLEHEM 7TH WARD</t>
  </si>
  <si>
    <t>BETHLEHEM 8TH WARD</t>
  </si>
  <si>
    <t>BETHLEHEM 9TH WARD EAST</t>
  </si>
  <si>
    <t>BETHLEHEM 9TH WARD WEST</t>
  </si>
  <si>
    <t>BETHLEHEM TWSP 1ST WARD 1ST DISTRICT</t>
  </si>
  <si>
    <t>BETHLEHEM TWSP 1ST WARD 2ND DISTRICT</t>
  </si>
  <si>
    <t>BETHLEHEM TWSP 1ST WARD 3RD DISTRICT</t>
  </si>
  <si>
    <t>BETHLEHEM TWSP 1ST WARD 4TH DISTRICT</t>
  </si>
  <si>
    <t>BETHLEHEM TWSP 2ND WARD 1ST DISTRICT</t>
  </si>
  <si>
    <t>BETHLEHEM TWSP 2ND WARD 2ND DISTRICT</t>
  </si>
  <si>
    <t>BETHLEHEM TWSP 2ND WARD 3RD DISTRICT</t>
  </si>
  <si>
    <t>BETHLEHEM TWSP 2ND WARD 4TH DISTRICT</t>
  </si>
  <si>
    <t>BETHLEHEM TWSP 3RD WARD 1ST DISTRICT</t>
  </si>
  <si>
    <t>BETHLEHEM TWSP 3RD WARD 2ND DISTRICT</t>
  </si>
  <si>
    <t>BETHLEHEM TWSP 3RD WARD 3RD DISTRICT</t>
  </si>
  <si>
    <t>BETHLEHEM TWSP 3RD WARD 4TH DISTRICT</t>
  </si>
  <si>
    <t>BETHLEHEM TWSP 3RD WARD 5TH DISTRICT</t>
  </si>
  <si>
    <t>BETHLEHEM TWSP 4TH WARD 1ST DISTRICT</t>
  </si>
  <si>
    <t>BETHLEHEM TWSP 4TH WARD 2ND DISTRICT</t>
  </si>
  <si>
    <t>BETHLEHEM TWSP 4TH WARD 3RD DISTRICT</t>
  </si>
  <si>
    <t>BETHLEHEM TWSP 4TH WARD 4TH DISTRICT</t>
  </si>
  <si>
    <t>BUSHKILL TWSP - BUSHKILL CENTER</t>
  </si>
  <si>
    <t>BUSHKILL TWSP - CHERRY HILL</t>
  </si>
  <si>
    <t>BUSHKILL TWSP - CLEARFIELD</t>
  </si>
  <si>
    <t>EAST ALLEN TWSP - EASTERN</t>
  </si>
  <si>
    <t>EAST ALLEN TWSP - WESTERN</t>
  </si>
  <si>
    <t>EASTON 10TH WARD</t>
  </si>
  <si>
    <t>EASTON 11TH WARD</t>
  </si>
  <si>
    <t>EASTON 2ND WARD</t>
  </si>
  <si>
    <t>EASTON 3RD WARD 2ND DISTRICT</t>
  </si>
  <si>
    <t>EASTON 3RD WARD 3RD DISTRICT</t>
  </si>
  <si>
    <t>EASTON 3RD WARD 4TH DISTRICT</t>
  </si>
  <si>
    <t>EASTON 4TH WARD</t>
  </si>
  <si>
    <t>EASTON 5TH WARD</t>
  </si>
  <si>
    <t>EASTON 6TH WARD</t>
  </si>
  <si>
    <t>EASTON 7TH WARD</t>
  </si>
  <si>
    <t>EASTON 8TH WARD</t>
  </si>
  <si>
    <t>EASTON 9TH WARD</t>
  </si>
  <si>
    <t>FORKS TWSP EAST</t>
  </si>
  <si>
    <t>FORKS TWSP NORTH</t>
  </si>
  <si>
    <t>FORKS TWSP NORTHWEST</t>
  </si>
  <si>
    <t>FORKS TWSP SOUTH</t>
  </si>
  <si>
    <t>FORKS TWSP SOUTHEAST</t>
  </si>
  <si>
    <t>FORKS TWSP SOUTHWEST</t>
  </si>
  <si>
    <t>FORKS TWSP WEST</t>
  </si>
  <si>
    <t>HANOVER #1</t>
  </si>
  <si>
    <t>HANOVER #2</t>
  </si>
  <si>
    <t>HANOVER #3</t>
  </si>
  <si>
    <t>HANOVER #4</t>
  </si>
  <si>
    <t>HANOVER #5</t>
  </si>
  <si>
    <t>HANOVER #6</t>
  </si>
  <si>
    <t>HELLERTOWN BORO 1ST WARD</t>
  </si>
  <si>
    <t>HELLERTOWN BORO 2ND WARD</t>
  </si>
  <si>
    <t>HELLERTOWN BORO 3RD WARD</t>
  </si>
  <si>
    <t>LEHIGH TWSP - CENTRAL</t>
  </si>
  <si>
    <t>LEHIGH TWSP - DANIELSVILLE</t>
  </si>
  <si>
    <t>LEHIGH TWSP - NORTHWESTERN</t>
  </si>
  <si>
    <t>LEHIGH TWSP - PENNSVILLE</t>
  </si>
  <si>
    <t>LEHIGH TWSP - TREICHLERS</t>
  </si>
  <si>
    <t>LOWER MT BETHEL - LOWER</t>
  </si>
  <si>
    <t>LOWER MT BETHEL - UPPER</t>
  </si>
  <si>
    <t>LOWER NAZARETH EAST</t>
  </si>
  <si>
    <t>LOWER NAZARETH NORTH</t>
  </si>
  <si>
    <t>LOWER NAZARETH SOUTH</t>
  </si>
  <si>
    <t>LOWER NAZARETH WEST</t>
  </si>
  <si>
    <t>LOWER SAUCON TWSP - 1</t>
  </si>
  <si>
    <t>LOWER SAUCON TWSP - 2</t>
  </si>
  <si>
    <t>LOWER SAUCON TWSP - 3</t>
  </si>
  <si>
    <t>LOWER SAUCON TWSP - 4</t>
  </si>
  <si>
    <t>LOWER SAUCON TWSP - 6</t>
  </si>
  <si>
    <t>LOWER SAUCON TWSP - 7</t>
  </si>
  <si>
    <t>MOORE TWSP - BEERSVILLE</t>
  </si>
  <si>
    <t>MOORE TWSP - EASTERN</t>
  </si>
  <si>
    <t>MOORE TWSP - KLECKNERSVILLE</t>
  </si>
  <si>
    <t>MOORE TWSP - POINT PHILLIPS</t>
  </si>
  <si>
    <t>NAZARETH BORO 1ST WARD</t>
  </si>
  <si>
    <t>NAZARETH BORO 2ND WARD</t>
  </si>
  <si>
    <t>NAZARETH BORO 3RD WARD</t>
  </si>
  <si>
    <t>NORTH CATASAUQUA 1ST WARD</t>
  </si>
  <si>
    <t>NORTH CATASAUQUA 2ND WARD</t>
  </si>
  <si>
    <t>NORTHAMPTON BORO 1ST WARD</t>
  </si>
  <si>
    <t>NORTHAMPTON BORO 2ND WARD</t>
  </si>
  <si>
    <t>NORTHAMPTON BORO 3RD WARD</t>
  </si>
  <si>
    <t>NORTHAMPTON BORO 4TH WARD</t>
  </si>
  <si>
    <t>PALMER - CENTRAL</t>
  </si>
  <si>
    <t>PALMER - EAST</t>
  </si>
  <si>
    <t>PALMER - NORTH</t>
  </si>
  <si>
    <t>PALMER - NORTHEAST</t>
  </si>
  <si>
    <t>PALMER - NORTHWEST</t>
  </si>
  <si>
    <t>PALMER - SOUTH</t>
  </si>
  <si>
    <t>PALMER - SOUTHEAST</t>
  </si>
  <si>
    <t>PALMER - SOUTHWEST</t>
  </si>
  <si>
    <t>PALMER - WEST</t>
  </si>
  <si>
    <t>PEN ARGYL BORO 1ST WARD</t>
  </si>
  <si>
    <t>PEN ARGYL BORO 2ND WARD</t>
  </si>
  <si>
    <t>PEN ARGYL BORO 3RD WARD</t>
  </si>
  <si>
    <t>PEN ARGYL BORO 4TH WARD</t>
  </si>
  <si>
    <t>PLAINFIELD TWSP - BELFAST</t>
  </si>
  <si>
    <t>PLAINFIELD TWSP - DELABOLE</t>
  </si>
  <si>
    <t>PLAINFIELD TWSP - KESSLERSVILLE</t>
  </si>
  <si>
    <t>PLAINFIELD TWSP - PLAINFIELD CHURCH</t>
  </si>
  <si>
    <t>UPPER MT BETHEL TWSP - CENTERVILLE</t>
  </si>
  <si>
    <t>UPPER MT BETHEL TWSP - JOHNSONVILLE</t>
  </si>
  <si>
    <t>UPPER MT BETHEL TWSP - NORTH BANGOR</t>
  </si>
  <si>
    <t>UPPER MT BETHEL TWSP - SLATEFORD</t>
  </si>
  <si>
    <t>UPPER MT BETHEL TWSP - WILLIAMSBURG</t>
  </si>
  <si>
    <t>UPPER NAZARETH - EAST 1</t>
  </si>
  <si>
    <t>UPPER NAZARETH - EAST 2</t>
  </si>
  <si>
    <t>UPPER NAZARETH - WEST 1</t>
  </si>
  <si>
    <t>UPPER NAZARETH - WEST 2</t>
  </si>
  <si>
    <t>WASHINGTON TWSP - LOWER</t>
  </si>
  <si>
    <t>WASHINGTON TWSP - UPPER</t>
  </si>
  <si>
    <t>WILLAMS TWSP - EASTERN</t>
  </si>
  <si>
    <t>WILLIAMS TWSP - MIDDLE</t>
  </si>
  <si>
    <t>WILLIAMS TWSP - UPPER</t>
  </si>
  <si>
    <t>WILLIAMS TWSP - WESTERN</t>
  </si>
  <si>
    <t>WILSON BORO 1ST WARD</t>
  </si>
  <si>
    <t>WILSON BORO 2ND WARD</t>
  </si>
  <si>
    <t>WILSON BORO 3RD WARD</t>
  </si>
  <si>
    <t>WIND GAP</t>
  </si>
  <si>
    <t>Feature ranking for the 2026 model</t>
  </si>
  <si>
    <t>How shares were measured: permutation importance, the rise in vote-weighted error when one feature is shuffled, on elections held out of training (2022 and 2024), scaled to sum to 100%.</t>
  </si>
  <si>
    <t>Last column: the same measure with the last-result starting point held fixed, so it shows what drives the forest adjustments.</t>
  </si>
  <si>
    <t>Rank</t>
  </si>
  <si>
    <t>Feature</t>
  </si>
  <si>
    <t>Input family</t>
  </si>
  <si>
    <t>Share of model</t>
  </si>
  <si>
    <t>Share of forest adjustments</t>
  </si>
  <si>
    <t>Error added when shuffled (points)</t>
  </si>
  <si>
    <t>Last House result here, lean vs district (precinct if like-for-like, else its town)</t>
  </si>
  <si>
    <t>Past election results</t>
  </si>
  <si>
    <t>Change in that registration gap since the last election, vs district</t>
  </si>
  <si>
    <t>Registration and turnout</t>
  </si>
  <si>
    <t>Median household income in 2024 dollars (town, Census survey)</t>
  </si>
  <si>
    <t>Demographics</t>
  </si>
  <si>
    <t>Election is a midterm (smaller, higher-turnout electorate than a presidential year)</t>
  </si>
  <si>
    <t>Turnout of registered voters at the last election, vs district</t>
  </si>
  <si>
    <t>Share of last election voters who voted by mail, vs district</t>
  </si>
  <si>
    <t>Precinct has its own like-for-like last result (1) or borrows its town result (0)</t>
  </si>
  <si>
    <t>Registered voters who are women (of those with sex recorded)</t>
  </si>
  <si>
    <t>House result from the last same kind of year (midterm or presidential), lean vs district</t>
  </si>
  <si>
    <t>Governor result in the last midterm, town lean vs district</t>
  </si>
  <si>
    <t>Renter households share (town, Census survey)</t>
  </si>
  <si>
    <t>Last House vote here was a different district contest (Carbon, Polk before 2022)</t>
  </si>
  <si>
    <t>Population density, log (town, Census survey)</t>
  </si>
  <si>
    <t>Registered voters who are Baby Boomers or older</t>
  </si>
  <si>
    <t>Adults with a bachelor degree or more (town, Census survey)</t>
  </si>
  <si>
    <t>Residents aged 65 and over (town, Census survey)</t>
  </si>
  <si>
    <t>U.S. Senate result in the last midterm, town lean vs district</t>
  </si>
  <si>
    <t>Presidential result in the last presidential year, town lean vs district</t>
  </si>
  <si>
    <t>Registered voters who are Millennial or Gen Z</t>
  </si>
  <si>
    <t>Democratic minus Republican share of registered voters, vs district</t>
  </si>
  <si>
    <t>Poverty rate (town, Census survey)</t>
  </si>
  <si>
    <t>Share registered with neither major party, vs district</t>
  </si>
  <si>
    <t>Total</t>
  </si>
  <si>
    <t>A share of 0% means shuffling that feature did not make predictions of held-out elections any worse: the forest uses it, but it did not help predict a new election.</t>
  </si>
  <si>
    <t>Last column: points of error added when the feature is shuffled; below zero means shuffling it slightly helped.</t>
  </si>
  <si>
    <t>Does leaning on past results cost accuracy? 2024 backtest mean error in points, towns / precincts:</t>
  </si>
  <si>
    <t>Anchored on the last result (this model): 2.30 / 2.49</t>
  </si>
  <si>
    <t>Same forest, all families on equal footing: 2.33 / 2.44</t>
  </si>
  <si>
    <t>Forest without any past results: 2.72 / 3.40</t>
  </si>
  <si>
    <t>Same forest with no anchor, shares by family: Past election results 89%, Registration and turnout 8%, Demographics 2%.</t>
  </si>
  <si>
    <t>PA-07 2024 House Backtest, Municipal-Level (model trained on 2018-2022 results only)</t>
  </si>
  <si>
    <t>Candidates: Wild | Mackenzie   |   District totals are formulas over the municipal rows.</t>
  </si>
  <si>
    <t>Predicted votes use only data from before the 2024 election. Actual 2024 results and errors are to the right.</t>
  </si>
  <si>
    <t>Data before 2024-11-05</t>
  </si>
  <si>
    <t>DISTRICT TOTALS (auto-sum, do not type over)</t>
  </si>
  <si>
    <t>Wild votes</t>
  </si>
  <si>
    <t>Wild share</t>
  </si>
  <si>
    <t>Actual Wild votes</t>
  </si>
  <si>
    <t>Actual Mackenzie votes</t>
  </si>
  <si>
    <t>Actual total votes</t>
  </si>
  <si>
    <t>Actual Wild share</t>
  </si>
  <si>
    <t>Error (points, predicted minus actual)</t>
  </si>
  <si>
    <t>Backtest district total</t>
  </si>
  <si>
    <t>Actual cells are blank where no 2024 result covers the same ground as the current precinct.</t>
  </si>
  <si>
    <t>PA-07 2024 House Backtest, Precinct-Level (model trained on 2018-2022 results only)</t>
  </si>
  <si>
    <t>Candidates: Wild | Mackenzie   |   District totals are formulas over the precinct rows.</t>
  </si>
  <si>
    <t>RF swing from own 2022 result</t>
  </si>
  <si>
    <t>No actual: 2024 code also carries the Park split votes</t>
  </si>
  <si>
    <t>No actual: its 2024 votes are counted in 17th Ward 4th District</t>
  </si>
  <si>
    <t>No actual: no separate 2024 result under this precinct code</t>
  </si>
  <si>
    <t>No actual: no precinct code and 3 registrants</t>
  </si>
  <si>
    <t>No actual: 2024 votes do not match current boundaries</t>
  </si>
  <si>
    <t>No actual: precinct redrawn, no 2024 precinct matches it</t>
  </si>
  <si>
    <t>RF swing from town 2022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</si>
</sst>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sqref="A1:I1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14" customWidth="1"/>
    <col min="4" max="4" width="16" customWidth="1"/>
    <col min="6" max="6" width="12" customWidth="1"/>
    <col min="7" max="7" width="13" customWidth="1"/>
    <col min="8" max="8" width="15" customWidth="1"/>
    <col min="9" max="9" width="26" customWidth="1"/>
    <col min="10" max="10" width="8.6640625" customWidth="1"/>
  </cols>
  <sheetData>
    <row r="1" spans="1:9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7" t="s">
        <v>2</v>
      </c>
      <c r="B3" s="8"/>
      <c r="C3" s="8"/>
      <c r="D3" s="8"/>
      <c r="E3" s="8"/>
      <c r="F3" s="8"/>
      <c r="G3" s="8"/>
      <c r="H3" s="8"/>
      <c r="I3" s="8"/>
    </row>
    <row r="4" spans="1:9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7" t="s">
        <v>11</v>
      </c>
      <c r="B6" s="8"/>
      <c r="C6" s="8"/>
      <c r="D6" s="8"/>
      <c r="E6" s="8"/>
      <c r="F6" s="8"/>
      <c r="G6" s="8"/>
      <c r="H6" s="8"/>
      <c r="I6" s="8"/>
    </row>
    <row r="7" spans="1:9" x14ac:dyDescent="0.2">
      <c r="A7" s="1" t="s">
        <v>12</v>
      </c>
      <c r="B7" s="1"/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</row>
    <row r="8" spans="1:9" x14ac:dyDescent="0.2">
      <c r="A8" s="1" t="s">
        <v>20</v>
      </c>
      <c r="B8" s="1" t="s">
        <v>21</v>
      </c>
      <c r="C8" s="2">
        <f>SUM(C12:C100)</f>
        <v>148825</v>
      </c>
      <c r="D8" s="2">
        <f>SUM(D12:D100)</f>
        <v>156867</v>
      </c>
      <c r="E8" s="2">
        <f>SUM(E12:E100)</f>
        <v>0</v>
      </c>
      <c r="F8" s="2">
        <f>C8+D8+E8</f>
        <v>305692</v>
      </c>
      <c r="G8" s="3">
        <f>IF(F8=0,"",C8/F8)</f>
        <v>0.48684623738926763</v>
      </c>
      <c r="H8" s="3">
        <f>IF(F8=0,"",D8/F8)</f>
        <v>0.51315376261073242</v>
      </c>
      <c r="I8" s="1" t="s">
        <v>22</v>
      </c>
    </row>
    <row r="9" spans="1:9" x14ac:dyDescent="0.2">
      <c r="A9" s="7" t="s">
        <v>23</v>
      </c>
      <c r="B9" s="8"/>
      <c r="C9" s="8"/>
      <c r="D9" s="8"/>
      <c r="E9" s="8"/>
      <c r="F9" s="8"/>
      <c r="G9" s="8"/>
      <c r="H9" s="8"/>
      <c r="I9" s="8"/>
    </row>
    <row r="10" spans="1:9" x14ac:dyDescent="0.2">
      <c r="A10" s="7" t="s">
        <v>24</v>
      </c>
      <c r="B10" s="8"/>
      <c r="C10" s="8"/>
      <c r="D10" s="8"/>
      <c r="E10" s="8"/>
      <c r="F10" s="8"/>
      <c r="G10" s="8"/>
      <c r="H10" s="8"/>
      <c r="I10" s="8"/>
    </row>
    <row r="11" spans="1:9" ht="31.5" customHeight="1" x14ac:dyDescent="0.2">
      <c r="A11" s="1" t="s">
        <v>25</v>
      </c>
      <c r="B11" s="1" t="s">
        <v>26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27</v>
      </c>
    </row>
    <row r="12" spans="1:9" x14ac:dyDescent="0.2">
      <c r="A12" s="1" t="s">
        <v>28</v>
      </c>
      <c r="B12" s="1" t="s">
        <v>29</v>
      </c>
      <c r="C12" s="2">
        <v>143</v>
      </c>
      <c r="D12" s="2">
        <v>221</v>
      </c>
      <c r="E12" s="2"/>
      <c r="F12" s="2">
        <v>364</v>
      </c>
      <c r="G12" s="3">
        <v>0.39285714285714279</v>
      </c>
      <c r="H12" s="3">
        <v>0.6071428571428571</v>
      </c>
      <c r="I12" s="1" t="s">
        <v>30</v>
      </c>
    </row>
    <row r="13" spans="1:9" x14ac:dyDescent="0.2">
      <c r="A13" s="1" t="s">
        <v>28</v>
      </c>
      <c r="B13" s="1" t="s">
        <v>31</v>
      </c>
      <c r="C13" s="2">
        <v>96</v>
      </c>
      <c r="D13" s="2">
        <v>234</v>
      </c>
      <c r="E13" s="2"/>
      <c r="F13" s="2">
        <v>330</v>
      </c>
      <c r="G13" s="3">
        <v>0.29090909090909089</v>
      </c>
      <c r="H13" s="3">
        <v>0.70909090909090911</v>
      </c>
      <c r="I13" s="1" t="s">
        <v>30</v>
      </c>
    </row>
    <row r="14" spans="1:9" x14ac:dyDescent="0.2">
      <c r="A14" s="1" t="s">
        <v>28</v>
      </c>
      <c r="B14" s="1" t="s">
        <v>32</v>
      </c>
      <c r="C14" s="2">
        <v>114</v>
      </c>
      <c r="D14" s="2">
        <v>242</v>
      </c>
      <c r="E14" s="2"/>
      <c r="F14" s="2">
        <v>356</v>
      </c>
      <c r="G14" s="3">
        <v>0.3202247191011236</v>
      </c>
      <c r="H14" s="3">
        <v>0.6797752808988764</v>
      </c>
      <c r="I14" s="1" t="s">
        <v>30</v>
      </c>
    </row>
    <row r="15" spans="1:9" x14ac:dyDescent="0.2">
      <c r="A15" s="1" t="s">
        <v>28</v>
      </c>
      <c r="B15" s="1" t="s">
        <v>33</v>
      </c>
      <c r="C15" s="2">
        <v>343</v>
      </c>
      <c r="D15" s="2">
        <v>991</v>
      </c>
      <c r="E15" s="2"/>
      <c r="F15" s="2">
        <v>1334</v>
      </c>
      <c r="G15" s="3">
        <v>0.2571214392803598</v>
      </c>
      <c r="H15" s="3">
        <v>0.7428785607196402</v>
      </c>
      <c r="I15" s="1" t="s">
        <v>30</v>
      </c>
    </row>
    <row r="16" spans="1:9" x14ac:dyDescent="0.2">
      <c r="A16" s="1" t="s">
        <v>28</v>
      </c>
      <c r="B16" s="1" t="s">
        <v>34</v>
      </c>
      <c r="C16" s="2">
        <v>30</v>
      </c>
      <c r="D16" s="2">
        <v>63</v>
      </c>
      <c r="E16" s="2"/>
      <c r="F16" s="2">
        <v>93</v>
      </c>
      <c r="G16" s="3">
        <v>0.32258064516129031</v>
      </c>
      <c r="H16" s="3">
        <v>0.67741935483870963</v>
      </c>
      <c r="I16" s="1" t="s">
        <v>30</v>
      </c>
    </row>
    <row r="17" spans="1:9" x14ac:dyDescent="0.2">
      <c r="A17" s="1" t="s">
        <v>28</v>
      </c>
      <c r="B17" s="1" t="s">
        <v>35</v>
      </c>
      <c r="C17" s="2">
        <v>548</v>
      </c>
      <c r="D17" s="2">
        <v>1434</v>
      </c>
      <c r="E17" s="2"/>
      <c r="F17" s="2">
        <v>1982</v>
      </c>
      <c r="G17" s="3">
        <v>0.27648839556004029</v>
      </c>
      <c r="H17" s="3">
        <v>0.72351160443995965</v>
      </c>
      <c r="I17" s="1" t="s">
        <v>30</v>
      </c>
    </row>
    <row r="18" spans="1:9" x14ac:dyDescent="0.2">
      <c r="A18" s="1" t="s">
        <v>28</v>
      </c>
      <c r="B18" s="1" t="s">
        <v>36</v>
      </c>
      <c r="C18" s="2">
        <v>899</v>
      </c>
      <c r="D18" s="2">
        <v>1209</v>
      </c>
      <c r="E18" s="2"/>
      <c r="F18" s="2">
        <v>2108</v>
      </c>
      <c r="G18" s="3">
        <v>0.4264705882352941</v>
      </c>
      <c r="H18" s="3">
        <v>0.57352941176470584</v>
      </c>
      <c r="I18" s="1" t="s">
        <v>30</v>
      </c>
    </row>
    <row r="19" spans="1:9" x14ac:dyDescent="0.2">
      <c r="A19" s="1" t="s">
        <v>28</v>
      </c>
      <c r="B19" s="1" t="s">
        <v>37</v>
      </c>
      <c r="C19" s="2">
        <v>268</v>
      </c>
      <c r="D19" s="2">
        <v>537</v>
      </c>
      <c r="E19" s="2"/>
      <c r="F19" s="2">
        <v>805</v>
      </c>
      <c r="G19" s="3">
        <v>0.33291925465838512</v>
      </c>
      <c r="H19" s="3">
        <v>0.66708074534161488</v>
      </c>
      <c r="I19" s="1" t="s">
        <v>30</v>
      </c>
    </row>
    <row r="20" spans="1:9" x14ac:dyDescent="0.2">
      <c r="A20" s="1" t="s">
        <v>28</v>
      </c>
      <c r="B20" s="1" t="s">
        <v>38</v>
      </c>
      <c r="C20" s="2">
        <v>425</v>
      </c>
      <c r="D20" s="2">
        <v>658</v>
      </c>
      <c r="E20" s="2"/>
      <c r="F20" s="2">
        <v>1083</v>
      </c>
      <c r="G20" s="3">
        <v>0.39242843951985218</v>
      </c>
      <c r="H20" s="3">
        <v>0.60757156048014771</v>
      </c>
      <c r="I20" s="1" t="s">
        <v>30</v>
      </c>
    </row>
    <row r="21" spans="1:9" x14ac:dyDescent="0.2">
      <c r="A21" s="1" t="s">
        <v>28</v>
      </c>
      <c r="B21" s="1" t="s">
        <v>39</v>
      </c>
      <c r="C21" s="2">
        <v>31</v>
      </c>
      <c r="D21" s="2">
        <v>88</v>
      </c>
      <c r="E21" s="2"/>
      <c r="F21" s="2">
        <v>119</v>
      </c>
      <c r="G21" s="3">
        <v>0.26050420168067229</v>
      </c>
      <c r="H21" s="3">
        <v>0.73949579831932777</v>
      </c>
      <c r="I21" s="1" t="s">
        <v>30</v>
      </c>
    </row>
    <row r="22" spans="1:9" x14ac:dyDescent="0.2">
      <c r="A22" s="1" t="s">
        <v>28</v>
      </c>
      <c r="B22" s="1" t="s">
        <v>40</v>
      </c>
      <c r="C22" s="2">
        <v>51</v>
      </c>
      <c r="D22" s="2">
        <v>186</v>
      </c>
      <c r="E22" s="2"/>
      <c r="F22" s="2">
        <v>237</v>
      </c>
      <c r="G22" s="3">
        <v>0.2151898734177215</v>
      </c>
      <c r="H22" s="3">
        <v>0.78481012658227844</v>
      </c>
      <c r="I22" s="1" t="s">
        <v>30</v>
      </c>
    </row>
    <row r="23" spans="1:9" x14ac:dyDescent="0.2">
      <c r="A23" s="1" t="s">
        <v>28</v>
      </c>
      <c r="B23" s="1" t="s">
        <v>41</v>
      </c>
      <c r="C23" s="2">
        <v>696</v>
      </c>
      <c r="D23" s="2">
        <v>1058</v>
      </c>
      <c r="E23" s="2"/>
      <c r="F23" s="2">
        <v>1754</v>
      </c>
      <c r="G23" s="3">
        <v>0.39680729760547317</v>
      </c>
      <c r="H23" s="3">
        <v>0.60319270239452683</v>
      </c>
      <c r="I23" s="1" t="s">
        <v>30</v>
      </c>
    </row>
    <row r="24" spans="1:9" x14ac:dyDescent="0.2">
      <c r="A24" s="1" t="s">
        <v>28</v>
      </c>
      <c r="B24" s="1" t="s">
        <v>42</v>
      </c>
      <c r="C24" s="2">
        <v>398</v>
      </c>
      <c r="D24" s="2">
        <v>1003</v>
      </c>
      <c r="E24" s="2"/>
      <c r="F24" s="2">
        <v>1401</v>
      </c>
      <c r="G24" s="3">
        <v>0.28408279800142761</v>
      </c>
      <c r="H24" s="3">
        <v>0.71591720199857245</v>
      </c>
      <c r="I24" s="1" t="s">
        <v>30</v>
      </c>
    </row>
    <row r="25" spans="1:9" x14ac:dyDescent="0.2">
      <c r="A25" s="1" t="s">
        <v>28</v>
      </c>
      <c r="B25" s="1" t="s">
        <v>43</v>
      </c>
      <c r="C25" s="2">
        <v>538</v>
      </c>
      <c r="D25" s="2">
        <v>1341</v>
      </c>
      <c r="E25" s="2"/>
      <c r="F25" s="2">
        <v>1879</v>
      </c>
      <c r="G25" s="3">
        <v>0.28632251197445452</v>
      </c>
      <c r="H25" s="3">
        <v>0.71367748802554554</v>
      </c>
      <c r="I25" s="1" t="s">
        <v>30</v>
      </c>
    </row>
    <row r="26" spans="1:9" x14ac:dyDescent="0.2">
      <c r="A26" s="1" t="s">
        <v>28</v>
      </c>
      <c r="B26" s="1" t="s">
        <v>44</v>
      </c>
      <c r="C26" s="2">
        <v>491</v>
      </c>
      <c r="D26" s="2">
        <v>723</v>
      </c>
      <c r="E26" s="2"/>
      <c r="F26" s="2">
        <v>1214</v>
      </c>
      <c r="G26" s="3">
        <v>0.40444810543657328</v>
      </c>
      <c r="H26" s="3">
        <v>0.59555189456342672</v>
      </c>
      <c r="I26" s="1" t="s">
        <v>30</v>
      </c>
    </row>
    <row r="27" spans="1:9" x14ac:dyDescent="0.2">
      <c r="A27" s="1" t="s">
        <v>28</v>
      </c>
      <c r="B27" s="1" t="s">
        <v>45</v>
      </c>
      <c r="C27" s="2">
        <v>114</v>
      </c>
      <c r="D27" s="2">
        <v>416</v>
      </c>
      <c r="E27" s="2"/>
      <c r="F27" s="2">
        <v>530</v>
      </c>
      <c r="G27" s="3">
        <v>0.21509433962264149</v>
      </c>
      <c r="H27" s="3">
        <v>0.78490566037735854</v>
      </c>
      <c r="I27" s="1" t="s">
        <v>30</v>
      </c>
    </row>
    <row r="28" spans="1:9" x14ac:dyDescent="0.2">
      <c r="A28" s="1" t="s">
        <v>28</v>
      </c>
      <c r="B28" s="1" t="s">
        <v>46</v>
      </c>
      <c r="C28" s="2">
        <v>705</v>
      </c>
      <c r="D28" s="2">
        <v>1286</v>
      </c>
      <c r="E28" s="2"/>
      <c r="F28" s="2">
        <v>1991</v>
      </c>
      <c r="G28" s="3">
        <v>0.35409342039176289</v>
      </c>
      <c r="H28" s="3">
        <v>0.64590657960823705</v>
      </c>
      <c r="I28" s="1" t="s">
        <v>30</v>
      </c>
    </row>
    <row r="29" spans="1:9" x14ac:dyDescent="0.2">
      <c r="A29" s="1" t="s">
        <v>28</v>
      </c>
      <c r="B29" s="1" t="s">
        <v>47</v>
      </c>
      <c r="C29" s="2">
        <v>58</v>
      </c>
      <c r="D29" s="2">
        <v>126</v>
      </c>
      <c r="E29" s="2"/>
      <c r="F29" s="2">
        <v>184</v>
      </c>
      <c r="G29" s="3">
        <v>0.31521739130434778</v>
      </c>
      <c r="H29" s="3">
        <v>0.68478260869565222</v>
      </c>
      <c r="I29" s="1" t="s">
        <v>30</v>
      </c>
    </row>
    <row r="30" spans="1:9" x14ac:dyDescent="0.2">
      <c r="A30" s="1" t="s">
        <v>28</v>
      </c>
      <c r="B30" s="1" t="s">
        <v>48</v>
      </c>
      <c r="C30" s="2">
        <v>1578</v>
      </c>
      <c r="D30" s="2">
        <v>2894</v>
      </c>
      <c r="E30" s="2"/>
      <c r="F30" s="2">
        <v>4472</v>
      </c>
      <c r="G30" s="3">
        <v>0.35286225402504467</v>
      </c>
      <c r="H30" s="3">
        <v>0.64713774597495533</v>
      </c>
      <c r="I30" s="1" t="s">
        <v>30</v>
      </c>
    </row>
    <row r="31" spans="1:9" x14ac:dyDescent="0.2">
      <c r="A31" s="1" t="s">
        <v>28</v>
      </c>
      <c r="B31" s="1" t="s">
        <v>49</v>
      </c>
      <c r="C31" s="2">
        <v>551</v>
      </c>
      <c r="D31" s="2">
        <v>742</v>
      </c>
      <c r="E31" s="2"/>
      <c r="F31" s="2">
        <v>1293</v>
      </c>
      <c r="G31" s="3">
        <v>0.42614075792730077</v>
      </c>
      <c r="H31" s="3">
        <v>0.57385924207269912</v>
      </c>
      <c r="I31" s="1" t="s">
        <v>30</v>
      </c>
    </row>
    <row r="32" spans="1:9" x14ac:dyDescent="0.2">
      <c r="A32" s="1" t="s">
        <v>28</v>
      </c>
      <c r="B32" s="1" t="s">
        <v>50</v>
      </c>
      <c r="C32" s="2">
        <v>648</v>
      </c>
      <c r="D32" s="2">
        <v>1611</v>
      </c>
      <c r="E32" s="2"/>
      <c r="F32" s="2">
        <v>2259</v>
      </c>
      <c r="G32" s="3">
        <v>0.28685258964143429</v>
      </c>
      <c r="H32" s="3">
        <v>0.71314741035856577</v>
      </c>
      <c r="I32" s="1" t="s">
        <v>30</v>
      </c>
    </row>
    <row r="33" spans="1:9" x14ac:dyDescent="0.2">
      <c r="A33" s="1" t="s">
        <v>28</v>
      </c>
      <c r="B33" s="1" t="s">
        <v>51</v>
      </c>
      <c r="C33" s="2">
        <v>268</v>
      </c>
      <c r="D33" s="2">
        <v>645</v>
      </c>
      <c r="E33" s="2"/>
      <c r="F33" s="2">
        <v>913</v>
      </c>
      <c r="G33" s="3">
        <v>0.29353778751369108</v>
      </c>
      <c r="H33" s="3">
        <v>0.70646221248630892</v>
      </c>
      <c r="I33" s="1" t="s">
        <v>30</v>
      </c>
    </row>
    <row r="34" spans="1:9" x14ac:dyDescent="0.2">
      <c r="A34" s="1" t="s">
        <v>28</v>
      </c>
      <c r="B34" s="1" t="s">
        <v>52</v>
      </c>
      <c r="C34" s="2">
        <v>38</v>
      </c>
      <c r="D34" s="2">
        <v>69</v>
      </c>
      <c r="E34" s="2"/>
      <c r="F34" s="2">
        <v>107</v>
      </c>
      <c r="G34" s="3">
        <v>0.35514018691588778</v>
      </c>
      <c r="H34" s="3">
        <v>0.64485981308411211</v>
      </c>
      <c r="I34" s="1" t="s">
        <v>30</v>
      </c>
    </row>
    <row r="35" spans="1:9" x14ac:dyDescent="0.2">
      <c r="A35" s="1" t="s">
        <v>53</v>
      </c>
      <c r="B35" s="1" t="s">
        <v>54</v>
      </c>
      <c r="C35" s="2">
        <v>469</v>
      </c>
      <c r="D35" s="2">
        <v>592</v>
      </c>
      <c r="E35" s="2"/>
      <c r="F35" s="2">
        <v>1061</v>
      </c>
      <c r="G35" s="3">
        <v>0.44203581526861452</v>
      </c>
      <c r="H35" s="3">
        <v>0.55796418473138554</v>
      </c>
      <c r="I35" s="1" t="s">
        <v>30</v>
      </c>
    </row>
    <row r="36" spans="1:9" x14ac:dyDescent="0.2">
      <c r="A36" s="1" t="s">
        <v>53</v>
      </c>
      <c r="B36" s="1" t="s">
        <v>55</v>
      </c>
      <c r="C36" s="2">
        <v>16090</v>
      </c>
      <c r="D36" s="2">
        <v>9283</v>
      </c>
      <c r="E36" s="2"/>
      <c r="F36" s="2">
        <v>25373</v>
      </c>
      <c r="G36" s="3">
        <v>0.63413865132227165</v>
      </c>
      <c r="H36" s="3">
        <v>0.36586134867772829</v>
      </c>
      <c r="I36" s="1" t="s">
        <v>30</v>
      </c>
    </row>
    <row r="37" spans="1:9" x14ac:dyDescent="0.2">
      <c r="A37" s="1" t="s">
        <v>53</v>
      </c>
      <c r="B37" s="1" t="s">
        <v>56</v>
      </c>
      <c r="C37" s="2">
        <v>5040</v>
      </c>
      <c r="D37" s="2">
        <v>2937</v>
      </c>
      <c r="E37" s="2"/>
      <c r="F37" s="2">
        <v>7977</v>
      </c>
      <c r="G37" s="3">
        <v>0.63181647235802929</v>
      </c>
      <c r="H37" s="3">
        <v>0.36818352764197071</v>
      </c>
      <c r="I37" s="1" t="s">
        <v>30</v>
      </c>
    </row>
    <row r="38" spans="1:9" x14ac:dyDescent="0.2">
      <c r="A38" s="1" t="s">
        <v>53</v>
      </c>
      <c r="B38" s="1" t="s">
        <v>57</v>
      </c>
      <c r="C38" s="2">
        <v>1108</v>
      </c>
      <c r="D38" s="2">
        <v>1070</v>
      </c>
      <c r="E38" s="2"/>
      <c r="F38" s="2">
        <v>2178</v>
      </c>
      <c r="G38" s="3">
        <v>0.50872359963269054</v>
      </c>
      <c r="H38" s="3">
        <v>0.49127640036730952</v>
      </c>
      <c r="I38" s="1" t="s">
        <v>30</v>
      </c>
    </row>
    <row r="39" spans="1:9" x14ac:dyDescent="0.2">
      <c r="A39" s="1" t="s">
        <v>53</v>
      </c>
      <c r="B39" s="1" t="s">
        <v>58</v>
      </c>
      <c r="C39" s="2">
        <v>612</v>
      </c>
      <c r="D39" s="2">
        <v>659</v>
      </c>
      <c r="E39" s="2"/>
      <c r="F39" s="2">
        <v>1271</v>
      </c>
      <c r="G39" s="3">
        <v>0.48151062155782848</v>
      </c>
      <c r="H39" s="3">
        <v>0.51848937844217147</v>
      </c>
      <c r="I39" s="1" t="s">
        <v>30</v>
      </c>
    </row>
    <row r="40" spans="1:9" x14ac:dyDescent="0.2">
      <c r="A40" s="1" t="s">
        <v>53</v>
      </c>
      <c r="B40" s="1" t="s">
        <v>59</v>
      </c>
      <c r="C40" s="2">
        <v>692</v>
      </c>
      <c r="D40" s="2">
        <v>672</v>
      </c>
      <c r="E40" s="2"/>
      <c r="F40" s="2">
        <v>1364</v>
      </c>
      <c r="G40" s="3">
        <v>0.50733137829912023</v>
      </c>
      <c r="H40" s="3">
        <v>0.49266862170087983</v>
      </c>
      <c r="I40" s="1" t="s">
        <v>30</v>
      </c>
    </row>
    <row r="41" spans="1:9" x14ac:dyDescent="0.2">
      <c r="A41" s="1" t="s">
        <v>53</v>
      </c>
      <c r="B41" s="1" t="s">
        <v>60</v>
      </c>
      <c r="C41" s="2">
        <v>2872</v>
      </c>
      <c r="D41" s="2">
        <v>2516</v>
      </c>
      <c r="E41" s="2"/>
      <c r="F41" s="2">
        <v>5388</v>
      </c>
      <c r="G41" s="3">
        <v>0.53303637713437269</v>
      </c>
      <c r="H41" s="3">
        <v>0.46696362286562731</v>
      </c>
      <c r="I41" s="1" t="s">
        <v>30</v>
      </c>
    </row>
    <row r="42" spans="1:9" x14ac:dyDescent="0.2">
      <c r="A42" s="1" t="s">
        <v>53</v>
      </c>
      <c r="B42" s="1" t="s">
        <v>61</v>
      </c>
      <c r="C42" s="2">
        <v>1026</v>
      </c>
      <c r="D42" s="2">
        <v>580</v>
      </c>
      <c r="E42" s="2"/>
      <c r="F42" s="2">
        <v>1606</v>
      </c>
      <c r="G42" s="3">
        <v>0.63885429638854296</v>
      </c>
      <c r="H42" s="3">
        <v>0.36114570361145698</v>
      </c>
      <c r="I42" s="1" t="s">
        <v>30</v>
      </c>
    </row>
    <row r="43" spans="1:9" x14ac:dyDescent="0.2">
      <c r="A43" s="1" t="s">
        <v>53</v>
      </c>
      <c r="B43" s="1" t="s">
        <v>62</v>
      </c>
      <c r="C43" s="2">
        <v>258</v>
      </c>
      <c r="D43" s="2">
        <v>226</v>
      </c>
      <c r="E43" s="2"/>
      <c r="F43" s="2">
        <v>484</v>
      </c>
      <c r="G43" s="3">
        <v>0.53305785123966942</v>
      </c>
      <c r="H43" s="3">
        <v>0.46694214876033058</v>
      </c>
      <c r="I43" s="1" t="s">
        <v>30</v>
      </c>
    </row>
    <row r="44" spans="1:9" x14ac:dyDescent="0.2">
      <c r="A44" s="1" t="s">
        <v>53</v>
      </c>
      <c r="B44" s="1" t="s">
        <v>63</v>
      </c>
      <c r="C44" s="2">
        <v>514</v>
      </c>
      <c r="D44" s="2">
        <v>1143</v>
      </c>
      <c r="E44" s="2"/>
      <c r="F44" s="2">
        <v>1657</v>
      </c>
      <c r="G44" s="3">
        <v>0.31019915509957757</v>
      </c>
      <c r="H44" s="3">
        <v>0.68980084490042248</v>
      </c>
      <c r="I44" s="1" t="s">
        <v>30</v>
      </c>
    </row>
    <row r="45" spans="1:9" x14ac:dyDescent="0.2">
      <c r="A45" s="1" t="s">
        <v>53</v>
      </c>
      <c r="B45" s="1" t="s">
        <v>64</v>
      </c>
      <c r="C45" s="2">
        <v>8080</v>
      </c>
      <c r="D45" s="2">
        <v>8255</v>
      </c>
      <c r="E45" s="2"/>
      <c r="F45" s="2">
        <v>16335</v>
      </c>
      <c r="G45" s="3">
        <v>0.49464340373431281</v>
      </c>
      <c r="H45" s="3">
        <v>0.50535659626568719</v>
      </c>
      <c r="I45" s="1" t="s">
        <v>30</v>
      </c>
    </row>
    <row r="46" spans="1:9" x14ac:dyDescent="0.2">
      <c r="A46" s="1" t="s">
        <v>53</v>
      </c>
      <c r="B46" s="1" t="s">
        <v>65</v>
      </c>
      <c r="C46" s="2">
        <v>845</v>
      </c>
      <c r="D46" s="2">
        <v>1359</v>
      </c>
      <c r="E46" s="2"/>
      <c r="F46" s="2">
        <v>2204</v>
      </c>
      <c r="G46" s="3">
        <v>0.3833938294010889</v>
      </c>
      <c r="H46" s="3">
        <v>0.6166061705989111</v>
      </c>
      <c r="I46" s="1" t="s">
        <v>30</v>
      </c>
    </row>
    <row r="47" spans="1:9" x14ac:dyDescent="0.2">
      <c r="A47" s="1" t="s">
        <v>53</v>
      </c>
      <c r="B47" s="1" t="s">
        <v>66</v>
      </c>
      <c r="C47" s="2">
        <v>438</v>
      </c>
      <c r="D47" s="2">
        <v>799</v>
      </c>
      <c r="E47" s="2"/>
      <c r="F47" s="2">
        <v>1237</v>
      </c>
      <c r="G47" s="3">
        <v>0.35408245755860962</v>
      </c>
      <c r="H47" s="3">
        <v>0.64591754244139044</v>
      </c>
      <c r="I47" s="1" t="s">
        <v>30</v>
      </c>
    </row>
    <row r="48" spans="1:9" x14ac:dyDescent="0.2">
      <c r="A48" s="1" t="s">
        <v>53</v>
      </c>
      <c r="B48" s="1" t="s">
        <v>67</v>
      </c>
      <c r="C48" s="2">
        <v>685</v>
      </c>
      <c r="D48" s="2">
        <v>1507</v>
      </c>
      <c r="E48" s="2"/>
      <c r="F48" s="2">
        <v>2192</v>
      </c>
      <c r="G48" s="3">
        <v>0.3125</v>
      </c>
      <c r="H48" s="3">
        <v>0.6875</v>
      </c>
      <c r="I48" s="1" t="s">
        <v>30</v>
      </c>
    </row>
    <row r="49" spans="1:9" x14ac:dyDescent="0.2">
      <c r="A49" s="1" t="s">
        <v>53</v>
      </c>
      <c r="B49" s="1" t="s">
        <v>68</v>
      </c>
      <c r="C49" s="2">
        <v>796</v>
      </c>
      <c r="D49" s="2">
        <v>717</v>
      </c>
      <c r="E49" s="2"/>
      <c r="F49" s="2">
        <v>1513</v>
      </c>
      <c r="G49" s="3">
        <v>0.52610707204230012</v>
      </c>
      <c r="H49" s="3">
        <v>0.47389292795769988</v>
      </c>
      <c r="I49" s="1" t="s">
        <v>30</v>
      </c>
    </row>
    <row r="50" spans="1:9" x14ac:dyDescent="0.2">
      <c r="A50" s="1" t="s">
        <v>53</v>
      </c>
      <c r="B50" s="1" t="s">
        <v>69</v>
      </c>
      <c r="C50" s="2">
        <v>3194</v>
      </c>
      <c r="D50" s="2">
        <v>4702</v>
      </c>
      <c r="E50" s="2"/>
      <c r="F50" s="2">
        <v>7896</v>
      </c>
      <c r="G50" s="3">
        <v>0.40450861195542048</v>
      </c>
      <c r="H50" s="3">
        <v>0.59549138804457957</v>
      </c>
      <c r="I50" s="1" t="s">
        <v>30</v>
      </c>
    </row>
    <row r="51" spans="1:9" x14ac:dyDescent="0.2">
      <c r="A51" s="1" t="s">
        <v>53</v>
      </c>
      <c r="B51" s="1" t="s">
        <v>70</v>
      </c>
      <c r="C51" s="2">
        <v>3168</v>
      </c>
      <c r="D51" s="2">
        <v>3262</v>
      </c>
      <c r="E51" s="2"/>
      <c r="F51" s="2">
        <v>6430</v>
      </c>
      <c r="G51" s="3">
        <v>0.49269051321928459</v>
      </c>
      <c r="H51" s="3">
        <v>0.50730948678071541</v>
      </c>
      <c r="I51" s="1" t="s">
        <v>30</v>
      </c>
    </row>
    <row r="52" spans="1:9" x14ac:dyDescent="0.2">
      <c r="A52" s="1" t="s">
        <v>53</v>
      </c>
      <c r="B52" s="1" t="s">
        <v>71</v>
      </c>
      <c r="C52" s="2">
        <v>582</v>
      </c>
      <c r="D52" s="2">
        <v>808</v>
      </c>
      <c r="E52" s="2"/>
      <c r="F52" s="2">
        <v>1390</v>
      </c>
      <c r="G52" s="3">
        <v>0.41870503597122299</v>
      </c>
      <c r="H52" s="3">
        <v>0.58129496402877701</v>
      </c>
      <c r="I52" s="1" t="s">
        <v>30</v>
      </c>
    </row>
    <row r="53" spans="1:9" x14ac:dyDescent="0.2">
      <c r="A53" s="1" t="s">
        <v>53</v>
      </c>
      <c r="B53" s="1" t="s">
        <v>72</v>
      </c>
      <c r="C53" s="2">
        <v>5587</v>
      </c>
      <c r="D53" s="2">
        <v>4899</v>
      </c>
      <c r="E53" s="2"/>
      <c r="F53" s="2">
        <v>10486</v>
      </c>
      <c r="G53" s="3">
        <v>0.53280564562273502</v>
      </c>
      <c r="H53" s="3">
        <v>0.46719435437726492</v>
      </c>
      <c r="I53" s="1" t="s">
        <v>30</v>
      </c>
    </row>
    <row r="54" spans="1:9" x14ac:dyDescent="0.2">
      <c r="A54" s="1" t="s">
        <v>53</v>
      </c>
      <c r="B54" s="1" t="s">
        <v>73</v>
      </c>
      <c r="C54" s="2">
        <v>6126</v>
      </c>
      <c r="D54" s="2">
        <v>5904</v>
      </c>
      <c r="E54" s="2"/>
      <c r="F54" s="2">
        <v>12030</v>
      </c>
      <c r="G54" s="3">
        <v>0.50922693266832919</v>
      </c>
      <c r="H54" s="3">
        <v>0.49077306733167081</v>
      </c>
      <c r="I54" s="1" t="s">
        <v>30</v>
      </c>
    </row>
    <row r="55" spans="1:9" x14ac:dyDescent="0.2">
      <c r="A55" s="1" t="s">
        <v>53</v>
      </c>
      <c r="B55" s="1" t="s">
        <v>74</v>
      </c>
      <c r="C55" s="2">
        <v>1998</v>
      </c>
      <c r="D55" s="2">
        <v>2615</v>
      </c>
      <c r="E55" s="2"/>
      <c r="F55" s="2">
        <v>4613</v>
      </c>
      <c r="G55" s="3">
        <v>0.43312378061998702</v>
      </c>
      <c r="H55" s="3">
        <v>0.56687621938001298</v>
      </c>
      <c r="I55" s="1" t="s">
        <v>30</v>
      </c>
    </row>
    <row r="56" spans="1:9" x14ac:dyDescent="0.2">
      <c r="A56" s="1" t="s">
        <v>53</v>
      </c>
      <c r="B56" s="1" t="s">
        <v>75</v>
      </c>
      <c r="C56" s="2">
        <v>4552</v>
      </c>
      <c r="D56" s="2">
        <v>4792</v>
      </c>
      <c r="E56" s="2"/>
      <c r="F56" s="2">
        <v>9344</v>
      </c>
      <c r="G56" s="3">
        <v>0.48715753424657532</v>
      </c>
      <c r="H56" s="3">
        <v>0.51284246575342463</v>
      </c>
      <c r="I56" s="1" t="s">
        <v>30</v>
      </c>
    </row>
    <row r="57" spans="1:9" x14ac:dyDescent="0.2">
      <c r="A57" s="1" t="s">
        <v>53</v>
      </c>
      <c r="B57" s="1" t="s">
        <v>76</v>
      </c>
      <c r="C57" s="2">
        <v>991</v>
      </c>
      <c r="D57" s="2">
        <v>2112</v>
      </c>
      <c r="E57" s="2"/>
      <c r="F57" s="2">
        <v>3103</v>
      </c>
      <c r="G57" s="3">
        <v>0.31936835320657431</v>
      </c>
      <c r="H57" s="3">
        <v>0.68063164679342569</v>
      </c>
      <c r="I57" s="1" t="s">
        <v>30</v>
      </c>
    </row>
    <row r="58" spans="1:9" x14ac:dyDescent="0.2">
      <c r="A58" s="1" t="s">
        <v>53</v>
      </c>
      <c r="B58" s="1" t="s">
        <v>77</v>
      </c>
      <c r="C58" s="2">
        <v>950</v>
      </c>
      <c r="D58" s="2">
        <v>1790</v>
      </c>
      <c r="E58" s="2"/>
      <c r="F58" s="2">
        <v>2740</v>
      </c>
      <c r="G58" s="3">
        <v>0.34671532846715331</v>
      </c>
      <c r="H58" s="3">
        <v>0.65328467153284675</v>
      </c>
      <c r="I58" s="1" t="s">
        <v>30</v>
      </c>
    </row>
    <row r="59" spans="1:9" x14ac:dyDescent="0.2">
      <c r="A59" s="1" t="s">
        <v>53</v>
      </c>
      <c r="B59" s="1" t="s">
        <v>78</v>
      </c>
      <c r="C59" s="2">
        <v>5356</v>
      </c>
      <c r="D59" s="2">
        <v>5148</v>
      </c>
      <c r="E59" s="2"/>
      <c r="F59" s="2">
        <v>10504</v>
      </c>
      <c r="G59" s="3">
        <v>0.50990099009900991</v>
      </c>
      <c r="H59" s="3">
        <v>0.49009900990099009</v>
      </c>
      <c r="I59" s="1" t="s">
        <v>30</v>
      </c>
    </row>
    <row r="60" spans="1:9" x14ac:dyDescent="0.2">
      <c r="A60" s="1" t="s">
        <v>79</v>
      </c>
      <c r="B60" s="1" t="s">
        <v>80</v>
      </c>
      <c r="C60" s="2">
        <v>1024</v>
      </c>
      <c r="D60" s="2">
        <v>2126</v>
      </c>
      <c r="E60" s="2"/>
      <c r="F60" s="2">
        <v>3150</v>
      </c>
      <c r="G60" s="3">
        <v>0.32507936507936508</v>
      </c>
      <c r="H60" s="3">
        <v>0.67492063492063492</v>
      </c>
      <c r="I60" s="1" t="s">
        <v>30</v>
      </c>
    </row>
    <row r="61" spans="1:9" x14ac:dyDescent="0.2">
      <c r="A61" s="1" t="s">
        <v>79</v>
      </c>
      <c r="B61" s="1" t="s">
        <v>81</v>
      </c>
      <c r="C61" s="2">
        <v>363</v>
      </c>
      <c r="D61" s="2">
        <v>871</v>
      </c>
      <c r="E61" s="2"/>
      <c r="F61" s="2">
        <v>1234</v>
      </c>
      <c r="G61" s="3">
        <v>0.29416531604538088</v>
      </c>
      <c r="H61" s="3">
        <v>0.70583468395461912</v>
      </c>
      <c r="I61" s="1" t="s">
        <v>30</v>
      </c>
    </row>
    <row r="62" spans="1:9" x14ac:dyDescent="0.2">
      <c r="A62" s="1" t="s">
        <v>79</v>
      </c>
      <c r="B62" s="1" t="s">
        <v>82</v>
      </c>
      <c r="C62" s="2">
        <v>400</v>
      </c>
      <c r="D62" s="2">
        <v>770</v>
      </c>
      <c r="E62" s="2"/>
      <c r="F62" s="2">
        <v>1170</v>
      </c>
      <c r="G62" s="3">
        <v>0.34188034188034189</v>
      </c>
      <c r="H62" s="3">
        <v>0.65811965811965811</v>
      </c>
      <c r="I62" s="1" t="s">
        <v>30</v>
      </c>
    </row>
    <row r="63" spans="1:9" x14ac:dyDescent="0.2">
      <c r="A63" s="1" t="s">
        <v>83</v>
      </c>
      <c r="B63" s="1" t="s">
        <v>84</v>
      </c>
      <c r="C63" s="2">
        <v>1157</v>
      </c>
      <c r="D63" s="2">
        <v>1550</v>
      </c>
      <c r="E63" s="2"/>
      <c r="F63" s="2">
        <v>2707</v>
      </c>
      <c r="G63" s="3">
        <v>0.42741041743627628</v>
      </c>
      <c r="H63" s="3">
        <v>0.57258958256372372</v>
      </c>
      <c r="I63" s="1" t="s">
        <v>30</v>
      </c>
    </row>
    <row r="64" spans="1:9" x14ac:dyDescent="0.2">
      <c r="A64" s="1" t="s">
        <v>83</v>
      </c>
      <c r="B64" s="1" t="s">
        <v>85</v>
      </c>
      <c r="C64" s="2">
        <v>702</v>
      </c>
      <c r="D64" s="2">
        <v>986</v>
      </c>
      <c r="E64" s="2"/>
      <c r="F64" s="2">
        <v>1688</v>
      </c>
      <c r="G64" s="3">
        <v>0.41587677725118483</v>
      </c>
      <c r="H64" s="3">
        <v>0.58412322274881512</v>
      </c>
      <c r="I64" s="1" t="s">
        <v>30</v>
      </c>
    </row>
    <row r="65" spans="1:9" x14ac:dyDescent="0.2">
      <c r="A65" s="1" t="s">
        <v>83</v>
      </c>
      <c r="B65" s="1" t="s">
        <v>86</v>
      </c>
      <c r="C65" s="2">
        <v>476</v>
      </c>
      <c r="D65" s="2">
        <v>540</v>
      </c>
      <c r="E65" s="2"/>
      <c r="F65" s="2">
        <v>1016</v>
      </c>
      <c r="G65" s="3">
        <v>0.46850393700787402</v>
      </c>
      <c r="H65" s="3">
        <v>0.53149606299212604</v>
      </c>
      <c r="I65" s="1" t="s">
        <v>30</v>
      </c>
    </row>
    <row r="66" spans="1:9" x14ac:dyDescent="0.2">
      <c r="A66" s="1" t="s">
        <v>83</v>
      </c>
      <c r="B66" s="1" t="s">
        <v>56</v>
      </c>
      <c r="C66" s="2">
        <v>12210</v>
      </c>
      <c r="D66" s="2">
        <v>6323</v>
      </c>
      <c r="E66" s="2"/>
      <c r="F66" s="2">
        <v>18533</v>
      </c>
      <c r="G66" s="3">
        <v>0.65882479900717639</v>
      </c>
      <c r="H66" s="3">
        <v>0.34117520099282361</v>
      </c>
      <c r="I66" s="1" t="s">
        <v>30</v>
      </c>
    </row>
    <row r="67" spans="1:9" x14ac:dyDescent="0.2">
      <c r="A67" s="1" t="s">
        <v>83</v>
      </c>
      <c r="B67" s="1" t="s">
        <v>87</v>
      </c>
      <c r="C67" s="2">
        <v>6785</v>
      </c>
      <c r="D67" s="2">
        <v>5964</v>
      </c>
      <c r="E67" s="2"/>
      <c r="F67" s="2">
        <v>12749</v>
      </c>
      <c r="G67" s="3">
        <v>0.53219860381206374</v>
      </c>
      <c r="H67" s="3">
        <v>0.46780139618793631</v>
      </c>
      <c r="I67" s="1" t="s">
        <v>30</v>
      </c>
    </row>
    <row r="68" spans="1:9" x14ac:dyDescent="0.2">
      <c r="A68" s="1" t="s">
        <v>83</v>
      </c>
      <c r="B68" s="1" t="s">
        <v>88</v>
      </c>
      <c r="C68" s="2">
        <v>1713</v>
      </c>
      <c r="D68" s="2">
        <v>2709</v>
      </c>
      <c r="E68" s="2"/>
      <c r="F68" s="2">
        <v>4422</v>
      </c>
      <c r="G68" s="3">
        <v>0.38738127544097689</v>
      </c>
      <c r="H68" s="3">
        <v>0.61261872455902311</v>
      </c>
      <c r="I68" s="1" t="s">
        <v>30</v>
      </c>
    </row>
    <row r="69" spans="1:9" x14ac:dyDescent="0.2">
      <c r="A69" s="1" t="s">
        <v>83</v>
      </c>
      <c r="B69" s="1" t="s">
        <v>89</v>
      </c>
      <c r="C69" s="2">
        <v>33</v>
      </c>
      <c r="D69" s="2">
        <v>65</v>
      </c>
      <c r="E69" s="2"/>
      <c r="F69" s="2">
        <v>98</v>
      </c>
      <c r="G69" s="3">
        <v>0.33673469387755101</v>
      </c>
      <c r="H69" s="3">
        <v>0.66326530612244894</v>
      </c>
      <c r="I69" s="1" t="s">
        <v>30</v>
      </c>
    </row>
    <row r="70" spans="1:9" x14ac:dyDescent="0.2">
      <c r="A70" s="1" t="s">
        <v>83</v>
      </c>
      <c r="B70" s="1" t="s">
        <v>90</v>
      </c>
      <c r="C70" s="2">
        <v>1140</v>
      </c>
      <c r="D70" s="2">
        <v>1501</v>
      </c>
      <c r="E70" s="2"/>
      <c r="F70" s="2">
        <v>2641</v>
      </c>
      <c r="G70" s="3">
        <v>0.43165467625899279</v>
      </c>
      <c r="H70" s="3">
        <v>0.56834532374100721</v>
      </c>
      <c r="I70" s="1" t="s">
        <v>30</v>
      </c>
    </row>
    <row r="71" spans="1:9" x14ac:dyDescent="0.2">
      <c r="A71" s="1" t="s">
        <v>83</v>
      </c>
      <c r="B71" s="1" t="s">
        <v>91</v>
      </c>
      <c r="C71" s="2">
        <v>147</v>
      </c>
      <c r="D71" s="2">
        <v>213</v>
      </c>
      <c r="E71" s="2"/>
      <c r="F71" s="2">
        <v>360</v>
      </c>
      <c r="G71" s="3">
        <v>0.40833333333333333</v>
      </c>
      <c r="H71" s="3">
        <v>0.59166666666666667</v>
      </c>
      <c r="I71" s="1" t="s">
        <v>30</v>
      </c>
    </row>
    <row r="72" spans="1:9" x14ac:dyDescent="0.2">
      <c r="A72" s="1" t="s">
        <v>83</v>
      </c>
      <c r="B72" s="1" t="s">
        <v>92</v>
      </c>
      <c r="C72" s="2">
        <v>5009</v>
      </c>
      <c r="D72" s="2">
        <v>2288</v>
      </c>
      <c r="E72" s="2"/>
      <c r="F72" s="2">
        <v>7297</v>
      </c>
      <c r="G72" s="3">
        <v>0.6864464848567905</v>
      </c>
      <c r="H72" s="3">
        <v>0.31355351514320962</v>
      </c>
      <c r="I72" s="1" t="s">
        <v>30</v>
      </c>
    </row>
    <row r="73" spans="1:9" x14ac:dyDescent="0.2">
      <c r="A73" s="1" t="s">
        <v>83</v>
      </c>
      <c r="B73" s="1" t="s">
        <v>93</v>
      </c>
      <c r="C73" s="2">
        <v>4206</v>
      </c>
      <c r="D73" s="2">
        <v>3969</v>
      </c>
      <c r="E73" s="2"/>
      <c r="F73" s="2">
        <v>8175</v>
      </c>
      <c r="G73" s="3">
        <v>0.51449541284403666</v>
      </c>
      <c r="H73" s="3">
        <v>0.48550458715596329</v>
      </c>
      <c r="I73" s="1" t="s">
        <v>30</v>
      </c>
    </row>
    <row r="74" spans="1:9" x14ac:dyDescent="0.2">
      <c r="A74" s="1" t="s">
        <v>83</v>
      </c>
      <c r="B74" s="1" t="s">
        <v>94</v>
      </c>
      <c r="C74" s="2">
        <v>476</v>
      </c>
      <c r="D74" s="2">
        <v>335</v>
      </c>
      <c r="E74" s="2"/>
      <c r="F74" s="2">
        <v>811</v>
      </c>
      <c r="G74" s="3">
        <v>0.58692971639950675</v>
      </c>
      <c r="H74" s="3">
        <v>0.41307028360049319</v>
      </c>
      <c r="I74" s="1" t="s">
        <v>30</v>
      </c>
    </row>
    <row r="75" spans="1:9" x14ac:dyDescent="0.2">
      <c r="A75" s="1" t="s">
        <v>83</v>
      </c>
      <c r="B75" s="1" t="s">
        <v>95</v>
      </c>
      <c r="C75" s="2">
        <v>75</v>
      </c>
      <c r="D75" s="2">
        <v>68</v>
      </c>
      <c r="E75" s="2"/>
      <c r="F75" s="2">
        <v>143</v>
      </c>
      <c r="G75" s="3">
        <v>0.52447552447552448</v>
      </c>
      <c r="H75" s="3">
        <v>0.47552447552447552</v>
      </c>
      <c r="I75" s="1" t="s">
        <v>30</v>
      </c>
    </row>
    <row r="76" spans="1:9" x14ac:dyDescent="0.2">
      <c r="A76" s="1" t="s">
        <v>83</v>
      </c>
      <c r="B76" s="1" t="s">
        <v>62</v>
      </c>
      <c r="C76" s="2">
        <v>3501</v>
      </c>
      <c r="D76" s="2">
        <v>2922</v>
      </c>
      <c r="E76" s="2"/>
      <c r="F76" s="2">
        <v>6423</v>
      </c>
      <c r="G76" s="3">
        <v>0.54507239607659974</v>
      </c>
      <c r="H76" s="3">
        <v>0.45492760392340031</v>
      </c>
      <c r="I76" s="1" t="s">
        <v>30</v>
      </c>
    </row>
    <row r="77" spans="1:9" x14ac:dyDescent="0.2">
      <c r="A77" s="1" t="s">
        <v>83</v>
      </c>
      <c r="B77" s="1" t="s">
        <v>96</v>
      </c>
      <c r="C77" s="2">
        <v>1329</v>
      </c>
      <c r="D77" s="2">
        <v>1299</v>
      </c>
      <c r="E77" s="2"/>
      <c r="F77" s="2">
        <v>2628</v>
      </c>
      <c r="G77" s="3">
        <v>0.50570776255707761</v>
      </c>
      <c r="H77" s="3">
        <v>0.49429223744292239</v>
      </c>
      <c r="I77" s="1" t="s">
        <v>30</v>
      </c>
    </row>
    <row r="78" spans="1:9" x14ac:dyDescent="0.2">
      <c r="A78" s="1" t="s">
        <v>83</v>
      </c>
      <c r="B78" s="1" t="s">
        <v>97</v>
      </c>
      <c r="C78" s="2">
        <v>1793</v>
      </c>
      <c r="D78" s="2">
        <v>3547</v>
      </c>
      <c r="E78" s="2"/>
      <c r="F78" s="2">
        <v>5340</v>
      </c>
      <c r="G78" s="3">
        <v>0.33576779026217229</v>
      </c>
      <c r="H78" s="3">
        <v>0.66423220973782771</v>
      </c>
      <c r="I78" s="1" t="s">
        <v>30</v>
      </c>
    </row>
    <row r="79" spans="1:9" x14ac:dyDescent="0.2">
      <c r="A79" s="1" t="s">
        <v>83</v>
      </c>
      <c r="B79" s="1" t="s">
        <v>98</v>
      </c>
      <c r="C79" s="2">
        <v>482</v>
      </c>
      <c r="D79" s="2">
        <v>956</v>
      </c>
      <c r="E79" s="2"/>
      <c r="F79" s="2">
        <v>1438</v>
      </c>
      <c r="G79" s="3">
        <v>0.33518776077885948</v>
      </c>
      <c r="H79" s="3">
        <v>0.66481223922114052</v>
      </c>
      <c r="I79" s="1" t="s">
        <v>30</v>
      </c>
    </row>
    <row r="80" spans="1:9" x14ac:dyDescent="0.2">
      <c r="A80" s="1" t="s">
        <v>83</v>
      </c>
      <c r="B80" s="1" t="s">
        <v>99</v>
      </c>
      <c r="C80" s="2">
        <v>1685</v>
      </c>
      <c r="D80" s="2">
        <v>2036</v>
      </c>
      <c r="E80" s="2"/>
      <c r="F80" s="2">
        <v>3721</v>
      </c>
      <c r="G80" s="3">
        <v>0.45283525933888741</v>
      </c>
      <c r="H80" s="3">
        <v>0.54716474066111265</v>
      </c>
      <c r="I80" s="1" t="s">
        <v>30</v>
      </c>
    </row>
    <row r="81" spans="1:9" x14ac:dyDescent="0.2">
      <c r="A81" s="1" t="s">
        <v>83</v>
      </c>
      <c r="B81" s="1" t="s">
        <v>100</v>
      </c>
      <c r="C81" s="2">
        <v>2807</v>
      </c>
      <c r="D81" s="2">
        <v>3118</v>
      </c>
      <c r="E81" s="2"/>
      <c r="F81" s="2">
        <v>5925</v>
      </c>
      <c r="G81" s="3">
        <v>0.47375527426160341</v>
      </c>
      <c r="H81" s="3">
        <v>0.52624472573839665</v>
      </c>
      <c r="I81" s="1" t="s">
        <v>30</v>
      </c>
    </row>
    <row r="82" spans="1:9" x14ac:dyDescent="0.2">
      <c r="A82" s="1" t="s">
        <v>83</v>
      </c>
      <c r="B82" s="1" t="s">
        <v>101</v>
      </c>
      <c r="C82" s="2">
        <v>1594</v>
      </c>
      <c r="D82" s="2">
        <v>3255</v>
      </c>
      <c r="E82" s="2"/>
      <c r="F82" s="2">
        <v>4849</v>
      </c>
      <c r="G82" s="3">
        <v>0.32872757269540109</v>
      </c>
      <c r="H82" s="3">
        <v>0.67127242730459891</v>
      </c>
      <c r="I82" s="1" t="s">
        <v>30</v>
      </c>
    </row>
    <row r="83" spans="1:9" x14ac:dyDescent="0.2">
      <c r="A83" s="1" t="s">
        <v>83</v>
      </c>
      <c r="B83" s="1" t="s">
        <v>102</v>
      </c>
      <c r="C83" s="2">
        <v>1242</v>
      </c>
      <c r="D83" s="2">
        <v>1272</v>
      </c>
      <c r="E83" s="2"/>
      <c r="F83" s="2">
        <v>2514</v>
      </c>
      <c r="G83" s="3">
        <v>0.49403341288782809</v>
      </c>
      <c r="H83" s="3">
        <v>0.5059665871121718</v>
      </c>
      <c r="I83" s="1" t="s">
        <v>30</v>
      </c>
    </row>
    <row r="84" spans="1:9" x14ac:dyDescent="0.2">
      <c r="A84" s="1" t="s">
        <v>83</v>
      </c>
      <c r="B84" s="1" t="s">
        <v>103</v>
      </c>
      <c r="C84" s="2">
        <v>700</v>
      </c>
      <c r="D84" s="2">
        <v>727</v>
      </c>
      <c r="E84" s="2"/>
      <c r="F84" s="2">
        <v>1427</v>
      </c>
      <c r="G84" s="3">
        <v>0.49053959355290822</v>
      </c>
      <c r="H84" s="3">
        <v>0.50946040644709178</v>
      </c>
      <c r="I84" s="1" t="s">
        <v>30</v>
      </c>
    </row>
    <row r="85" spans="1:9" x14ac:dyDescent="0.2">
      <c r="A85" s="1" t="s">
        <v>83</v>
      </c>
      <c r="B85" s="1" t="s">
        <v>104</v>
      </c>
      <c r="C85" s="2">
        <v>1928</v>
      </c>
      <c r="D85" s="2">
        <v>2236</v>
      </c>
      <c r="E85" s="2"/>
      <c r="F85" s="2">
        <v>4164</v>
      </c>
      <c r="G85" s="3">
        <v>0.46301633045148888</v>
      </c>
      <c r="H85" s="3">
        <v>0.53698366954851107</v>
      </c>
      <c r="I85" s="1" t="s">
        <v>30</v>
      </c>
    </row>
    <row r="86" spans="1:9" x14ac:dyDescent="0.2">
      <c r="A86" s="1" t="s">
        <v>83</v>
      </c>
      <c r="B86" s="1" t="s">
        <v>105</v>
      </c>
      <c r="C86" s="2">
        <v>5417</v>
      </c>
      <c r="D86" s="2">
        <v>5240</v>
      </c>
      <c r="E86" s="2"/>
      <c r="F86" s="2">
        <v>10657</v>
      </c>
      <c r="G86" s="3">
        <v>0.50830440086328232</v>
      </c>
      <c r="H86" s="3">
        <v>0.49169559913671768</v>
      </c>
      <c r="I86" s="1" t="s">
        <v>30</v>
      </c>
    </row>
    <row r="87" spans="1:9" x14ac:dyDescent="0.2">
      <c r="A87" s="1" t="s">
        <v>83</v>
      </c>
      <c r="B87" s="1" t="s">
        <v>106</v>
      </c>
      <c r="C87" s="2">
        <v>511</v>
      </c>
      <c r="D87" s="2">
        <v>851</v>
      </c>
      <c r="E87" s="2"/>
      <c r="F87" s="2">
        <v>1362</v>
      </c>
      <c r="G87" s="3">
        <v>0.37518355359765049</v>
      </c>
      <c r="H87" s="3">
        <v>0.62481644640234946</v>
      </c>
      <c r="I87" s="1" t="s">
        <v>30</v>
      </c>
    </row>
    <row r="88" spans="1:9" x14ac:dyDescent="0.2">
      <c r="A88" s="1" t="s">
        <v>83</v>
      </c>
      <c r="B88" s="1" t="s">
        <v>107</v>
      </c>
      <c r="C88" s="2">
        <v>1074</v>
      </c>
      <c r="D88" s="2">
        <v>2048</v>
      </c>
      <c r="E88" s="2"/>
      <c r="F88" s="2">
        <v>3122</v>
      </c>
      <c r="G88" s="3">
        <v>0.34401024983984618</v>
      </c>
      <c r="H88" s="3">
        <v>0.65598975016015371</v>
      </c>
      <c r="I88" s="1" t="s">
        <v>30</v>
      </c>
    </row>
    <row r="89" spans="1:9" x14ac:dyDescent="0.2">
      <c r="A89" s="1" t="s">
        <v>83</v>
      </c>
      <c r="B89" s="1" t="s">
        <v>108</v>
      </c>
      <c r="C89" s="2">
        <v>70</v>
      </c>
      <c r="D89" s="2">
        <v>126</v>
      </c>
      <c r="E89" s="2"/>
      <c r="F89" s="2">
        <v>196</v>
      </c>
      <c r="G89" s="3">
        <v>0.35714285714285721</v>
      </c>
      <c r="H89" s="3">
        <v>0.6428571428571429</v>
      </c>
      <c r="I89" s="1" t="s">
        <v>30</v>
      </c>
    </row>
    <row r="90" spans="1:9" x14ac:dyDescent="0.2">
      <c r="A90" s="1" t="s">
        <v>83</v>
      </c>
      <c r="B90" s="1" t="s">
        <v>109</v>
      </c>
      <c r="C90" s="2">
        <v>253</v>
      </c>
      <c r="D90" s="2">
        <v>431</v>
      </c>
      <c r="E90" s="2"/>
      <c r="F90" s="2">
        <v>684</v>
      </c>
      <c r="G90" s="3">
        <v>0.36988304093567248</v>
      </c>
      <c r="H90" s="3">
        <v>0.63011695906432752</v>
      </c>
      <c r="I90" s="1" t="s">
        <v>30</v>
      </c>
    </row>
    <row r="91" spans="1:9" x14ac:dyDescent="0.2">
      <c r="A91" s="1" t="s">
        <v>83</v>
      </c>
      <c r="B91" s="1" t="s">
        <v>110</v>
      </c>
      <c r="C91" s="2">
        <v>155</v>
      </c>
      <c r="D91" s="2">
        <v>233</v>
      </c>
      <c r="E91" s="2"/>
      <c r="F91" s="2">
        <v>388</v>
      </c>
      <c r="G91" s="3">
        <v>0.39948453608247431</v>
      </c>
      <c r="H91" s="3">
        <v>0.60051546391752575</v>
      </c>
      <c r="I91" s="1" t="s">
        <v>30</v>
      </c>
    </row>
    <row r="92" spans="1:9" x14ac:dyDescent="0.2">
      <c r="A92" s="1" t="s">
        <v>83</v>
      </c>
      <c r="B92" s="1" t="s">
        <v>111</v>
      </c>
      <c r="C92" s="2">
        <v>252</v>
      </c>
      <c r="D92" s="2">
        <v>350</v>
      </c>
      <c r="E92" s="2"/>
      <c r="F92" s="2">
        <v>602</v>
      </c>
      <c r="G92" s="3">
        <v>0.41860465116279072</v>
      </c>
      <c r="H92" s="3">
        <v>0.58139534883720934</v>
      </c>
      <c r="I92" s="1" t="s">
        <v>30</v>
      </c>
    </row>
    <row r="93" spans="1:9" x14ac:dyDescent="0.2">
      <c r="A93" s="1" t="s">
        <v>83</v>
      </c>
      <c r="B93" s="1" t="s">
        <v>112</v>
      </c>
      <c r="C93" s="2">
        <v>976</v>
      </c>
      <c r="D93" s="2">
        <v>2171</v>
      </c>
      <c r="E93" s="2"/>
      <c r="F93" s="2">
        <v>3147</v>
      </c>
      <c r="G93" s="3">
        <v>0.31013663806800129</v>
      </c>
      <c r="H93" s="3">
        <v>0.68986336193199871</v>
      </c>
      <c r="I93" s="1" t="s">
        <v>30</v>
      </c>
    </row>
    <row r="94" spans="1:9" x14ac:dyDescent="0.2">
      <c r="A94" s="1" t="s">
        <v>83</v>
      </c>
      <c r="B94" s="1" t="s">
        <v>113</v>
      </c>
      <c r="C94" s="2">
        <v>1569</v>
      </c>
      <c r="D94" s="2">
        <v>1709</v>
      </c>
      <c r="E94" s="2"/>
      <c r="F94" s="2">
        <v>3278</v>
      </c>
      <c r="G94" s="3">
        <v>0.47864551555826718</v>
      </c>
      <c r="H94" s="3">
        <v>0.52135448444173271</v>
      </c>
      <c r="I94" s="1" t="s">
        <v>30</v>
      </c>
    </row>
    <row r="95" spans="1:9" x14ac:dyDescent="0.2">
      <c r="A95" s="1" t="s">
        <v>83</v>
      </c>
      <c r="B95" s="1" t="s">
        <v>114</v>
      </c>
      <c r="C95" s="2">
        <v>301</v>
      </c>
      <c r="D95" s="2">
        <v>461</v>
      </c>
      <c r="E95" s="2"/>
      <c r="F95" s="2">
        <v>762</v>
      </c>
      <c r="G95" s="3">
        <v>0.39501312335958011</v>
      </c>
      <c r="H95" s="3">
        <v>0.60498687664041995</v>
      </c>
      <c r="I95" s="1" t="s">
        <v>30</v>
      </c>
    </row>
    <row r="96" spans="1:9" x14ac:dyDescent="0.2">
      <c r="A96" s="1" t="s">
        <v>83</v>
      </c>
      <c r="B96" s="1" t="s">
        <v>115</v>
      </c>
      <c r="C96" s="2">
        <v>778</v>
      </c>
      <c r="D96" s="2">
        <v>1609</v>
      </c>
      <c r="E96" s="2"/>
      <c r="F96" s="2">
        <v>2387</v>
      </c>
      <c r="G96" s="3">
        <v>0.3259321323837453</v>
      </c>
      <c r="H96" s="3">
        <v>0.6740678676162547</v>
      </c>
      <c r="I96" s="1" t="s">
        <v>30</v>
      </c>
    </row>
    <row r="97" spans="1:9" x14ac:dyDescent="0.2">
      <c r="A97" s="1" t="s">
        <v>83</v>
      </c>
      <c r="B97" s="1" t="s">
        <v>116</v>
      </c>
      <c r="C97" s="2">
        <v>208</v>
      </c>
      <c r="D97" s="2">
        <v>230</v>
      </c>
      <c r="E97" s="2"/>
      <c r="F97" s="2">
        <v>438</v>
      </c>
      <c r="G97" s="3">
        <v>0.47488584474885842</v>
      </c>
      <c r="H97" s="3">
        <v>0.52511415525114158</v>
      </c>
      <c r="I97" s="1" t="s">
        <v>30</v>
      </c>
    </row>
    <row r="98" spans="1:9" x14ac:dyDescent="0.2">
      <c r="A98" s="1" t="s">
        <v>83</v>
      </c>
      <c r="B98" s="1" t="s">
        <v>117</v>
      </c>
      <c r="C98" s="2">
        <v>1449</v>
      </c>
      <c r="D98" s="2">
        <v>1917</v>
      </c>
      <c r="E98" s="2"/>
      <c r="F98" s="2">
        <v>3366</v>
      </c>
      <c r="G98" s="3">
        <v>0.43048128342245989</v>
      </c>
      <c r="H98" s="3">
        <v>0.56951871657754005</v>
      </c>
      <c r="I98" s="1" t="s">
        <v>30</v>
      </c>
    </row>
    <row r="99" spans="1:9" x14ac:dyDescent="0.2">
      <c r="A99" s="1" t="s">
        <v>83</v>
      </c>
      <c r="B99" s="1" t="s">
        <v>118</v>
      </c>
      <c r="C99" s="2">
        <v>1282</v>
      </c>
      <c r="D99" s="2">
        <v>1068</v>
      </c>
      <c r="E99" s="2"/>
      <c r="F99" s="2">
        <v>2350</v>
      </c>
      <c r="G99" s="3">
        <v>0.54553191489361708</v>
      </c>
      <c r="H99" s="3">
        <v>0.45446808510638298</v>
      </c>
      <c r="I99" s="1" t="s">
        <v>30</v>
      </c>
    </row>
    <row r="100" spans="1:9" x14ac:dyDescent="0.2">
      <c r="A100" s="1" t="s">
        <v>83</v>
      </c>
      <c r="B100" s="1" t="s">
        <v>119</v>
      </c>
      <c r="C100" s="2">
        <v>493</v>
      </c>
      <c r="D100" s="2">
        <v>653</v>
      </c>
      <c r="E100" s="2"/>
      <c r="F100" s="2">
        <v>1146</v>
      </c>
      <c r="G100" s="3">
        <v>0.43019197207678878</v>
      </c>
      <c r="H100" s="3">
        <v>0.56980802792321117</v>
      </c>
      <c r="I100" s="1" t="s">
        <v>30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1"/>
  <sheetViews>
    <sheetView workbookViewId="0"/>
  </sheetViews>
  <sheetFormatPr baseColWidth="10" defaultColWidth="8.83203125" defaultRowHeight="15" x14ac:dyDescent="0.2"/>
  <cols>
    <col min="1" max="1" width="12" customWidth="1"/>
    <col min="2" max="2" width="26" customWidth="1"/>
    <col min="3" max="3" width="31.5" customWidth="1"/>
    <col min="4" max="4" width="14" customWidth="1"/>
    <col min="5" max="5" width="16" customWidth="1"/>
    <col min="6" max="6" width="12" customWidth="1"/>
    <col min="7" max="7" width="13" customWidth="1"/>
    <col min="8" max="8" width="15" customWidth="1"/>
    <col min="9" max="9" width="37.1640625" customWidth="1"/>
    <col min="10" max="10" width="8.6640625" customWidth="1"/>
  </cols>
  <sheetData>
    <row r="1" spans="1:9" x14ac:dyDescent="0.2">
      <c r="A1" s="7" t="s">
        <v>120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1" t="s">
        <v>121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7" t="s">
        <v>122</v>
      </c>
      <c r="B3" s="8"/>
      <c r="C3" s="8"/>
      <c r="D3" s="8"/>
      <c r="E3" s="8"/>
      <c r="F3" s="8"/>
      <c r="G3" s="8"/>
      <c r="H3" s="8"/>
      <c r="I3" s="8"/>
    </row>
    <row r="4" spans="1:9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</v>
      </c>
      <c r="G4" s="1" t="s">
        <v>10</v>
      </c>
      <c r="H4" s="1"/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7" t="s">
        <v>11</v>
      </c>
      <c r="B6" s="8"/>
      <c r="C6" s="8"/>
      <c r="D6" s="8"/>
      <c r="E6" s="8"/>
      <c r="F6" s="8"/>
      <c r="G6" s="8"/>
      <c r="H6" s="8"/>
      <c r="I6" s="8"/>
    </row>
    <row r="7" spans="1:9" x14ac:dyDescent="0.2">
      <c r="A7" s="1" t="s">
        <v>12</v>
      </c>
      <c r="B7" s="1" t="s">
        <v>123</v>
      </c>
      <c r="C7" s="1" t="s">
        <v>124</v>
      </c>
      <c r="D7" s="1" t="s">
        <v>13</v>
      </c>
      <c r="E7" s="1" t="s">
        <v>14</v>
      </c>
      <c r="F7" s="1" t="s">
        <v>16</v>
      </c>
      <c r="G7" s="1" t="s">
        <v>17</v>
      </c>
      <c r="H7" s="1" t="s">
        <v>18</v>
      </c>
      <c r="I7" s="1" t="s">
        <v>19</v>
      </c>
    </row>
    <row r="8" spans="1:9" x14ac:dyDescent="0.2">
      <c r="A8" s="1" t="s">
        <v>20</v>
      </c>
      <c r="B8" s="1" t="s">
        <v>125</v>
      </c>
      <c r="C8" s="1"/>
      <c r="D8" s="2">
        <f>SUM(D12:D381)</f>
        <v>148825</v>
      </c>
      <c r="E8" s="2">
        <f>SUM(E12:E381)</f>
        <v>156867</v>
      </c>
      <c r="F8" s="2">
        <f>D8+E8</f>
        <v>305692</v>
      </c>
      <c r="G8" s="3">
        <f>IF(F8=0,"",D8/F8)</f>
        <v>0.48684623738926763</v>
      </c>
      <c r="H8" s="3">
        <f>IF(F8=0,"",E8/F8)</f>
        <v>0.51315376261073242</v>
      </c>
      <c r="I8" s="1" t="s">
        <v>22</v>
      </c>
    </row>
    <row r="9" spans="1:9" x14ac:dyDescent="0.2">
      <c r="A9" s="7" t="s">
        <v>126</v>
      </c>
      <c r="B9" s="8"/>
      <c r="C9" s="8"/>
      <c r="D9" s="8"/>
      <c r="E9" s="8"/>
      <c r="F9" s="8"/>
      <c r="G9" s="8"/>
      <c r="H9" s="8"/>
      <c r="I9" s="8"/>
    </row>
    <row r="10" spans="1:9" x14ac:dyDescent="0.2">
      <c r="A10" s="7" t="s">
        <v>127</v>
      </c>
      <c r="B10" s="8"/>
      <c r="C10" s="8"/>
      <c r="D10" s="8"/>
      <c r="E10" s="8"/>
      <c r="F10" s="8"/>
      <c r="G10" s="8"/>
      <c r="H10" s="8"/>
      <c r="I10" s="8"/>
    </row>
    <row r="11" spans="1:9" ht="31.5" customHeight="1" x14ac:dyDescent="0.2">
      <c r="A11" s="1" t="s">
        <v>25</v>
      </c>
      <c r="B11" s="1" t="s">
        <v>26</v>
      </c>
      <c r="C11" s="1" t="s">
        <v>128</v>
      </c>
      <c r="D11" s="1" t="s">
        <v>13</v>
      </c>
      <c r="E11" s="1" t="s">
        <v>14</v>
      </c>
      <c r="F11" s="1" t="s">
        <v>16</v>
      </c>
      <c r="G11" s="1" t="s">
        <v>17</v>
      </c>
      <c r="H11" s="1" t="s">
        <v>18</v>
      </c>
      <c r="I11" s="1" t="s">
        <v>27</v>
      </c>
    </row>
    <row r="12" spans="1:9" x14ac:dyDescent="0.2">
      <c r="A12" s="1" t="s">
        <v>28</v>
      </c>
      <c r="B12" s="1" t="s">
        <v>29</v>
      </c>
      <c r="C12" s="1" t="s">
        <v>29</v>
      </c>
      <c r="D12" s="2">
        <v>143</v>
      </c>
      <c r="E12" s="2">
        <v>221</v>
      </c>
      <c r="F12" s="2">
        <f t="shared" ref="F12:F75" si="0">IF(COUNTA(D12:E12)=0,"",SUM(D12:E12))</f>
        <v>364</v>
      </c>
      <c r="G12" s="3">
        <f t="shared" ref="G12:G75" si="1">IF(OR(F12="",F12=0),"",D12/F12)</f>
        <v>0.39285714285714285</v>
      </c>
      <c r="H12" s="3">
        <f t="shared" ref="H12:H75" si="2">IF(OR(F12="",F12=0),"",E12/F12)</f>
        <v>0.6071428571428571</v>
      </c>
      <c r="I12" s="1" t="s">
        <v>129</v>
      </c>
    </row>
    <row r="13" spans="1:9" x14ac:dyDescent="0.2">
      <c r="A13" s="1" t="s">
        <v>28</v>
      </c>
      <c r="B13" s="1" t="s">
        <v>31</v>
      </c>
      <c r="C13" s="1" t="s">
        <v>31</v>
      </c>
      <c r="D13" s="2">
        <v>96</v>
      </c>
      <c r="E13" s="2">
        <v>234</v>
      </c>
      <c r="F13" s="2">
        <f t="shared" si="0"/>
        <v>330</v>
      </c>
      <c r="G13" s="3">
        <f t="shared" si="1"/>
        <v>0.29090909090909089</v>
      </c>
      <c r="H13" s="3">
        <f t="shared" si="2"/>
        <v>0.70909090909090911</v>
      </c>
      <c r="I13" s="1" t="s">
        <v>129</v>
      </c>
    </row>
    <row r="14" spans="1:9" x14ac:dyDescent="0.2">
      <c r="A14" s="1" t="s">
        <v>28</v>
      </c>
      <c r="B14" s="1" t="s">
        <v>32</v>
      </c>
      <c r="C14" s="1" t="s">
        <v>32</v>
      </c>
      <c r="D14" s="2">
        <v>114</v>
      </c>
      <c r="E14" s="2">
        <v>242</v>
      </c>
      <c r="F14" s="2">
        <f t="shared" si="0"/>
        <v>356</v>
      </c>
      <c r="G14" s="3">
        <f t="shared" si="1"/>
        <v>0.3202247191011236</v>
      </c>
      <c r="H14" s="3">
        <f t="shared" si="2"/>
        <v>0.6797752808988764</v>
      </c>
      <c r="I14" s="1" t="s">
        <v>129</v>
      </c>
    </row>
    <row r="15" spans="1:9" x14ac:dyDescent="0.2">
      <c r="A15" s="1" t="s">
        <v>28</v>
      </c>
      <c r="B15" s="1" t="s">
        <v>33</v>
      </c>
      <c r="C15" s="1" t="s">
        <v>130</v>
      </c>
      <c r="D15" s="2">
        <v>174</v>
      </c>
      <c r="E15" s="2">
        <v>556</v>
      </c>
      <c r="F15" s="2">
        <f t="shared" si="0"/>
        <v>730</v>
      </c>
      <c r="G15" s="3">
        <f t="shared" si="1"/>
        <v>0.23835616438356164</v>
      </c>
      <c r="H15" s="3">
        <f t="shared" si="2"/>
        <v>0.76164383561643834</v>
      </c>
      <c r="I15" s="1" t="s">
        <v>129</v>
      </c>
    </row>
    <row r="16" spans="1:9" x14ac:dyDescent="0.2">
      <c r="A16" s="1" t="s">
        <v>28</v>
      </c>
      <c r="B16" s="1" t="s">
        <v>33</v>
      </c>
      <c r="C16" s="1" t="s">
        <v>131</v>
      </c>
      <c r="D16" s="2">
        <v>169</v>
      </c>
      <c r="E16" s="2">
        <v>435</v>
      </c>
      <c r="F16" s="2">
        <f t="shared" si="0"/>
        <v>604</v>
      </c>
      <c r="G16" s="3">
        <f t="shared" si="1"/>
        <v>0.27980132450331124</v>
      </c>
      <c r="H16" s="3">
        <f t="shared" si="2"/>
        <v>0.7201986754966887</v>
      </c>
      <c r="I16" s="1" t="s">
        <v>129</v>
      </c>
    </row>
    <row r="17" spans="1:9" x14ac:dyDescent="0.2">
      <c r="A17" s="1" t="s">
        <v>28</v>
      </c>
      <c r="B17" s="1" t="s">
        <v>34</v>
      </c>
      <c r="C17" s="1" t="s">
        <v>34</v>
      </c>
      <c r="D17" s="2">
        <v>30</v>
      </c>
      <c r="E17" s="2">
        <v>63</v>
      </c>
      <c r="F17" s="2">
        <f t="shared" si="0"/>
        <v>93</v>
      </c>
      <c r="G17" s="3">
        <f t="shared" si="1"/>
        <v>0.32258064516129031</v>
      </c>
      <c r="H17" s="3">
        <f t="shared" si="2"/>
        <v>0.67741935483870963</v>
      </c>
      <c r="I17" s="1" t="s">
        <v>129</v>
      </c>
    </row>
    <row r="18" spans="1:9" x14ac:dyDescent="0.2">
      <c r="A18" s="1" t="s">
        <v>28</v>
      </c>
      <c r="B18" s="1" t="s">
        <v>35</v>
      </c>
      <c r="C18" s="1" t="s">
        <v>132</v>
      </c>
      <c r="D18" s="2">
        <v>241</v>
      </c>
      <c r="E18" s="2">
        <v>611</v>
      </c>
      <c r="F18" s="2">
        <f t="shared" si="0"/>
        <v>852</v>
      </c>
      <c r="G18" s="3">
        <f t="shared" si="1"/>
        <v>0.28286384976525819</v>
      </c>
      <c r="H18" s="3">
        <f t="shared" si="2"/>
        <v>0.71713615023474175</v>
      </c>
      <c r="I18" s="1" t="s">
        <v>129</v>
      </c>
    </row>
    <row r="19" spans="1:9" x14ac:dyDescent="0.2">
      <c r="A19" s="1" t="s">
        <v>28</v>
      </c>
      <c r="B19" s="1" t="s">
        <v>35</v>
      </c>
      <c r="C19" s="1" t="s">
        <v>133</v>
      </c>
      <c r="D19" s="2">
        <v>124</v>
      </c>
      <c r="E19" s="2">
        <v>336</v>
      </c>
      <c r="F19" s="2">
        <f t="shared" si="0"/>
        <v>460</v>
      </c>
      <c r="G19" s="3">
        <f t="shared" si="1"/>
        <v>0.26956521739130435</v>
      </c>
      <c r="H19" s="3">
        <f t="shared" si="2"/>
        <v>0.73043478260869565</v>
      </c>
      <c r="I19" s="1" t="s">
        <v>129</v>
      </c>
    </row>
    <row r="20" spans="1:9" x14ac:dyDescent="0.2">
      <c r="A20" s="1" t="s">
        <v>28</v>
      </c>
      <c r="B20" s="1" t="s">
        <v>35</v>
      </c>
      <c r="C20" s="1" t="s">
        <v>134</v>
      </c>
      <c r="D20" s="2">
        <v>183</v>
      </c>
      <c r="E20" s="2">
        <v>487</v>
      </c>
      <c r="F20" s="2">
        <f t="shared" si="0"/>
        <v>670</v>
      </c>
      <c r="G20" s="3">
        <f t="shared" si="1"/>
        <v>0.27313432835820894</v>
      </c>
      <c r="H20" s="3">
        <f t="shared" si="2"/>
        <v>0.72686567164179106</v>
      </c>
      <c r="I20" s="1" t="s">
        <v>129</v>
      </c>
    </row>
    <row r="21" spans="1:9" x14ac:dyDescent="0.2">
      <c r="A21" s="1" t="s">
        <v>28</v>
      </c>
      <c r="B21" s="1" t="s">
        <v>36</v>
      </c>
      <c r="C21" s="1" t="s">
        <v>135</v>
      </c>
      <c r="D21" s="2">
        <v>186</v>
      </c>
      <c r="E21" s="2">
        <v>241</v>
      </c>
      <c r="F21" s="2">
        <f t="shared" si="0"/>
        <v>427</v>
      </c>
      <c r="G21" s="3">
        <f t="shared" si="1"/>
        <v>0.43559718969555034</v>
      </c>
      <c r="H21" s="3">
        <f t="shared" si="2"/>
        <v>0.56440281030444961</v>
      </c>
      <c r="I21" s="1" t="s">
        <v>129</v>
      </c>
    </row>
    <row r="22" spans="1:9" x14ac:dyDescent="0.2">
      <c r="A22" s="1" t="s">
        <v>28</v>
      </c>
      <c r="B22" s="1" t="s">
        <v>36</v>
      </c>
      <c r="C22" s="1" t="s">
        <v>136</v>
      </c>
      <c r="D22" s="2">
        <v>125</v>
      </c>
      <c r="E22" s="2">
        <v>177</v>
      </c>
      <c r="F22" s="2">
        <f t="shared" si="0"/>
        <v>302</v>
      </c>
      <c r="G22" s="3">
        <f t="shared" si="1"/>
        <v>0.41390728476821192</v>
      </c>
      <c r="H22" s="3">
        <f t="shared" si="2"/>
        <v>0.58609271523178808</v>
      </c>
      <c r="I22" s="1" t="s">
        <v>129</v>
      </c>
    </row>
    <row r="23" spans="1:9" x14ac:dyDescent="0.2">
      <c r="A23" s="1" t="s">
        <v>28</v>
      </c>
      <c r="B23" s="1" t="s">
        <v>36</v>
      </c>
      <c r="C23" s="1" t="s">
        <v>137</v>
      </c>
      <c r="D23" s="2">
        <v>246</v>
      </c>
      <c r="E23" s="2">
        <v>395</v>
      </c>
      <c r="F23" s="2">
        <f t="shared" si="0"/>
        <v>641</v>
      </c>
      <c r="G23" s="3">
        <f t="shared" si="1"/>
        <v>0.38377535101404059</v>
      </c>
      <c r="H23" s="3">
        <f t="shared" si="2"/>
        <v>0.61622464898595941</v>
      </c>
      <c r="I23" s="1" t="s">
        <v>129</v>
      </c>
    </row>
    <row r="24" spans="1:9" x14ac:dyDescent="0.2">
      <c r="A24" s="1" t="s">
        <v>28</v>
      </c>
      <c r="B24" s="1" t="s">
        <v>36</v>
      </c>
      <c r="C24" s="1" t="s">
        <v>138</v>
      </c>
      <c r="D24" s="2">
        <v>114</v>
      </c>
      <c r="E24" s="2">
        <v>107</v>
      </c>
      <c r="F24" s="2">
        <f t="shared" si="0"/>
        <v>221</v>
      </c>
      <c r="G24" s="3">
        <f t="shared" si="1"/>
        <v>0.51583710407239824</v>
      </c>
      <c r="H24" s="3">
        <f t="shared" si="2"/>
        <v>0.48416289592760181</v>
      </c>
      <c r="I24" s="1" t="s">
        <v>129</v>
      </c>
    </row>
    <row r="25" spans="1:9" x14ac:dyDescent="0.2">
      <c r="A25" s="1" t="s">
        <v>28</v>
      </c>
      <c r="B25" s="1" t="s">
        <v>36</v>
      </c>
      <c r="C25" s="1" t="s">
        <v>139</v>
      </c>
      <c r="D25" s="2">
        <v>228</v>
      </c>
      <c r="E25" s="2">
        <v>289</v>
      </c>
      <c r="F25" s="2">
        <f t="shared" si="0"/>
        <v>517</v>
      </c>
      <c r="G25" s="3">
        <f t="shared" si="1"/>
        <v>0.44100580270793038</v>
      </c>
      <c r="H25" s="3">
        <f t="shared" si="2"/>
        <v>0.55899419729206967</v>
      </c>
      <c r="I25" s="1" t="s">
        <v>129</v>
      </c>
    </row>
    <row r="26" spans="1:9" x14ac:dyDescent="0.2">
      <c r="A26" s="1" t="s">
        <v>28</v>
      </c>
      <c r="B26" s="1" t="s">
        <v>37</v>
      </c>
      <c r="C26" s="1" t="s">
        <v>140</v>
      </c>
      <c r="D26" s="2">
        <v>94</v>
      </c>
      <c r="E26" s="2">
        <v>156</v>
      </c>
      <c r="F26" s="2">
        <f t="shared" si="0"/>
        <v>250</v>
      </c>
      <c r="G26" s="3">
        <f t="shared" si="1"/>
        <v>0.376</v>
      </c>
      <c r="H26" s="3">
        <f t="shared" si="2"/>
        <v>0.624</v>
      </c>
      <c r="I26" s="1" t="s">
        <v>129</v>
      </c>
    </row>
    <row r="27" spans="1:9" x14ac:dyDescent="0.2">
      <c r="A27" s="1" t="s">
        <v>28</v>
      </c>
      <c r="B27" s="1" t="s">
        <v>37</v>
      </c>
      <c r="C27" s="1" t="s">
        <v>141</v>
      </c>
      <c r="D27" s="2">
        <v>174</v>
      </c>
      <c r="E27" s="2">
        <v>381</v>
      </c>
      <c r="F27" s="2">
        <f t="shared" si="0"/>
        <v>555</v>
      </c>
      <c r="G27" s="3">
        <f t="shared" si="1"/>
        <v>0.31351351351351353</v>
      </c>
      <c r="H27" s="3">
        <f t="shared" si="2"/>
        <v>0.68648648648648647</v>
      </c>
      <c r="I27" s="1" t="s">
        <v>129</v>
      </c>
    </row>
    <row r="28" spans="1:9" x14ac:dyDescent="0.2">
      <c r="A28" s="1" t="s">
        <v>28</v>
      </c>
      <c r="B28" s="1" t="s">
        <v>38</v>
      </c>
      <c r="C28" s="1" t="s">
        <v>142</v>
      </c>
      <c r="D28" s="2">
        <v>206</v>
      </c>
      <c r="E28" s="2">
        <v>324</v>
      </c>
      <c r="F28" s="2">
        <f t="shared" si="0"/>
        <v>530</v>
      </c>
      <c r="G28" s="3">
        <f t="shared" si="1"/>
        <v>0.38867924528301889</v>
      </c>
      <c r="H28" s="3">
        <f t="shared" si="2"/>
        <v>0.61132075471698111</v>
      </c>
      <c r="I28" s="1" t="s">
        <v>129</v>
      </c>
    </row>
    <row r="29" spans="1:9" x14ac:dyDescent="0.2">
      <c r="A29" s="1" t="s">
        <v>28</v>
      </c>
      <c r="B29" s="1" t="s">
        <v>38</v>
      </c>
      <c r="C29" s="1" t="s">
        <v>143</v>
      </c>
      <c r="D29" s="2">
        <v>116</v>
      </c>
      <c r="E29" s="2">
        <v>185</v>
      </c>
      <c r="F29" s="2">
        <f t="shared" si="0"/>
        <v>301</v>
      </c>
      <c r="G29" s="3">
        <f t="shared" si="1"/>
        <v>0.38538205980066448</v>
      </c>
      <c r="H29" s="3">
        <f t="shared" si="2"/>
        <v>0.61461794019933558</v>
      </c>
      <c r="I29" s="1" t="s">
        <v>129</v>
      </c>
    </row>
    <row r="30" spans="1:9" x14ac:dyDescent="0.2">
      <c r="A30" s="1" t="s">
        <v>28</v>
      </c>
      <c r="B30" s="1" t="s">
        <v>38</v>
      </c>
      <c r="C30" s="1" t="s">
        <v>144</v>
      </c>
      <c r="D30" s="2">
        <v>103</v>
      </c>
      <c r="E30" s="2">
        <v>149</v>
      </c>
      <c r="F30" s="2">
        <f t="shared" si="0"/>
        <v>252</v>
      </c>
      <c r="G30" s="3">
        <f t="shared" si="1"/>
        <v>0.40873015873015872</v>
      </c>
      <c r="H30" s="3">
        <f t="shared" si="2"/>
        <v>0.59126984126984128</v>
      </c>
      <c r="I30" s="1" t="s">
        <v>129</v>
      </c>
    </row>
    <row r="31" spans="1:9" x14ac:dyDescent="0.2">
      <c r="A31" s="1" t="s">
        <v>28</v>
      </c>
      <c r="B31" s="1" t="s">
        <v>39</v>
      </c>
      <c r="C31" s="1" t="s">
        <v>39</v>
      </c>
      <c r="D31" s="2">
        <v>31</v>
      </c>
      <c r="E31" s="2">
        <v>88</v>
      </c>
      <c r="F31" s="2">
        <f t="shared" si="0"/>
        <v>119</v>
      </c>
      <c r="G31" s="3">
        <f t="shared" si="1"/>
        <v>0.26050420168067229</v>
      </c>
      <c r="H31" s="3">
        <f t="shared" si="2"/>
        <v>0.73949579831932777</v>
      </c>
      <c r="I31" s="1" t="s">
        <v>129</v>
      </c>
    </row>
    <row r="32" spans="1:9" x14ac:dyDescent="0.2">
      <c r="A32" s="1" t="s">
        <v>28</v>
      </c>
      <c r="B32" s="1" t="s">
        <v>40</v>
      </c>
      <c r="C32" s="1" t="s">
        <v>40</v>
      </c>
      <c r="D32" s="2">
        <v>51</v>
      </c>
      <c r="E32" s="2">
        <v>186</v>
      </c>
      <c r="F32" s="2">
        <f t="shared" si="0"/>
        <v>237</v>
      </c>
      <c r="G32" s="3">
        <f t="shared" si="1"/>
        <v>0.21518987341772153</v>
      </c>
      <c r="H32" s="3">
        <f t="shared" si="2"/>
        <v>0.78481012658227844</v>
      </c>
      <c r="I32" s="1" t="s">
        <v>129</v>
      </c>
    </row>
    <row r="33" spans="1:9" x14ac:dyDescent="0.2">
      <c r="A33" s="1" t="s">
        <v>28</v>
      </c>
      <c r="B33" s="1" t="s">
        <v>41</v>
      </c>
      <c r="C33" s="1" t="s">
        <v>145</v>
      </c>
      <c r="D33" s="2">
        <v>237</v>
      </c>
      <c r="E33" s="2">
        <v>352</v>
      </c>
      <c r="F33" s="2">
        <f t="shared" si="0"/>
        <v>589</v>
      </c>
      <c r="G33" s="3">
        <f t="shared" si="1"/>
        <v>0.40237691001697795</v>
      </c>
      <c r="H33" s="3">
        <f t="shared" si="2"/>
        <v>0.59762308998302205</v>
      </c>
      <c r="I33" s="1" t="s">
        <v>129</v>
      </c>
    </row>
    <row r="34" spans="1:9" x14ac:dyDescent="0.2">
      <c r="A34" s="1" t="s">
        <v>28</v>
      </c>
      <c r="B34" s="1" t="s">
        <v>41</v>
      </c>
      <c r="C34" s="1" t="s">
        <v>146</v>
      </c>
      <c r="D34" s="2">
        <v>226</v>
      </c>
      <c r="E34" s="2">
        <v>341</v>
      </c>
      <c r="F34" s="2">
        <f t="shared" si="0"/>
        <v>567</v>
      </c>
      <c r="G34" s="3">
        <f t="shared" si="1"/>
        <v>0.3985890652557319</v>
      </c>
      <c r="H34" s="3">
        <f t="shared" si="2"/>
        <v>0.6014109347442681</v>
      </c>
      <c r="I34" s="1" t="s">
        <v>129</v>
      </c>
    </row>
    <row r="35" spans="1:9" x14ac:dyDescent="0.2">
      <c r="A35" s="1" t="s">
        <v>28</v>
      </c>
      <c r="B35" s="1" t="s">
        <v>41</v>
      </c>
      <c r="C35" s="1" t="s">
        <v>147</v>
      </c>
      <c r="D35" s="2">
        <v>233</v>
      </c>
      <c r="E35" s="2">
        <v>365</v>
      </c>
      <c r="F35" s="2">
        <f t="shared" si="0"/>
        <v>598</v>
      </c>
      <c r="G35" s="3">
        <f t="shared" si="1"/>
        <v>0.38963210702341139</v>
      </c>
      <c r="H35" s="3">
        <f t="shared" si="2"/>
        <v>0.61036789297658867</v>
      </c>
      <c r="I35" s="1" t="s">
        <v>129</v>
      </c>
    </row>
    <row r="36" spans="1:9" x14ac:dyDescent="0.2">
      <c r="A36" s="1" t="s">
        <v>28</v>
      </c>
      <c r="B36" s="1" t="s">
        <v>42</v>
      </c>
      <c r="C36" s="1" t="s">
        <v>148</v>
      </c>
      <c r="D36" s="2">
        <v>227</v>
      </c>
      <c r="E36" s="2">
        <v>607</v>
      </c>
      <c r="F36" s="2">
        <f t="shared" si="0"/>
        <v>834</v>
      </c>
      <c r="G36" s="3">
        <f t="shared" si="1"/>
        <v>0.27218225419664266</v>
      </c>
      <c r="H36" s="3">
        <f t="shared" si="2"/>
        <v>0.72781774580335734</v>
      </c>
      <c r="I36" s="1" t="s">
        <v>129</v>
      </c>
    </row>
    <row r="37" spans="1:9" x14ac:dyDescent="0.2">
      <c r="A37" s="1" t="s">
        <v>28</v>
      </c>
      <c r="B37" s="1" t="s">
        <v>42</v>
      </c>
      <c r="C37" s="1" t="s">
        <v>149</v>
      </c>
      <c r="D37" s="2">
        <v>171</v>
      </c>
      <c r="E37" s="2">
        <v>396</v>
      </c>
      <c r="F37" s="2">
        <f t="shared" si="0"/>
        <v>567</v>
      </c>
      <c r="G37" s="3">
        <f t="shared" si="1"/>
        <v>0.30158730158730157</v>
      </c>
      <c r="H37" s="3">
        <f t="shared" si="2"/>
        <v>0.69841269841269837</v>
      </c>
      <c r="I37" s="1" t="s">
        <v>129</v>
      </c>
    </row>
    <row r="38" spans="1:9" x14ac:dyDescent="0.2">
      <c r="A38" s="1" t="s">
        <v>28</v>
      </c>
      <c r="B38" s="1" t="s">
        <v>43</v>
      </c>
      <c r="C38" s="1" t="s">
        <v>150</v>
      </c>
      <c r="D38" s="2">
        <v>103</v>
      </c>
      <c r="E38" s="2">
        <v>305</v>
      </c>
      <c r="F38" s="2">
        <f t="shared" si="0"/>
        <v>408</v>
      </c>
      <c r="G38" s="3">
        <f t="shared" si="1"/>
        <v>0.25245098039215685</v>
      </c>
      <c r="H38" s="3">
        <f t="shared" si="2"/>
        <v>0.74754901960784315</v>
      </c>
      <c r="I38" s="1" t="s">
        <v>129</v>
      </c>
    </row>
    <row r="39" spans="1:9" x14ac:dyDescent="0.2">
      <c r="A39" s="1" t="s">
        <v>28</v>
      </c>
      <c r="B39" s="1" t="s">
        <v>43</v>
      </c>
      <c r="C39" s="1" t="s">
        <v>151</v>
      </c>
      <c r="D39" s="2">
        <v>92</v>
      </c>
      <c r="E39" s="2">
        <v>225</v>
      </c>
      <c r="F39" s="2">
        <f t="shared" si="0"/>
        <v>317</v>
      </c>
      <c r="G39" s="3">
        <f t="shared" si="1"/>
        <v>0.29022082018927448</v>
      </c>
      <c r="H39" s="3">
        <f t="shared" si="2"/>
        <v>0.70977917981072558</v>
      </c>
      <c r="I39" s="1" t="s">
        <v>129</v>
      </c>
    </row>
    <row r="40" spans="1:9" x14ac:dyDescent="0.2">
      <c r="A40" s="1" t="s">
        <v>28</v>
      </c>
      <c r="B40" s="1" t="s">
        <v>43</v>
      </c>
      <c r="C40" s="1" t="s">
        <v>152</v>
      </c>
      <c r="D40" s="2">
        <v>343</v>
      </c>
      <c r="E40" s="2">
        <v>811</v>
      </c>
      <c r="F40" s="2">
        <f t="shared" si="0"/>
        <v>1154</v>
      </c>
      <c r="G40" s="3">
        <f t="shared" si="1"/>
        <v>0.2972270363951473</v>
      </c>
      <c r="H40" s="3">
        <f t="shared" si="2"/>
        <v>0.70277296360485264</v>
      </c>
      <c r="I40" s="1" t="s">
        <v>129</v>
      </c>
    </row>
    <row r="41" spans="1:9" x14ac:dyDescent="0.2">
      <c r="A41" s="1" t="s">
        <v>28</v>
      </c>
      <c r="B41" s="1" t="s">
        <v>44</v>
      </c>
      <c r="C41" s="1" t="s">
        <v>153</v>
      </c>
      <c r="D41" s="2">
        <v>236</v>
      </c>
      <c r="E41" s="2">
        <v>346</v>
      </c>
      <c r="F41" s="2">
        <f t="shared" si="0"/>
        <v>582</v>
      </c>
      <c r="G41" s="3">
        <f t="shared" si="1"/>
        <v>0.40549828178694158</v>
      </c>
      <c r="H41" s="3">
        <f t="shared" si="2"/>
        <v>0.59450171821305842</v>
      </c>
      <c r="I41" s="1" t="s">
        <v>129</v>
      </c>
    </row>
    <row r="42" spans="1:9" x14ac:dyDescent="0.2">
      <c r="A42" s="1" t="s">
        <v>28</v>
      </c>
      <c r="B42" s="1" t="s">
        <v>44</v>
      </c>
      <c r="C42" s="1" t="s">
        <v>154</v>
      </c>
      <c r="D42" s="2">
        <v>255</v>
      </c>
      <c r="E42" s="2">
        <v>377</v>
      </c>
      <c r="F42" s="2">
        <f t="shared" si="0"/>
        <v>632</v>
      </c>
      <c r="G42" s="3">
        <f t="shared" si="1"/>
        <v>0.40348101265822783</v>
      </c>
      <c r="H42" s="3">
        <f t="shared" si="2"/>
        <v>0.59651898734177211</v>
      </c>
      <c r="I42" s="1" t="s">
        <v>129</v>
      </c>
    </row>
    <row r="43" spans="1:9" x14ac:dyDescent="0.2">
      <c r="A43" s="1" t="s">
        <v>28</v>
      </c>
      <c r="B43" s="1" t="s">
        <v>45</v>
      </c>
      <c r="C43" s="1" t="s">
        <v>45</v>
      </c>
      <c r="D43" s="2">
        <v>114</v>
      </c>
      <c r="E43" s="2">
        <v>416</v>
      </c>
      <c r="F43" s="2">
        <f t="shared" si="0"/>
        <v>530</v>
      </c>
      <c r="G43" s="3">
        <f t="shared" si="1"/>
        <v>0.21509433962264152</v>
      </c>
      <c r="H43" s="3">
        <f t="shared" si="2"/>
        <v>0.78490566037735854</v>
      </c>
      <c r="I43" s="1" t="s">
        <v>129</v>
      </c>
    </row>
    <row r="44" spans="1:9" x14ac:dyDescent="0.2">
      <c r="A44" s="1" t="s">
        <v>28</v>
      </c>
      <c r="B44" s="1" t="s">
        <v>46</v>
      </c>
      <c r="C44" s="1" t="s">
        <v>155</v>
      </c>
      <c r="D44" s="2">
        <v>229</v>
      </c>
      <c r="E44" s="2">
        <v>470</v>
      </c>
      <c r="F44" s="2">
        <f t="shared" si="0"/>
        <v>699</v>
      </c>
      <c r="G44" s="3">
        <f t="shared" si="1"/>
        <v>0.32761087267525035</v>
      </c>
      <c r="H44" s="3">
        <f t="shared" si="2"/>
        <v>0.67238912732474965</v>
      </c>
      <c r="I44" s="1" t="s">
        <v>129</v>
      </c>
    </row>
    <row r="45" spans="1:9" x14ac:dyDescent="0.2">
      <c r="A45" s="1" t="s">
        <v>28</v>
      </c>
      <c r="B45" s="1" t="s">
        <v>46</v>
      </c>
      <c r="C45" s="1" t="s">
        <v>156</v>
      </c>
      <c r="D45" s="2">
        <v>369</v>
      </c>
      <c r="E45" s="2">
        <v>600</v>
      </c>
      <c r="F45" s="2">
        <f t="shared" si="0"/>
        <v>969</v>
      </c>
      <c r="G45" s="3">
        <f t="shared" si="1"/>
        <v>0.38080495356037153</v>
      </c>
      <c r="H45" s="3">
        <f t="shared" si="2"/>
        <v>0.61919504643962853</v>
      </c>
      <c r="I45" s="1" t="s">
        <v>129</v>
      </c>
    </row>
    <row r="46" spans="1:9" x14ac:dyDescent="0.2">
      <c r="A46" s="1" t="s">
        <v>28</v>
      </c>
      <c r="B46" s="1" t="s">
        <v>46</v>
      </c>
      <c r="C46" s="1" t="s">
        <v>157</v>
      </c>
      <c r="D46" s="2">
        <v>107</v>
      </c>
      <c r="E46" s="2">
        <v>216</v>
      </c>
      <c r="F46" s="2">
        <f t="shared" si="0"/>
        <v>323</v>
      </c>
      <c r="G46" s="3">
        <f t="shared" si="1"/>
        <v>0.33126934984520123</v>
      </c>
      <c r="H46" s="3">
        <f t="shared" si="2"/>
        <v>0.66873065015479871</v>
      </c>
      <c r="I46" s="1" t="s">
        <v>129</v>
      </c>
    </row>
    <row r="47" spans="1:9" x14ac:dyDescent="0.2">
      <c r="A47" s="1" t="s">
        <v>28</v>
      </c>
      <c r="B47" s="1" t="s">
        <v>47</v>
      </c>
      <c r="C47" s="1" t="s">
        <v>47</v>
      </c>
      <c r="D47" s="2">
        <v>58</v>
      </c>
      <c r="E47" s="2">
        <v>126</v>
      </c>
      <c r="F47" s="2">
        <f t="shared" si="0"/>
        <v>184</v>
      </c>
      <c r="G47" s="3">
        <f t="shared" si="1"/>
        <v>0.31521739130434784</v>
      </c>
      <c r="H47" s="3">
        <f t="shared" si="2"/>
        <v>0.68478260869565222</v>
      </c>
      <c r="I47" s="1" t="s">
        <v>129</v>
      </c>
    </row>
    <row r="48" spans="1:9" x14ac:dyDescent="0.2">
      <c r="A48" s="1" t="s">
        <v>28</v>
      </c>
      <c r="B48" s="1" t="s">
        <v>48</v>
      </c>
      <c r="C48" s="1" t="s">
        <v>158</v>
      </c>
      <c r="D48" s="2">
        <v>322</v>
      </c>
      <c r="E48" s="2">
        <v>542</v>
      </c>
      <c r="F48" s="2">
        <f t="shared" si="0"/>
        <v>864</v>
      </c>
      <c r="G48" s="3">
        <f t="shared" si="1"/>
        <v>0.37268518518518517</v>
      </c>
      <c r="H48" s="3">
        <f t="shared" si="2"/>
        <v>0.62731481481481477</v>
      </c>
      <c r="I48" s="1" t="s">
        <v>129</v>
      </c>
    </row>
    <row r="49" spans="1:9" x14ac:dyDescent="0.2">
      <c r="A49" s="1" t="s">
        <v>28</v>
      </c>
      <c r="B49" s="1" t="s">
        <v>48</v>
      </c>
      <c r="C49" s="1" t="s">
        <v>159</v>
      </c>
      <c r="D49" s="2">
        <v>233</v>
      </c>
      <c r="E49" s="2">
        <v>410</v>
      </c>
      <c r="F49" s="2">
        <f t="shared" si="0"/>
        <v>643</v>
      </c>
      <c r="G49" s="3">
        <f t="shared" si="1"/>
        <v>0.36236391912908245</v>
      </c>
      <c r="H49" s="3">
        <f t="shared" si="2"/>
        <v>0.63763608087091761</v>
      </c>
      <c r="I49" s="1" t="s">
        <v>129</v>
      </c>
    </row>
    <row r="50" spans="1:9" x14ac:dyDescent="0.2">
      <c r="A50" s="1" t="s">
        <v>28</v>
      </c>
      <c r="B50" s="1" t="s">
        <v>48</v>
      </c>
      <c r="C50" s="1" t="s">
        <v>160</v>
      </c>
      <c r="D50" s="2">
        <v>357</v>
      </c>
      <c r="E50" s="2">
        <v>628</v>
      </c>
      <c r="F50" s="2">
        <f t="shared" si="0"/>
        <v>985</v>
      </c>
      <c r="G50" s="3">
        <f t="shared" si="1"/>
        <v>0.36243654822335025</v>
      </c>
      <c r="H50" s="3">
        <f t="shared" si="2"/>
        <v>0.63756345177664975</v>
      </c>
      <c r="I50" s="1" t="s">
        <v>129</v>
      </c>
    </row>
    <row r="51" spans="1:9" x14ac:dyDescent="0.2">
      <c r="A51" s="1" t="s">
        <v>28</v>
      </c>
      <c r="B51" s="1" t="s">
        <v>48</v>
      </c>
      <c r="C51" s="1" t="s">
        <v>161</v>
      </c>
      <c r="D51" s="2">
        <v>334</v>
      </c>
      <c r="E51" s="2">
        <v>740</v>
      </c>
      <c r="F51" s="2">
        <f t="shared" si="0"/>
        <v>1074</v>
      </c>
      <c r="G51" s="3">
        <f t="shared" si="1"/>
        <v>0.31098696461824954</v>
      </c>
      <c r="H51" s="3">
        <f t="shared" si="2"/>
        <v>0.68901303538175052</v>
      </c>
      <c r="I51" s="1" t="s">
        <v>129</v>
      </c>
    </row>
    <row r="52" spans="1:9" x14ac:dyDescent="0.2">
      <c r="A52" s="1" t="s">
        <v>28</v>
      </c>
      <c r="B52" s="1" t="s">
        <v>48</v>
      </c>
      <c r="C52" s="1" t="s">
        <v>162</v>
      </c>
      <c r="D52" s="2">
        <v>332</v>
      </c>
      <c r="E52" s="2">
        <v>574</v>
      </c>
      <c r="F52" s="2">
        <f t="shared" si="0"/>
        <v>906</v>
      </c>
      <c r="G52" s="3">
        <f t="shared" si="1"/>
        <v>0.36644591611479027</v>
      </c>
      <c r="H52" s="3">
        <f t="shared" si="2"/>
        <v>0.63355408388520973</v>
      </c>
      <c r="I52" s="1" t="s">
        <v>129</v>
      </c>
    </row>
    <row r="53" spans="1:9" x14ac:dyDescent="0.2">
      <c r="A53" s="1" t="s">
        <v>28</v>
      </c>
      <c r="B53" s="1" t="s">
        <v>49</v>
      </c>
      <c r="C53" s="1" t="s">
        <v>163</v>
      </c>
      <c r="D53" s="2">
        <v>139</v>
      </c>
      <c r="E53" s="2">
        <v>162</v>
      </c>
      <c r="F53" s="2">
        <f t="shared" si="0"/>
        <v>301</v>
      </c>
      <c r="G53" s="3">
        <f t="shared" si="1"/>
        <v>0.46179401993355484</v>
      </c>
      <c r="H53" s="3">
        <f t="shared" si="2"/>
        <v>0.53820598006644516</v>
      </c>
      <c r="I53" s="1" t="s">
        <v>129</v>
      </c>
    </row>
    <row r="54" spans="1:9" x14ac:dyDescent="0.2">
      <c r="A54" s="1" t="s">
        <v>28</v>
      </c>
      <c r="B54" s="1" t="s">
        <v>49</v>
      </c>
      <c r="C54" s="1" t="s">
        <v>164</v>
      </c>
      <c r="D54" s="2">
        <v>151</v>
      </c>
      <c r="E54" s="2">
        <v>165</v>
      </c>
      <c r="F54" s="2">
        <f t="shared" si="0"/>
        <v>316</v>
      </c>
      <c r="G54" s="3">
        <f t="shared" si="1"/>
        <v>0.47784810126582278</v>
      </c>
      <c r="H54" s="3">
        <f t="shared" si="2"/>
        <v>0.52215189873417722</v>
      </c>
      <c r="I54" s="1" t="s">
        <v>129</v>
      </c>
    </row>
    <row r="55" spans="1:9" x14ac:dyDescent="0.2">
      <c r="A55" s="1" t="s">
        <v>28</v>
      </c>
      <c r="B55" s="1" t="s">
        <v>49</v>
      </c>
      <c r="C55" s="1" t="s">
        <v>165</v>
      </c>
      <c r="D55" s="2">
        <v>93</v>
      </c>
      <c r="E55" s="2">
        <v>167</v>
      </c>
      <c r="F55" s="2">
        <f t="shared" si="0"/>
        <v>260</v>
      </c>
      <c r="G55" s="3">
        <f t="shared" si="1"/>
        <v>0.3576923076923077</v>
      </c>
      <c r="H55" s="3">
        <f t="shared" si="2"/>
        <v>0.64230769230769236</v>
      </c>
      <c r="I55" s="1" t="s">
        <v>129</v>
      </c>
    </row>
    <row r="56" spans="1:9" x14ac:dyDescent="0.2">
      <c r="A56" s="1" t="s">
        <v>28</v>
      </c>
      <c r="B56" s="1" t="s">
        <v>49</v>
      </c>
      <c r="C56" s="1" t="s">
        <v>166</v>
      </c>
      <c r="D56" s="2">
        <v>168</v>
      </c>
      <c r="E56" s="2">
        <v>248</v>
      </c>
      <c r="F56" s="2">
        <f t="shared" si="0"/>
        <v>416</v>
      </c>
      <c r="G56" s="3">
        <f t="shared" si="1"/>
        <v>0.40384615384615385</v>
      </c>
      <c r="H56" s="3">
        <f t="shared" si="2"/>
        <v>0.59615384615384615</v>
      </c>
      <c r="I56" s="1" t="s">
        <v>129</v>
      </c>
    </row>
    <row r="57" spans="1:9" x14ac:dyDescent="0.2">
      <c r="A57" s="1" t="s">
        <v>28</v>
      </c>
      <c r="B57" s="1" t="s">
        <v>50</v>
      </c>
      <c r="C57" s="1" t="s">
        <v>167</v>
      </c>
      <c r="D57" s="2">
        <v>243</v>
      </c>
      <c r="E57" s="2">
        <v>534</v>
      </c>
      <c r="F57" s="2">
        <f t="shared" si="0"/>
        <v>777</v>
      </c>
      <c r="G57" s="3">
        <f t="shared" si="1"/>
        <v>0.31274131274131273</v>
      </c>
      <c r="H57" s="3">
        <f t="shared" si="2"/>
        <v>0.68725868725868722</v>
      </c>
      <c r="I57" s="1" t="s">
        <v>129</v>
      </c>
    </row>
    <row r="58" spans="1:9" x14ac:dyDescent="0.2">
      <c r="A58" s="1" t="s">
        <v>28</v>
      </c>
      <c r="B58" s="1" t="s">
        <v>50</v>
      </c>
      <c r="C58" s="1" t="s">
        <v>168</v>
      </c>
      <c r="D58" s="2">
        <v>203</v>
      </c>
      <c r="E58" s="2">
        <v>569</v>
      </c>
      <c r="F58" s="2">
        <f t="shared" si="0"/>
        <v>772</v>
      </c>
      <c r="G58" s="3">
        <f t="shared" si="1"/>
        <v>0.26295336787564766</v>
      </c>
      <c r="H58" s="3">
        <f t="shared" si="2"/>
        <v>0.73704663212435229</v>
      </c>
      <c r="I58" s="1" t="s">
        <v>129</v>
      </c>
    </row>
    <row r="59" spans="1:9" x14ac:dyDescent="0.2">
      <c r="A59" s="1" t="s">
        <v>28</v>
      </c>
      <c r="B59" s="1" t="s">
        <v>50</v>
      </c>
      <c r="C59" s="1" t="s">
        <v>169</v>
      </c>
      <c r="D59" s="2">
        <v>202</v>
      </c>
      <c r="E59" s="2">
        <v>508</v>
      </c>
      <c r="F59" s="2">
        <f t="shared" si="0"/>
        <v>710</v>
      </c>
      <c r="G59" s="3">
        <f t="shared" si="1"/>
        <v>0.28450704225352114</v>
      </c>
      <c r="H59" s="3">
        <f t="shared" si="2"/>
        <v>0.71549295774647892</v>
      </c>
      <c r="I59" s="1" t="s">
        <v>129</v>
      </c>
    </row>
    <row r="60" spans="1:9" x14ac:dyDescent="0.2">
      <c r="A60" s="1" t="s">
        <v>28</v>
      </c>
      <c r="B60" s="1" t="s">
        <v>51</v>
      </c>
      <c r="C60" s="1" t="s">
        <v>170</v>
      </c>
      <c r="D60" s="2">
        <v>186</v>
      </c>
      <c r="E60" s="2">
        <v>414</v>
      </c>
      <c r="F60" s="2">
        <f t="shared" si="0"/>
        <v>600</v>
      </c>
      <c r="G60" s="3">
        <f t="shared" si="1"/>
        <v>0.31</v>
      </c>
      <c r="H60" s="3">
        <f t="shared" si="2"/>
        <v>0.69</v>
      </c>
      <c r="I60" s="1" t="s">
        <v>129</v>
      </c>
    </row>
    <row r="61" spans="1:9" x14ac:dyDescent="0.2">
      <c r="A61" s="1" t="s">
        <v>28</v>
      </c>
      <c r="B61" s="1" t="s">
        <v>51</v>
      </c>
      <c r="C61" s="1" t="s">
        <v>171</v>
      </c>
      <c r="D61" s="2">
        <v>82</v>
      </c>
      <c r="E61" s="2">
        <v>231</v>
      </c>
      <c r="F61" s="2">
        <f t="shared" si="0"/>
        <v>313</v>
      </c>
      <c r="G61" s="3">
        <f t="shared" si="1"/>
        <v>0.26198083067092653</v>
      </c>
      <c r="H61" s="3">
        <f t="shared" si="2"/>
        <v>0.73801916932907352</v>
      </c>
      <c r="I61" s="1" t="s">
        <v>129</v>
      </c>
    </row>
    <row r="62" spans="1:9" x14ac:dyDescent="0.2">
      <c r="A62" s="1" t="s">
        <v>28</v>
      </c>
      <c r="B62" s="1" t="s">
        <v>52</v>
      </c>
      <c r="C62" s="1" t="s">
        <v>52</v>
      </c>
      <c r="D62" s="2">
        <v>38</v>
      </c>
      <c r="E62" s="2">
        <v>69</v>
      </c>
      <c r="F62" s="2">
        <f t="shared" si="0"/>
        <v>107</v>
      </c>
      <c r="G62" s="3">
        <f t="shared" si="1"/>
        <v>0.35514018691588783</v>
      </c>
      <c r="H62" s="3">
        <f t="shared" si="2"/>
        <v>0.64485981308411211</v>
      </c>
      <c r="I62" s="1" t="s">
        <v>129</v>
      </c>
    </row>
    <row r="63" spans="1:9" x14ac:dyDescent="0.2">
      <c r="A63" s="1" t="s">
        <v>53</v>
      </c>
      <c r="B63" s="1" t="s">
        <v>54</v>
      </c>
      <c r="C63" s="1" t="s">
        <v>54</v>
      </c>
      <c r="D63" s="2">
        <v>469</v>
      </c>
      <c r="E63" s="2">
        <v>592</v>
      </c>
      <c r="F63" s="2">
        <f t="shared" si="0"/>
        <v>1061</v>
      </c>
      <c r="G63" s="3">
        <f t="shared" si="1"/>
        <v>0.44203581526861452</v>
      </c>
      <c r="H63" s="3">
        <f t="shared" si="2"/>
        <v>0.55796418473138554</v>
      </c>
      <c r="I63" s="1" t="s">
        <v>129</v>
      </c>
    </row>
    <row r="64" spans="1:9" x14ac:dyDescent="0.2">
      <c r="A64" s="1" t="s">
        <v>53</v>
      </c>
      <c r="B64" s="1" t="s">
        <v>55</v>
      </c>
      <c r="C64" s="1" t="s">
        <v>172</v>
      </c>
      <c r="D64" s="2">
        <v>227</v>
      </c>
      <c r="E64" s="2">
        <v>104</v>
      </c>
      <c r="F64" s="2">
        <f t="shared" si="0"/>
        <v>331</v>
      </c>
      <c r="G64" s="3">
        <f t="shared" si="1"/>
        <v>0.6858006042296072</v>
      </c>
      <c r="H64" s="3">
        <f t="shared" si="2"/>
        <v>0.31419939577039274</v>
      </c>
      <c r="I64" s="1" t="s">
        <v>129</v>
      </c>
    </row>
    <row r="65" spans="1:9" x14ac:dyDescent="0.2">
      <c r="A65" s="1" t="s">
        <v>53</v>
      </c>
      <c r="B65" s="1" t="s">
        <v>55</v>
      </c>
      <c r="C65" s="1" t="s">
        <v>173</v>
      </c>
      <c r="D65" s="2">
        <v>143</v>
      </c>
      <c r="E65" s="2">
        <v>82</v>
      </c>
      <c r="F65" s="2">
        <f t="shared" si="0"/>
        <v>225</v>
      </c>
      <c r="G65" s="3">
        <f t="shared" si="1"/>
        <v>0.63555555555555554</v>
      </c>
      <c r="H65" s="3">
        <f t="shared" si="2"/>
        <v>0.36444444444444446</v>
      </c>
      <c r="I65" s="1" t="s">
        <v>129</v>
      </c>
    </row>
    <row r="66" spans="1:9" x14ac:dyDescent="0.2">
      <c r="A66" s="1" t="s">
        <v>53</v>
      </c>
      <c r="B66" s="1" t="s">
        <v>55</v>
      </c>
      <c r="C66" s="1" t="s">
        <v>174</v>
      </c>
      <c r="D66" s="2">
        <v>172</v>
      </c>
      <c r="E66" s="2">
        <v>82</v>
      </c>
      <c r="F66" s="2">
        <f t="shared" si="0"/>
        <v>254</v>
      </c>
      <c r="G66" s="3">
        <f t="shared" si="1"/>
        <v>0.67716535433070868</v>
      </c>
      <c r="H66" s="3">
        <f t="shared" si="2"/>
        <v>0.32283464566929132</v>
      </c>
      <c r="I66" s="1" t="s">
        <v>129</v>
      </c>
    </row>
    <row r="67" spans="1:9" x14ac:dyDescent="0.2">
      <c r="A67" s="1" t="s">
        <v>53</v>
      </c>
      <c r="B67" s="1" t="s">
        <v>55</v>
      </c>
      <c r="C67" s="1" t="s">
        <v>175</v>
      </c>
      <c r="D67" s="2">
        <v>152</v>
      </c>
      <c r="E67" s="2">
        <v>79</v>
      </c>
      <c r="F67" s="2">
        <f t="shared" si="0"/>
        <v>231</v>
      </c>
      <c r="G67" s="3">
        <f t="shared" si="1"/>
        <v>0.65800865800865804</v>
      </c>
      <c r="H67" s="3">
        <f t="shared" si="2"/>
        <v>0.34199134199134201</v>
      </c>
      <c r="I67" s="1" t="s">
        <v>129</v>
      </c>
    </row>
    <row r="68" spans="1:9" x14ac:dyDescent="0.2">
      <c r="A68" s="1" t="s">
        <v>53</v>
      </c>
      <c r="B68" s="1" t="s">
        <v>55</v>
      </c>
      <c r="C68" s="1" t="s">
        <v>176</v>
      </c>
      <c r="D68" s="2">
        <v>177</v>
      </c>
      <c r="E68" s="2">
        <v>73</v>
      </c>
      <c r="F68" s="2">
        <f t="shared" si="0"/>
        <v>250</v>
      </c>
      <c r="G68" s="3">
        <f t="shared" si="1"/>
        <v>0.70799999999999996</v>
      </c>
      <c r="H68" s="3">
        <f t="shared" si="2"/>
        <v>0.29199999999999998</v>
      </c>
      <c r="I68" s="1" t="s">
        <v>129</v>
      </c>
    </row>
    <row r="69" spans="1:9" x14ac:dyDescent="0.2">
      <c r="A69" s="1" t="s">
        <v>53</v>
      </c>
      <c r="B69" s="1" t="s">
        <v>55</v>
      </c>
      <c r="C69" s="1" t="s">
        <v>177</v>
      </c>
      <c r="D69" s="2">
        <v>242</v>
      </c>
      <c r="E69" s="2">
        <v>110</v>
      </c>
      <c r="F69" s="2">
        <f t="shared" si="0"/>
        <v>352</v>
      </c>
      <c r="G69" s="3">
        <f t="shared" si="1"/>
        <v>0.6875</v>
      </c>
      <c r="H69" s="3">
        <f t="shared" si="2"/>
        <v>0.3125</v>
      </c>
      <c r="I69" s="1" t="s">
        <v>129</v>
      </c>
    </row>
    <row r="70" spans="1:9" x14ac:dyDescent="0.2">
      <c r="A70" s="1" t="s">
        <v>53</v>
      </c>
      <c r="B70" s="1" t="s">
        <v>55</v>
      </c>
      <c r="C70" s="1" t="s">
        <v>178</v>
      </c>
      <c r="D70" s="2">
        <v>679</v>
      </c>
      <c r="E70" s="2">
        <v>202</v>
      </c>
      <c r="F70" s="2">
        <f t="shared" si="0"/>
        <v>881</v>
      </c>
      <c r="G70" s="3">
        <f t="shared" si="1"/>
        <v>0.77071509648127123</v>
      </c>
      <c r="H70" s="3">
        <f t="shared" si="2"/>
        <v>0.22928490351872871</v>
      </c>
      <c r="I70" s="1" t="s">
        <v>129</v>
      </c>
    </row>
    <row r="71" spans="1:9" x14ac:dyDescent="0.2">
      <c r="A71" s="1" t="s">
        <v>53</v>
      </c>
      <c r="B71" s="1" t="s">
        <v>55</v>
      </c>
      <c r="C71" s="1" t="s">
        <v>179</v>
      </c>
      <c r="D71" s="2">
        <v>252</v>
      </c>
      <c r="E71" s="2">
        <v>135</v>
      </c>
      <c r="F71" s="2">
        <f t="shared" si="0"/>
        <v>387</v>
      </c>
      <c r="G71" s="3">
        <f t="shared" si="1"/>
        <v>0.65116279069767447</v>
      </c>
      <c r="H71" s="3">
        <f t="shared" si="2"/>
        <v>0.34883720930232559</v>
      </c>
      <c r="I71" s="1" t="s">
        <v>129</v>
      </c>
    </row>
    <row r="72" spans="1:9" x14ac:dyDescent="0.2">
      <c r="A72" s="1" t="s">
        <v>53</v>
      </c>
      <c r="B72" s="1" t="s">
        <v>55</v>
      </c>
      <c r="C72" s="1" t="s">
        <v>180</v>
      </c>
      <c r="D72" s="2">
        <v>405</v>
      </c>
      <c r="E72" s="2">
        <v>274</v>
      </c>
      <c r="F72" s="2">
        <f t="shared" si="0"/>
        <v>679</v>
      </c>
      <c r="G72" s="3">
        <f t="shared" si="1"/>
        <v>0.59646539027982326</v>
      </c>
      <c r="H72" s="3">
        <f t="shared" si="2"/>
        <v>0.40353460972017674</v>
      </c>
      <c r="I72" s="1" t="s">
        <v>129</v>
      </c>
    </row>
    <row r="73" spans="1:9" x14ac:dyDescent="0.2">
      <c r="A73" s="1" t="s">
        <v>53</v>
      </c>
      <c r="B73" s="1" t="s">
        <v>55</v>
      </c>
      <c r="C73" s="1" t="s">
        <v>181</v>
      </c>
      <c r="D73" s="2">
        <v>327</v>
      </c>
      <c r="E73" s="2">
        <v>197</v>
      </c>
      <c r="F73" s="2">
        <f t="shared" si="0"/>
        <v>524</v>
      </c>
      <c r="G73" s="3">
        <f t="shared" si="1"/>
        <v>0.62404580152671751</v>
      </c>
      <c r="H73" s="3">
        <f t="shared" si="2"/>
        <v>0.37595419847328243</v>
      </c>
      <c r="I73" s="1" t="s">
        <v>129</v>
      </c>
    </row>
    <row r="74" spans="1:9" x14ac:dyDescent="0.2">
      <c r="A74" s="1" t="s">
        <v>53</v>
      </c>
      <c r="B74" s="1" t="s">
        <v>55</v>
      </c>
      <c r="C74" s="1" t="s">
        <v>182</v>
      </c>
      <c r="D74" s="2">
        <v>255</v>
      </c>
      <c r="E74" s="2">
        <v>120</v>
      </c>
      <c r="F74" s="2">
        <f t="shared" si="0"/>
        <v>375</v>
      </c>
      <c r="G74" s="3">
        <f t="shared" si="1"/>
        <v>0.68</v>
      </c>
      <c r="H74" s="3">
        <f t="shared" si="2"/>
        <v>0.32</v>
      </c>
      <c r="I74" s="1" t="s">
        <v>129</v>
      </c>
    </row>
    <row r="75" spans="1:9" x14ac:dyDescent="0.2">
      <c r="A75" s="1" t="s">
        <v>53</v>
      </c>
      <c r="B75" s="1" t="s">
        <v>55</v>
      </c>
      <c r="C75" s="1" t="s">
        <v>183</v>
      </c>
      <c r="D75" s="2">
        <v>310</v>
      </c>
      <c r="E75" s="2">
        <v>188</v>
      </c>
      <c r="F75" s="2">
        <f t="shared" si="0"/>
        <v>498</v>
      </c>
      <c r="G75" s="3">
        <f t="shared" si="1"/>
        <v>0.6224899598393574</v>
      </c>
      <c r="H75" s="3">
        <f t="shared" si="2"/>
        <v>0.37751004016064255</v>
      </c>
      <c r="I75" s="1" t="s">
        <v>129</v>
      </c>
    </row>
    <row r="76" spans="1:9" x14ac:dyDescent="0.2">
      <c r="A76" s="1" t="s">
        <v>53</v>
      </c>
      <c r="B76" s="1" t="s">
        <v>55</v>
      </c>
      <c r="C76" s="1" t="s">
        <v>184</v>
      </c>
      <c r="D76" s="2">
        <v>305</v>
      </c>
      <c r="E76" s="2">
        <v>183</v>
      </c>
      <c r="F76" s="2">
        <f t="shared" ref="F76:F139" si="3">IF(COUNTA(D76:E76)=0,"",SUM(D76:E76))</f>
        <v>488</v>
      </c>
      <c r="G76" s="3">
        <f t="shared" ref="G76:G139" si="4">IF(OR(F76="",F76=0),"",D76/F76)</f>
        <v>0.625</v>
      </c>
      <c r="H76" s="3">
        <f t="shared" ref="H76:H139" si="5">IF(OR(F76="",F76=0),"",E76/F76)</f>
        <v>0.375</v>
      </c>
      <c r="I76" s="1" t="s">
        <v>129</v>
      </c>
    </row>
    <row r="77" spans="1:9" x14ac:dyDescent="0.2">
      <c r="A77" s="1" t="s">
        <v>53</v>
      </c>
      <c r="B77" s="1" t="s">
        <v>55</v>
      </c>
      <c r="C77" s="1" t="s">
        <v>185</v>
      </c>
      <c r="D77" s="2">
        <v>314</v>
      </c>
      <c r="E77" s="2">
        <v>251</v>
      </c>
      <c r="F77" s="2">
        <f t="shared" si="3"/>
        <v>565</v>
      </c>
      <c r="G77" s="3">
        <f t="shared" si="4"/>
        <v>0.55575221238938055</v>
      </c>
      <c r="H77" s="3">
        <f t="shared" si="5"/>
        <v>0.44424778761061945</v>
      </c>
      <c r="I77" s="1" t="s">
        <v>129</v>
      </c>
    </row>
    <row r="78" spans="1:9" x14ac:dyDescent="0.2">
      <c r="A78" s="1" t="s">
        <v>53</v>
      </c>
      <c r="B78" s="1" t="s">
        <v>55</v>
      </c>
      <c r="C78" s="1" t="s">
        <v>186</v>
      </c>
      <c r="D78" s="2">
        <v>245</v>
      </c>
      <c r="E78" s="2">
        <v>169</v>
      </c>
      <c r="F78" s="2">
        <f t="shared" si="3"/>
        <v>414</v>
      </c>
      <c r="G78" s="3">
        <f t="shared" si="4"/>
        <v>0.59178743961352653</v>
      </c>
      <c r="H78" s="3">
        <f t="shared" si="5"/>
        <v>0.40821256038647341</v>
      </c>
      <c r="I78" s="1" t="s">
        <v>129</v>
      </c>
    </row>
    <row r="79" spans="1:9" x14ac:dyDescent="0.2">
      <c r="A79" s="1" t="s">
        <v>53</v>
      </c>
      <c r="B79" s="1" t="s">
        <v>55</v>
      </c>
      <c r="C79" s="1" t="s">
        <v>187</v>
      </c>
      <c r="D79" s="2">
        <v>268</v>
      </c>
      <c r="E79" s="2">
        <v>132</v>
      </c>
      <c r="F79" s="2">
        <f t="shared" si="3"/>
        <v>400</v>
      </c>
      <c r="G79" s="3">
        <f t="shared" si="4"/>
        <v>0.67</v>
      </c>
      <c r="H79" s="3">
        <f t="shared" si="5"/>
        <v>0.33</v>
      </c>
      <c r="I79" s="1" t="s">
        <v>129</v>
      </c>
    </row>
    <row r="80" spans="1:9" x14ac:dyDescent="0.2">
      <c r="A80" s="1" t="s">
        <v>53</v>
      </c>
      <c r="B80" s="1" t="s">
        <v>55</v>
      </c>
      <c r="C80" s="1" t="s">
        <v>188</v>
      </c>
      <c r="D80" s="2">
        <v>176</v>
      </c>
      <c r="E80" s="2">
        <v>112</v>
      </c>
      <c r="F80" s="2">
        <f t="shared" si="3"/>
        <v>288</v>
      </c>
      <c r="G80" s="3">
        <f t="shared" si="4"/>
        <v>0.61111111111111116</v>
      </c>
      <c r="H80" s="3">
        <f t="shared" si="5"/>
        <v>0.3888888888888889</v>
      </c>
      <c r="I80" s="1" t="s">
        <v>129</v>
      </c>
    </row>
    <row r="81" spans="1:9" x14ac:dyDescent="0.2">
      <c r="A81" s="1" t="s">
        <v>53</v>
      </c>
      <c r="B81" s="1" t="s">
        <v>55</v>
      </c>
      <c r="C81" s="1" t="s">
        <v>189</v>
      </c>
      <c r="D81" s="2">
        <v>258</v>
      </c>
      <c r="E81" s="2">
        <v>141</v>
      </c>
      <c r="F81" s="2">
        <f t="shared" si="3"/>
        <v>399</v>
      </c>
      <c r="G81" s="3">
        <f t="shared" si="4"/>
        <v>0.64661654135338342</v>
      </c>
      <c r="H81" s="3">
        <f t="shared" si="5"/>
        <v>0.35338345864661652</v>
      </c>
      <c r="I81" s="1" t="s">
        <v>129</v>
      </c>
    </row>
    <row r="82" spans="1:9" x14ac:dyDescent="0.2">
      <c r="A82" s="1" t="s">
        <v>53</v>
      </c>
      <c r="B82" s="1" t="s">
        <v>55</v>
      </c>
      <c r="C82" s="1" t="s">
        <v>190</v>
      </c>
      <c r="D82" s="2">
        <v>200</v>
      </c>
      <c r="E82" s="2">
        <v>103</v>
      </c>
      <c r="F82" s="2">
        <f t="shared" si="3"/>
        <v>303</v>
      </c>
      <c r="G82" s="3">
        <f t="shared" si="4"/>
        <v>0.66006600660066006</v>
      </c>
      <c r="H82" s="3">
        <f t="shared" si="5"/>
        <v>0.33993399339933994</v>
      </c>
      <c r="I82" s="1" t="s">
        <v>129</v>
      </c>
    </row>
    <row r="83" spans="1:9" x14ac:dyDescent="0.2">
      <c r="A83" s="1" t="s">
        <v>53</v>
      </c>
      <c r="B83" s="1" t="s">
        <v>55</v>
      </c>
      <c r="C83" s="1" t="s">
        <v>191</v>
      </c>
      <c r="D83" s="2">
        <v>360</v>
      </c>
      <c r="E83" s="2">
        <v>209</v>
      </c>
      <c r="F83" s="2">
        <f t="shared" si="3"/>
        <v>569</v>
      </c>
      <c r="G83" s="3">
        <f t="shared" si="4"/>
        <v>0.63268892794376097</v>
      </c>
      <c r="H83" s="3">
        <f t="shared" si="5"/>
        <v>0.36731107205623903</v>
      </c>
      <c r="I83" s="1" t="s">
        <v>129</v>
      </c>
    </row>
    <row r="84" spans="1:9" x14ac:dyDescent="0.2">
      <c r="A84" s="1" t="s">
        <v>53</v>
      </c>
      <c r="B84" s="1" t="s">
        <v>55</v>
      </c>
      <c r="C84" s="1" t="s">
        <v>192</v>
      </c>
      <c r="D84" s="2">
        <v>358</v>
      </c>
      <c r="E84" s="2">
        <v>218</v>
      </c>
      <c r="F84" s="2">
        <f t="shared" si="3"/>
        <v>576</v>
      </c>
      <c r="G84" s="3">
        <f t="shared" si="4"/>
        <v>0.62152777777777779</v>
      </c>
      <c r="H84" s="3">
        <f t="shared" si="5"/>
        <v>0.37847222222222221</v>
      </c>
      <c r="I84" s="1" t="s">
        <v>129</v>
      </c>
    </row>
    <row r="85" spans="1:9" x14ac:dyDescent="0.2">
      <c r="A85" s="1" t="s">
        <v>53</v>
      </c>
      <c r="B85" s="1" t="s">
        <v>55</v>
      </c>
      <c r="C85" s="1" t="s">
        <v>193</v>
      </c>
      <c r="D85" s="2">
        <v>274</v>
      </c>
      <c r="E85" s="2">
        <v>245</v>
      </c>
      <c r="F85" s="2">
        <f t="shared" si="3"/>
        <v>519</v>
      </c>
      <c r="G85" s="3">
        <f t="shared" si="4"/>
        <v>0.52793834296724473</v>
      </c>
      <c r="H85" s="3">
        <f t="shared" si="5"/>
        <v>0.47206165703275532</v>
      </c>
      <c r="I85" s="1" t="s">
        <v>129</v>
      </c>
    </row>
    <row r="86" spans="1:9" x14ac:dyDescent="0.2">
      <c r="A86" s="1" t="s">
        <v>53</v>
      </c>
      <c r="B86" s="1" t="s">
        <v>55</v>
      </c>
      <c r="C86" s="1" t="s">
        <v>194</v>
      </c>
      <c r="D86" s="2">
        <v>354</v>
      </c>
      <c r="E86" s="2">
        <v>236</v>
      </c>
      <c r="F86" s="2">
        <f t="shared" si="3"/>
        <v>590</v>
      </c>
      <c r="G86" s="3">
        <f t="shared" si="4"/>
        <v>0.6</v>
      </c>
      <c r="H86" s="3">
        <f t="shared" si="5"/>
        <v>0.4</v>
      </c>
      <c r="I86" s="1" t="s">
        <v>129</v>
      </c>
    </row>
    <row r="87" spans="1:9" x14ac:dyDescent="0.2">
      <c r="A87" s="1" t="s">
        <v>53</v>
      </c>
      <c r="B87" s="1" t="s">
        <v>55</v>
      </c>
      <c r="C87" s="1" t="s">
        <v>195</v>
      </c>
      <c r="D87" s="2">
        <v>418</v>
      </c>
      <c r="E87" s="2">
        <v>280</v>
      </c>
      <c r="F87" s="2">
        <f t="shared" si="3"/>
        <v>698</v>
      </c>
      <c r="G87" s="3">
        <f t="shared" si="4"/>
        <v>0.59885386819484243</v>
      </c>
      <c r="H87" s="3">
        <f t="shared" si="5"/>
        <v>0.40114613180515757</v>
      </c>
      <c r="I87" s="1" t="s">
        <v>129</v>
      </c>
    </row>
    <row r="88" spans="1:9" x14ac:dyDescent="0.2">
      <c r="A88" s="1" t="s">
        <v>53</v>
      </c>
      <c r="B88" s="1" t="s">
        <v>55</v>
      </c>
      <c r="C88" s="1" t="s">
        <v>196</v>
      </c>
      <c r="D88" s="2">
        <v>264</v>
      </c>
      <c r="E88" s="2">
        <v>215</v>
      </c>
      <c r="F88" s="2">
        <f t="shared" si="3"/>
        <v>479</v>
      </c>
      <c r="G88" s="3">
        <f t="shared" si="4"/>
        <v>0.55114822546972864</v>
      </c>
      <c r="H88" s="3">
        <f t="shared" si="5"/>
        <v>0.44885177453027142</v>
      </c>
      <c r="I88" s="1" t="s">
        <v>129</v>
      </c>
    </row>
    <row r="89" spans="1:9" x14ac:dyDescent="0.2">
      <c r="A89" s="1" t="s">
        <v>53</v>
      </c>
      <c r="B89" s="1" t="s">
        <v>55</v>
      </c>
      <c r="C89" s="1" t="s">
        <v>197</v>
      </c>
      <c r="D89" s="2">
        <v>285</v>
      </c>
      <c r="E89" s="2">
        <v>182</v>
      </c>
      <c r="F89" s="2">
        <f t="shared" si="3"/>
        <v>467</v>
      </c>
      <c r="G89" s="3">
        <f t="shared" si="4"/>
        <v>0.61027837259100648</v>
      </c>
      <c r="H89" s="3">
        <f t="shared" si="5"/>
        <v>0.38972162740899358</v>
      </c>
      <c r="I89" s="1" t="s">
        <v>129</v>
      </c>
    </row>
    <row r="90" spans="1:9" x14ac:dyDescent="0.2">
      <c r="A90" s="1" t="s">
        <v>53</v>
      </c>
      <c r="B90" s="1" t="s">
        <v>55</v>
      </c>
      <c r="C90" s="1" t="s">
        <v>198</v>
      </c>
      <c r="D90" s="2">
        <v>480</v>
      </c>
      <c r="E90" s="2">
        <v>372</v>
      </c>
      <c r="F90" s="2">
        <f t="shared" si="3"/>
        <v>852</v>
      </c>
      <c r="G90" s="3">
        <f t="shared" si="4"/>
        <v>0.56338028169014087</v>
      </c>
      <c r="H90" s="3">
        <f t="shared" si="5"/>
        <v>0.43661971830985913</v>
      </c>
      <c r="I90" s="1" t="s">
        <v>129</v>
      </c>
    </row>
    <row r="91" spans="1:9" x14ac:dyDescent="0.2">
      <c r="A91" s="1" t="s">
        <v>53</v>
      </c>
      <c r="B91" s="1" t="s">
        <v>55</v>
      </c>
      <c r="C91" s="1" t="s">
        <v>199</v>
      </c>
      <c r="D91" s="2">
        <v>347</v>
      </c>
      <c r="E91" s="2">
        <v>169</v>
      </c>
      <c r="F91" s="2">
        <f t="shared" si="3"/>
        <v>516</v>
      </c>
      <c r="G91" s="3">
        <f t="shared" si="4"/>
        <v>0.67248062015503873</v>
      </c>
      <c r="H91" s="3">
        <f t="shared" si="5"/>
        <v>0.32751937984496127</v>
      </c>
      <c r="I91" s="1" t="s">
        <v>129</v>
      </c>
    </row>
    <row r="92" spans="1:9" x14ac:dyDescent="0.2">
      <c r="A92" s="1" t="s">
        <v>53</v>
      </c>
      <c r="B92" s="1" t="s">
        <v>55</v>
      </c>
      <c r="C92" s="1" t="s">
        <v>200</v>
      </c>
      <c r="D92" s="2">
        <v>380</v>
      </c>
      <c r="E92" s="2">
        <v>212</v>
      </c>
      <c r="F92" s="2">
        <f t="shared" si="3"/>
        <v>592</v>
      </c>
      <c r="G92" s="3">
        <f t="shared" si="4"/>
        <v>0.64189189189189189</v>
      </c>
      <c r="H92" s="3">
        <f t="shared" si="5"/>
        <v>0.35810810810810811</v>
      </c>
      <c r="I92" s="1" t="s">
        <v>129</v>
      </c>
    </row>
    <row r="93" spans="1:9" x14ac:dyDescent="0.2">
      <c r="A93" s="1" t="s">
        <v>53</v>
      </c>
      <c r="B93" s="1" t="s">
        <v>55</v>
      </c>
      <c r="C93" s="1" t="s">
        <v>201</v>
      </c>
      <c r="D93" s="2">
        <v>416</v>
      </c>
      <c r="E93" s="2">
        <v>230</v>
      </c>
      <c r="F93" s="2">
        <f t="shared" si="3"/>
        <v>646</v>
      </c>
      <c r="G93" s="3">
        <f t="shared" si="4"/>
        <v>0.64396284829721362</v>
      </c>
      <c r="H93" s="3">
        <f t="shared" si="5"/>
        <v>0.35603715170278638</v>
      </c>
      <c r="I93" s="1" t="s">
        <v>129</v>
      </c>
    </row>
    <row r="94" spans="1:9" x14ac:dyDescent="0.2">
      <c r="A94" s="1" t="s">
        <v>53</v>
      </c>
      <c r="B94" s="1" t="s">
        <v>55</v>
      </c>
      <c r="C94" s="1" t="s">
        <v>202</v>
      </c>
      <c r="D94" s="2">
        <v>326</v>
      </c>
      <c r="E94" s="2">
        <v>172</v>
      </c>
      <c r="F94" s="2">
        <f t="shared" si="3"/>
        <v>498</v>
      </c>
      <c r="G94" s="3">
        <f t="shared" si="4"/>
        <v>0.65461847389558236</v>
      </c>
      <c r="H94" s="3">
        <f t="shared" si="5"/>
        <v>0.34538152610441769</v>
      </c>
      <c r="I94" s="1" t="s">
        <v>203</v>
      </c>
    </row>
    <row r="95" spans="1:9" x14ac:dyDescent="0.2">
      <c r="A95" s="1" t="s">
        <v>53</v>
      </c>
      <c r="B95" s="1" t="s">
        <v>55</v>
      </c>
      <c r="C95" s="1" t="s">
        <v>204</v>
      </c>
      <c r="D95" s="2">
        <v>794</v>
      </c>
      <c r="E95" s="2">
        <v>430</v>
      </c>
      <c r="F95" s="2">
        <f t="shared" si="3"/>
        <v>1224</v>
      </c>
      <c r="G95" s="3">
        <f t="shared" si="4"/>
        <v>0.64869281045751637</v>
      </c>
      <c r="H95" s="3">
        <f t="shared" si="5"/>
        <v>0.35130718954248363</v>
      </c>
      <c r="I95" s="1" t="s">
        <v>203</v>
      </c>
    </row>
    <row r="96" spans="1:9" x14ac:dyDescent="0.2">
      <c r="A96" s="1" t="s">
        <v>53</v>
      </c>
      <c r="B96" s="1" t="s">
        <v>55</v>
      </c>
      <c r="C96" s="1" t="s">
        <v>205</v>
      </c>
      <c r="D96" s="2">
        <v>365</v>
      </c>
      <c r="E96" s="2">
        <v>189</v>
      </c>
      <c r="F96" s="2">
        <f t="shared" si="3"/>
        <v>554</v>
      </c>
      <c r="G96" s="3">
        <f t="shared" si="4"/>
        <v>0.65884476534296033</v>
      </c>
      <c r="H96" s="3">
        <f t="shared" si="5"/>
        <v>0.34115523465703973</v>
      </c>
      <c r="I96" s="1" t="s">
        <v>129</v>
      </c>
    </row>
    <row r="97" spans="1:9" x14ac:dyDescent="0.2">
      <c r="A97" s="1" t="s">
        <v>53</v>
      </c>
      <c r="B97" s="1" t="s">
        <v>55</v>
      </c>
      <c r="C97" s="1" t="s">
        <v>206</v>
      </c>
      <c r="D97" s="2">
        <v>446</v>
      </c>
      <c r="E97" s="2">
        <v>295</v>
      </c>
      <c r="F97" s="2">
        <f t="shared" si="3"/>
        <v>741</v>
      </c>
      <c r="G97" s="3">
        <f t="shared" si="4"/>
        <v>0.60188933873144401</v>
      </c>
      <c r="H97" s="3">
        <f t="shared" si="5"/>
        <v>0.39811066126855599</v>
      </c>
      <c r="I97" s="1" t="s">
        <v>129</v>
      </c>
    </row>
    <row r="98" spans="1:9" x14ac:dyDescent="0.2">
      <c r="A98" s="1" t="s">
        <v>53</v>
      </c>
      <c r="B98" s="1" t="s">
        <v>55</v>
      </c>
      <c r="C98" s="1" t="s">
        <v>207</v>
      </c>
      <c r="D98" s="2">
        <v>13</v>
      </c>
      <c r="E98" s="2">
        <v>7</v>
      </c>
      <c r="F98" s="2">
        <f t="shared" si="3"/>
        <v>20</v>
      </c>
      <c r="G98" s="3">
        <f t="shared" si="4"/>
        <v>0.65</v>
      </c>
      <c r="H98" s="3">
        <f t="shared" si="5"/>
        <v>0.35</v>
      </c>
      <c r="I98" s="1" t="s">
        <v>203</v>
      </c>
    </row>
    <row r="99" spans="1:9" x14ac:dyDescent="0.2">
      <c r="A99" s="1" t="s">
        <v>53</v>
      </c>
      <c r="B99" s="1" t="s">
        <v>55</v>
      </c>
      <c r="C99" s="1" t="s">
        <v>208</v>
      </c>
      <c r="D99" s="2">
        <v>202</v>
      </c>
      <c r="E99" s="2">
        <v>173</v>
      </c>
      <c r="F99" s="2">
        <f t="shared" si="3"/>
        <v>375</v>
      </c>
      <c r="G99" s="3">
        <f t="shared" si="4"/>
        <v>0.53866666666666663</v>
      </c>
      <c r="H99" s="3">
        <f t="shared" si="5"/>
        <v>0.46133333333333332</v>
      </c>
      <c r="I99" s="1" t="s">
        <v>129</v>
      </c>
    </row>
    <row r="100" spans="1:9" x14ac:dyDescent="0.2">
      <c r="A100" s="1" t="s">
        <v>53</v>
      </c>
      <c r="B100" s="1" t="s">
        <v>55</v>
      </c>
      <c r="C100" s="1" t="s">
        <v>209</v>
      </c>
      <c r="D100" s="2">
        <v>367</v>
      </c>
      <c r="E100" s="2">
        <v>221</v>
      </c>
      <c r="F100" s="2">
        <f t="shared" si="3"/>
        <v>588</v>
      </c>
      <c r="G100" s="3">
        <f t="shared" si="4"/>
        <v>0.62414965986394555</v>
      </c>
      <c r="H100" s="3">
        <f t="shared" si="5"/>
        <v>0.37585034013605439</v>
      </c>
      <c r="I100" s="1" t="s">
        <v>129</v>
      </c>
    </row>
    <row r="101" spans="1:9" x14ac:dyDescent="0.2">
      <c r="A101" s="1" t="s">
        <v>53</v>
      </c>
      <c r="B101" s="1" t="s">
        <v>55</v>
      </c>
      <c r="C101" s="1" t="s">
        <v>210</v>
      </c>
      <c r="D101" s="2">
        <v>247</v>
      </c>
      <c r="E101" s="2">
        <v>176</v>
      </c>
      <c r="F101" s="2">
        <f t="shared" si="3"/>
        <v>423</v>
      </c>
      <c r="G101" s="3">
        <f t="shared" si="4"/>
        <v>0.58392434988179664</v>
      </c>
      <c r="H101" s="3">
        <f t="shared" si="5"/>
        <v>0.4160756501182033</v>
      </c>
      <c r="I101" s="1" t="s">
        <v>129</v>
      </c>
    </row>
    <row r="102" spans="1:9" x14ac:dyDescent="0.2">
      <c r="A102" s="1" t="s">
        <v>53</v>
      </c>
      <c r="B102" s="1" t="s">
        <v>55</v>
      </c>
      <c r="C102" s="1" t="s">
        <v>211</v>
      </c>
      <c r="D102" s="2">
        <v>250</v>
      </c>
      <c r="E102" s="2">
        <v>156</v>
      </c>
      <c r="F102" s="2">
        <f t="shared" si="3"/>
        <v>406</v>
      </c>
      <c r="G102" s="3">
        <f t="shared" si="4"/>
        <v>0.61576354679802958</v>
      </c>
      <c r="H102" s="3">
        <f t="shared" si="5"/>
        <v>0.38423645320197042</v>
      </c>
      <c r="I102" s="1" t="s">
        <v>129</v>
      </c>
    </row>
    <row r="103" spans="1:9" x14ac:dyDescent="0.2">
      <c r="A103" s="1" t="s">
        <v>53</v>
      </c>
      <c r="B103" s="1" t="s">
        <v>55</v>
      </c>
      <c r="C103" s="1" t="s">
        <v>212</v>
      </c>
      <c r="D103" s="2">
        <v>363</v>
      </c>
      <c r="E103" s="2">
        <v>250</v>
      </c>
      <c r="F103" s="2">
        <f t="shared" si="3"/>
        <v>613</v>
      </c>
      <c r="G103" s="3">
        <f t="shared" si="4"/>
        <v>0.59216965742251226</v>
      </c>
      <c r="H103" s="3">
        <f t="shared" si="5"/>
        <v>0.40783034257748779</v>
      </c>
      <c r="I103" s="1" t="s">
        <v>129</v>
      </c>
    </row>
    <row r="104" spans="1:9" x14ac:dyDescent="0.2">
      <c r="A104" s="1" t="s">
        <v>53</v>
      </c>
      <c r="B104" s="1" t="s">
        <v>55</v>
      </c>
      <c r="C104" s="1" t="s">
        <v>213</v>
      </c>
      <c r="D104" s="2">
        <v>1</v>
      </c>
      <c r="E104" s="2">
        <v>1</v>
      </c>
      <c r="F104" s="2">
        <f t="shared" si="3"/>
        <v>2</v>
      </c>
      <c r="G104" s="3">
        <f t="shared" si="4"/>
        <v>0.5</v>
      </c>
      <c r="H104" s="3">
        <f t="shared" si="5"/>
        <v>0.5</v>
      </c>
      <c r="I104" s="1" t="s">
        <v>203</v>
      </c>
    </row>
    <row r="105" spans="1:9" x14ac:dyDescent="0.2">
      <c r="A105" s="1" t="s">
        <v>53</v>
      </c>
      <c r="B105" s="1" t="s">
        <v>55</v>
      </c>
      <c r="C105" s="1" t="s">
        <v>214</v>
      </c>
      <c r="D105" s="2">
        <v>482</v>
      </c>
      <c r="E105" s="2">
        <v>307</v>
      </c>
      <c r="F105" s="2">
        <f t="shared" si="3"/>
        <v>789</v>
      </c>
      <c r="G105" s="3">
        <f t="shared" si="4"/>
        <v>0.61089987325728767</v>
      </c>
      <c r="H105" s="3">
        <f t="shared" si="5"/>
        <v>0.38910012674271227</v>
      </c>
      <c r="I105" s="1" t="s">
        <v>129</v>
      </c>
    </row>
    <row r="106" spans="1:9" x14ac:dyDescent="0.2">
      <c r="A106" s="1" t="s">
        <v>53</v>
      </c>
      <c r="B106" s="1" t="s">
        <v>55</v>
      </c>
      <c r="C106" s="1" t="s">
        <v>215</v>
      </c>
      <c r="D106" s="2">
        <v>216</v>
      </c>
      <c r="E106" s="2">
        <v>96</v>
      </c>
      <c r="F106" s="2">
        <f t="shared" si="3"/>
        <v>312</v>
      </c>
      <c r="G106" s="3">
        <f t="shared" si="4"/>
        <v>0.69230769230769229</v>
      </c>
      <c r="H106" s="3">
        <f t="shared" si="5"/>
        <v>0.30769230769230771</v>
      </c>
      <c r="I106" s="1" t="s">
        <v>129</v>
      </c>
    </row>
    <row r="107" spans="1:9" x14ac:dyDescent="0.2">
      <c r="A107" s="1" t="s">
        <v>53</v>
      </c>
      <c r="B107" s="1" t="s">
        <v>55</v>
      </c>
      <c r="C107" s="1" t="s">
        <v>216</v>
      </c>
      <c r="D107" s="2">
        <v>154</v>
      </c>
      <c r="E107" s="2">
        <v>90</v>
      </c>
      <c r="F107" s="2">
        <f t="shared" si="3"/>
        <v>244</v>
      </c>
      <c r="G107" s="3">
        <f t="shared" si="4"/>
        <v>0.63114754098360659</v>
      </c>
      <c r="H107" s="3">
        <f t="shared" si="5"/>
        <v>0.36885245901639346</v>
      </c>
      <c r="I107" s="1" t="s">
        <v>203</v>
      </c>
    </row>
    <row r="108" spans="1:9" x14ac:dyDescent="0.2">
      <c r="A108" s="1" t="s">
        <v>53</v>
      </c>
      <c r="B108" s="1" t="s">
        <v>55</v>
      </c>
      <c r="C108" s="1" t="s">
        <v>217</v>
      </c>
      <c r="D108" s="2">
        <v>363</v>
      </c>
      <c r="E108" s="2">
        <v>153</v>
      </c>
      <c r="F108" s="2">
        <f t="shared" si="3"/>
        <v>516</v>
      </c>
      <c r="G108" s="3">
        <f t="shared" si="4"/>
        <v>0.70348837209302328</v>
      </c>
      <c r="H108" s="3">
        <f t="shared" si="5"/>
        <v>0.29651162790697677</v>
      </c>
      <c r="I108" s="1" t="s">
        <v>129</v>
      </c>
    </row>
    <row r="109" spans="1:9" x14ac:dyDescent="0.2">
      <c r="A109" s="1" t="s">
        <v>53</v>
      </c>
      <c r="B109" s="1" t="s">
        <v>55</v>
      </c>
      <c r="C109" s="1" t="s">
        <v>218</v>
      </c>
      <c r="D109" s="2">
        <v>154</v>
      </c>
      <c r="E109" s="2">
        <v>83</v>
      </c>
      <c r="F109" s="2">
        <f t="shared" si="3"/>
        <v>237</v>
      </c>
      <c r="G109" s="3">
        <f t="shared" si="4"/>
        <v>0.64978902953586493</v>
      </c>
      <c r="H109" s="3">
        <f t="shared" si="5"/>
        <v>0.35021097046413502</v>
      </c>
      <c r="I109" s="1" t="s">
        <v>129</v>
      </c>
    </row>
    <row r="110" spans="1:9" x14ac:dyDescent="0.2">
      <c r="A110" s="1" t="s">
        <v>53</v>
      </c>
      <c r="B110" s="1" t="s">
        <v>55</v>
      </c>
      <c r="C110" s="1" t="s">
        <v>219</v>
      </c>
      <c r="D110" s="2">
        <v>200</v>
      </c>
      <c r="E110" s="2">
        <v>76</v>
      </c>
      <c r="F110" s="2">
        <f t="shared" si="3"/>
        <v>276</v>
      </c>
      <c r="G110" s="3">
        <f t="shared" si="4"/>
        <v>0.72463768115942029</v>
      </c>
      <c r="H110" s="3">
        <f t="shared" si="5"/>
        <v>0.27536231884057971</v>
      </c>
      <c r="I110" s="1" t="s">
        <v>129</v>
      </c>
    </row>
    <row r="111" spans="1:9" x14ac:dyDescent="0.2">
      <c r="A111" s="1" t="s">
        <v>53</v>
      </c>
      <c r="B111" s="1" t="s">
        <v>55</v>
      </c>
      <c r="C111" s="1" t="s">
        <v>220</v>
      </c>
      <c r="D111" s="2">
        <v>85</v>
      </c>
      <c r="E111" s="2">
        <v>57</v>
      </c>
      <c r="F111" s="2">
        <f t="shared" si="3"/>
        <v>142</v>
      </c>
      <c r="G111" s="3">
        <f t="shared" si="4"/>
        <v>0.59859154929577463</v>
      </c>
      <c r="H111" s="3">
        <f t="shared" si="5"/>
        <v>0.40140845070422537</v>
      </c>
      <c r="I111" s="1" t="s">
        <v>129</v>
      </c>
    </row>
    <row r="112" spans="1:9" x14ac:dyDescent="0.2">
      <c r="A112" s="1" t="s">
        <v>53</v>
      </c>
      <c r="B112" s="1" t="s">
        <v>55</v>
      </c>
      <c r="C112" s="1" t="s">
        <v>221</v>
      </c>
      <c r="D112" s="2">
        <v>169</v>
      </c>
      <c r="E112" s="2">
        <v>112</v>
      </c>
      <c r="F112" s="2">
        <f t="shared" si="3"/>
        <v>281</v>
      </c>
      <c r="G112" s="3">
        <f t="shared" si="4"/>
        <v>0.60142348754448394</v>
      </c>
      <c r="H112" s="3">
        <f t="shared" si="5"/>
        <v>0.39857651245551601</v>
      </c>
      <c r="I112" s="1" t="s">
        <v>129</v>
      </c>
    </row>
    <row r="113" spans="1:9" x14ac:dyDescent="0.2">
      <c r="A113" s="1" t="s">
        <v>53</v>
      </c>
      <c r="B113" s="1" t="s">
        <v>55</v>
      </c>
      <c r="C113" s="1" t="s">
        <v>222</v>
      </c>
      <c r="D113" s="2">
        <v>267</v>
      </c>
      <c r="E113" s="2">
        <v>113</v>
      </c>
      <c r="F113" s="2">
        <f t="shared" si="3"/>
        <v>380</v>
      </c>
      <c r="G113" s="3">
        <f t="shared" si="4"/>
        <v>0.70263157894736838</v>
      </c>
      <c r="H113" s="3">
        <f t="shared" si="5"/>
        <v>0.29736842105263156</v>
      </c>
      <c r="I113" s="1" t="s">
        <v>129</v>
      </c>
    </row>
    <row r="114" spans="1:9" x14ac:dyDescent="0.2">
      <c r="A114" s="1" t="s">
        <v>53</v>
      </c>
      <c r="B114" s="1" t="s">
        <v>55</v>
      </c>
      <c r="C114" s="1" t="s">
        <v>223</v>
      </c>
      <c r="D114" s="2">
        <v>114</v>
      </c>
      <c r="E114" s="2">
        <v>49</v>
      </c>
      <c r="F114" s="2">
        <f t="shared" si="3"/>
        <v>163</v>
      </c>
      <c r="G114" s="3">
        <f t="shared" si="4"/>
        <v>0.69938650306748462</v>
      </c>
      <c r="H114" s="3">
        <f t="shared" si="5"/>
        <v>0.30061349693251532</v>
      </c>
      <c r="I114" s="1" t="s">
        <v>129</v>
      </c>
    </row>
    <row r="115" spans="1:9" x14ac:dyDescent="0.2">
      <c r="A115" s="1" t="s">
        <v>53</v>
      </c>
      <c r="B115" s="1" t="s">
        <v>55</v>
      </c>
      <c r="C115" s="1" t="s">
        <v>224</v>
      </c>
      <c r="D115" s="2">
        <v>121</v>
      </c>
      <c r="E115" s="2">
        <v>54</v>
      </c>
      <c r="F115" s="2">
        <f t="shared" si="3"/>
        <v>175</v>
      </c>
      <c r="G115" s="3">
        <f t="shared" si="4"/>
        <v>0.69142857142857139</v>
      </c>
      <c r="H115" s="3">
        <f t="shared" si="5"/>
        <v>0.30857142857142855</v>
      </c>
      <c r="I115" s="1" t="s">
        <v>129</v>
      </c>
    </row>
    <row r="116" spans="1:9" x14ac:dyDescent="0.2">
      <c r="A116" s="1" t="s">
        <v>53</v>
      </c>
      <c r="B116" s="1" t="s">
        <v>55</v>
      </c>
      <c r="C116" s="1" t="s">
        <v>225</v>
      </c>
      <c r="D116" s="2">
        <v>198</v>
      </c>
      <c r="E116" s="2">
        <v>81</v>
      </c>
      <c r="F116" s="2">
        <f t="shared" si="3"/>
        <v>279</v>
      </c>
      <c r="G116" s="3">
        <f t="shared" si="4"/>
        <v>0.70967741935483875</v>
      </c>
      <c r="H116" s="3">
        <f t="shared" si="5"/>
        <v>0.29032258064516131</v>
      </c>
      <c r="I116" s="1" t="s">
        <v>129</v>
      </c>
    </row>
    <row r="117" spans="1:9" x14ac:dyDescent="0.2">
      <c r="A117" s="1" t="s">
        <v>53</v>
      </c>
      <c r="B117" s="1" t="s">
        <v>55</v>
      </c>
      <c r="C117" s="1" t="s">
        <v>226</v>
      </c>
      <c r="D117" s="2">
        <v>346</v>
      </c>
      <c r="E117" s="2">
        <v>185</v>
      </c>
      <c r="F117" s="2">
        <f t="shared" si="3"/>
        <v>531</v>
      </c>
      <c r="G117" s="3">
        <f t="shared" si="4"/>
        <v>0.65160075329566858</v>
      </c>
      <c r="H117" s="3">
        <f t="shared" si="5"/>
        <v>0.34839924670433148</v>
      </c>
      <c r="I117" s="1" t="s">
        <v>129</v>
      </c>
    </row>
    <row r="118" spans="1:9" x14ac:dyDescent="0.2">
      <c r="A118" s="1" t="s">
        <v>53</v>
      </c>
      <c r="B118" s="1" t="s">
        <v>55</v>
      </c>
      <c r="C118" s="1" t="s">
        <v>227</v>
      </c>
      <c r="D118" s="2">
        <v>157</v>
      </c>
      <c r="E118" s="2">
        <v>80</v>
      </c>
      <c r="F118" s="2">
        <f t="shared" si="3"/>
        <v>237</v>
      </c>
      <c r="G118" s="3">
        <f t="shared" si="4"/>
        <v>0.66244725738396626</v>
      </c>
      <c r="H118" s="3">
        <f t="shared" si="5"/>
        <v>0.33755274261603374</v>
      </c>
      <c r="I118" s="1" t="s">
        <v>129</v>
      </c>
    </row>
    <row r="119" spans="1:9" x14ac:dyDescent="0.2">
      <c r="A119" s="1" t="s">
        <v>53</v>
      </c>
      <c r="B119" s="1" t="s">
        <v>55</v>
      </c>
      <c r="C119" s="1" t="s">
        <v>228</v>
      </c>
      <c r="D119" s="2">
        <v>166</v>
      </c>
      <c r="E119" s="2">
        <v>83</v>
      </c>
      <c r="F119" s="2">
        <f t="shared" si="3"/>
        <v>249</v>
      </c>
      <c r="G119" s="3">
        <f t="shared" si="4"/>
        <v>0.66666666666666663</v>
      </c>
      <c r="H119" s="3">
        <f t="shared" si="5"/>
        <v>0.33333333333333331</v>
      </c>
      <c r="I119" s="1" t="s">
        <v>129</v>
      </c>
    </row>
    <row r="120" spans="1:9" x14ac:dyDescent="0.2">
      <c r="A120" s="1" t="s">
        <v>53</v>
      </c>
      <c r="B120" s="1" t="s">
        <v>55</v>
      </c>
      <c r="C120" s="1" t="s">
        <v>229</v>
      </c>
      <c r="D120" s="2">
        <v>279</v>
      </c>
      <c r="E120" s="2">
        <v>181</v>
      </c>
      <c r="F120" s="2">
        <f t="shared" si="3"/>
        <v>460</v>
      </c>
      <c r="G120" s="3">
        <f t="shared" si="4"/>
        <v>0.60652173913043483</v>
      </c>
      <c r="H120" s="3">
        <f t="shared" si="5"/>
        <v>0.39347826086956522</v>
      </c>
      <c r="I120" s="1" t="s">
        <v>129</v>
      </c>
    </row>
    <row r="121" spans="1:9" x14ac:dyDescent="0.2">
      <c r="A121" s="1" t="s">
        <v>53</v>
      </c>
      <c r="B121" s="1" t="s">
        <v>55</v>
      </c>
      <c r="C121" s="1" t="s">
        <v>230</v>
      </c>
      <c r="D121" s="2">
        <v>202</v>
      </c>
      <c r="E121" s="2">
        <v>108</v>
      </c>
      <c r="F121" s="2">
        <f t="shared" si="3"/>
        <v>310</v>
      </c>
      <c r="G121" s="3">
        <f t="shared" si="4"/>
        <v>0.65161290322580645</v>
      </c>
      <c r="H121" s="3">
        <f t="shared" si="5"/>
        <v>0.34838709677419355</v>
      </c>
      <c r="I121" s="1" t="s">
        <v>129</v>
      </c>
    </row>
    <row r="122" spans="1:9" x14ac:dyDescent="0.2">
      <c r="A122" s="1" t="s">
        <v>53</v>
      </c>
      <c r="B122" s="1" t="s">
        <v>56</v>
      </c>
      <c r="C122" s="1" t="s">
        <v>231</v>
      </c>
      <c r="D122" s="2">
        <v>435</v>
      </c>
      <c r="E122" s="2">
        <v>186</v>
      </c>
      <c r="F122" s="2">
        <f t="shared" si="3"/>
        <v>621</v>
      </c>
      <c r="G122" s="3">
        <f t="shared" si="4"/>
        <v>0.70048309178743962</v>
      </c>
      <c r="H122" s="3">
        <f t="shared" si="5"/>
        <v>0.29951690821256038</v>
      </c>
      <c r="I122" s="1" t="s">
        <v>129</v>
      </c>
    </row>
    <row r="123" spans="1:9" x14ac:dyDescent="0.2">
      <c r="A123" s="1" t="s">
        <v>53</v>
      </c>
      <c r="B123" s="1" t="s">
        <v>56</v>
      </c>
      <c r="C123" s="1" t="s">
        <v>232</v>
      </c>
      <c r="D123" s="2">
        <v>309</v>
      </c>
      <c r="E123" s="2">
        <v>149</v>
      </c>
      <c r="F123" s="2">
        <f t="shared" si="3"/>
        <v>458</v>
      </c>
      <c r="G123" s="3">
        <f t="shared" si="4"/>
        <v>0.6746724890829694</v>
      </c>
      <c r="H123" s="3">
        <f t="shared" si="5"/>
        <v>0.32532751091703055</v>
      </c>
      <c r="I123" s="1" t="s">
        <v>129</v>
      </c>
    </row>
    <row r="124" spans="1:9" x14ac:dyDescent="0.2">
      <c r="A124" s="1" t="s">
        <v>53</v>
      </c>
      <c r="B124" s="1" t="s">
        <v>56</v>
      </c>
      <c r="C124" s="1" t="s">
        <v>233</v>
      </c>
      <c r="D124" s="2">
        <v>347</v>
      </c>
      <c r="E124" s="2">
        <v>135</v>
      </c>
      <c r="F124" s="2">
        <f t="shared" si="3"/>
        <v>482</v>
      </c>
      <c r="G124" s="3">
        <f t="shared" si="4"/>
        <v>0.71991701244813278</v>
      </c>
      <c r="H124" s="3">
        <f t="shared" si="5"/>
        <v>0.28008298755186722</v>
      </c>
      <c r="I124" s="1" t="s">
        <v>129</v>
      </c>
    </row>
    <row r="125" spans="1:9" x14ac:dyDescent="0.2">
      <c r="A125" s="1" t="s">
        <v>53</v>
      </c>
      <c r="B125" s="1" t="s">
        <v>56</v>
      </c>
      <c r="C125" s="1" t="s">
        <v>234</v>
      </c>
      <c r="D125" s="2">
        <v>392</v>
      </c>
      <c r="E125" s="2">
        <v>185</v>
      </c>
      <c r="F125" s="2">
        <f t="shared" si="3"/>
        <v>577</v>
      </c>
      <c r="G125" s="3">
        <f t="shared" si="4"/>
        <v>0.67937608318890819</v>
      </c>
      <c r="H125" s="3">
        <f t="shared" si="5"/>
        <v>0.32062391681109187</v>
      </c>
      <c r="I125" s="1" t="s">
        <v>129</v>
      </c>
    </row>
    <row r="126" spans="1:9" x14ac:dyDescent="0.2">
      <c r="A126" s="1" t="s">
        <v>53</v>
      </c>
      <c r="B126" s="1" t="s">
        <v>56</v>
      </c>
      <c r="C126" s="1" t="s">
        <v>235</v>
      </c>
      <c r="D126" s="2">
        <v>557</v>
      </c>
      <c r="E126" s="2">
        <v>300</v>
      </c>
      <c r="F126" s="2">
        <f t="shared" si="3"/>
        <v>857</v>
      </c>
      <c r="G126" s="3">
        <f t="shared" si="4"/>
        <v>0.6499416569428238</v>
      </c>
      <c r="H126" s="3">
        <f t="shared" si="5"/>
        <v>0.3500583430571762</v>
      </c>
      <c r="I126" s="1" t="s">
        <v>129</v>
      </c>
    </row>
    <row r="127" spans="1:9" x14ac:dyDescent="0.2">
      <c r="A127" s="1" t="s">
        <v>53</v>
      </c>
      <c r="B127" s="1" t="s">
        <v>56</v>
      </c>
      <c r="C127" s="1" t="s">
        <v>236</v>
      </c>
      <c r="D127" s="2">
        <v>397</v>
      </c>
      <c r="E127" s="2">
        <v>255</v>
      </c>
      <c r="F127" s="2">
        <f t="shared" si="3"/>
        <v>652</v>
      </c>
      <c r="G127" s="3">
        <f t="shared" si="4"/>
        <v>0.60889570552147243</v>
      </c>
      <c r="H127" s="3">
        <f t="shared" si="5"/>
        <v>0.39110429447852763</v>
      </c>
      <c r="I127" s="1" t="s">
        <v>129</v>
      </c>
    </row>
    <row r="128" spans="1:9" x14ac:dyDescent="0.2">
      <c r="A128" s="1" t="s">
        <v>53</v>
      </c>
      <c r="B128" s="1" t="s">
        <v>56</v>
      </c>
      <c r="C128" s="1" t="s">
        <v>237</v>
      </c>
      <c r="D128" s="2">
        <v>435</v>
      </c>
      <c r="E128" s="2">
        <v>291</v>
      </c>
      <c r="F128" s="2">
        <f t="shared" si="3"/>
        <v>726</v>
      </c>
      <c r="G128" s="3">
        <f t="shared" si="4"/>
        <v>0.59917355371900827</v>
      </c>
      <c r="H128" s="3">
        <f t="shared" si="5"/>
        <v>0.40082644628099173</v>
      </c>
      <c r="I128" s="1" t="s">
        <v>129</v>
      </c>
    </row>
    <row r="129" spans="1:9" x14ac:dyDescent="0.2">
      <c r="A129" s="1" t="s">
        <v>53</v>
      </c>
      <c r="B129" s="1" t="s">
        <v>56</v>
      </c>
      <c r="C129" s="1" t="s">
        <v>238</v>
      </c>
      <c r="D129" s="2">
        <v>568</v>
      </c>
      <c r="E129" s="2">
        <v>377</v>
      </c>
      <c r="F129" s="2">
        <f t="shared" si="3"/>
        <v>945</v>
      </c>
      <c r="G129" s="3">
        <f t="shared" si="4"/>
        <v>0.60105820105820107</v>
      </c>
      <c r="H129" s="3">
        <f t="shared" si="5"/>
        <v>0.39894179894179893</v>
      </c>
      <c r="I129" s="1" t="s">
        <v>129</v>
      </c>
    </row>
    <row r="130" spans="1:9" x14ac:dyDescent="0.2">
      <c r="A130" s="1" t="s">
        <v>53</v>
      </c>
      <c r="B130" s="1" t="s">
        <v>56</v>
      </c>
      <c r="C130" s="1" t="s">
        <v>239</v>
      </c>
      <c r="D130" s="2">
        <v>426</v>
      </c>
      <c r="E130" s="2">
        <v>269</v>
      </c>
      <c r="F130" s="2">
        <f t="shared" si="3"/>
        <v>695</v>
      </c>
      <c r="G130" s="3">
        <f t="shared" si="4"/>
        <v>0.61294964028776977</v>
      </c>
      <c r="H130" s="3">
        <f t="shared" si="5"/>
        <v>0.38705035971223023</v>
      </c>
      <c r="I130" s="1" t="s">
        <v>129</v>
      </c>
    </row>
    <row r="131" spans="1:9" x14ac:dyDescent="0.2">
      <c r="A131" s="1" t="s">
        <v>53</v>
      </c>
      <c r="B131" s="1" t="s">
        <v>56</v>
      </c>
      <c r="C131" s="1" t="s">
        <v>240</v>
      </c>
      <c r="D131" s="2">
        <v>336</v>
      </c>
      <c r="E131" s="2">
        <v>268</v>
      </c>
      <c r="F131" s="2">
        <f t="shared" si="3"/>
        <v>604</v>
      </c>
      <c r="G131" s="3">
        <f t="shared" si="4"/>
        <v>0.55629139072847678</v>
      </c>
      <c r="H131" s="3">
        <f t="shared" si="5"/>
        <v>0.44370860927152317</v>
      </c>
      <c r="I131" s="1" t="s">
        <v>129</v>
      </c>
    </row>
    <row r="132" spans="1:9" x14ac:dyDescent="0.2">
      <c r="A132" s="1" t="s">
        <v>53</v>
      </c>
      <c r="B132" s="1" t="s">
        <v>56</v>
      </c>
      <c r="C132" s="1" t="s">
        <v>241</v>
      </c>
      <c r="D132" s="2">
        <v>406</v>
      </c>
      <c r="E132" s="2">
        <v>237</v>
      </c>
      <c r="F132" s="2">
        <f t="shared" si="3"/>
        <v>643</v>
      </c>
      <c r="G132" s="3">
        <f t="shared" si="4"/>
        <v>0.63141524105754276</v>
      </c>
      <c r="H132" s="3">
        <f t="shared" si="5"/>
        <v>0.36858475894245724</v>
      </c>
      <c r="I132" s="1" t="s">
        <v>129</v>
      </c>
    </row>
    <row r="133" spans="1:9" x14ac:dyDescent="0.2">
      <c r="A133" s="1" t="s">
        <v>53</v>
      </c>
      <c r="B133" s="1" t="s">
        <v>56</v>
      </c>
      <c r="C133" s="1" t="s">
        <v>242</v>
      </c>
      <c r="D133" s="2">
        <v>432</v>
      </c>
      <c r="E133" s="2">
        <v>285</v>
      </c>
      <c r="F133" s="2">
        <f t="shared" si="3"/>
        <v>717</v>
      </c>
      <c r="G133" s="3">
        <f t="shared" si="4"/>
        <v>0.60251046025104604</v>
      </c>
      <c r="H133" s="3">
        <f t="shared" si="5"/>
        <v>0.39748953974895396</v>
      </c>
      <c r="I133" s="1" t="s">
        <v>129</v>
      </c>
    </row>
    <row r="134" spans="1:9" x14ac:dyDescent="0.2">
      <c r="A134" s="1" t="s">
        <v>53</v>
      </c>
      <c r="B134" s="1" t="s">
        <v>57</v>
      </c>
      <c r="C134" s="1" t="s">
        <v>243</v>
      </c>
      <c r="D134" s="2">
        <v>373</v>
      </c>
      <c r="E134" s="2">
        <v>313</v>
      </c>
      <c r="F134" s="2">
        <f t="shared" si="3"/>
        <v>686</v>
      </c>
      <c r="G134" s="3">
        <f t="shared" si="4"/>
        <v>0.54373177842565601</v>
      </c>
      <c r="H134" s="3">
        <f t="shared" si="5"/>
        <v>0.45626822157434405</v>
      </c>
      <c r="I134" s="1" t="s">
        <v>129</v>
      </c>
    </row>
    <row r="135" spans="1:9" x14ac:dyDescent="0.2">
      <c r="A135" s="1" t="s">
        <v>53</v>
      </c>
      <c r="B135" s="1" t="s">
        <v>57</v>
      </c>
      <c r="C135" s="1" t="s">
        <v>244</v>
      </c>
      <c r="D135" s="2">
        <v>341</v>
      </c>
      <c r="E135" s="2">
        <v>376</v>
      </c>
      <c r="F135" s="2">
        <f t="shared" si="3"/>
        <v>717</v>
      </c>
      <c r="G135" s="3">
        <f t="shared" si="4"/>
        <v>0.47559274755927478</v>
      </c>
      <c r="H135" s="3">
        <f t="shared" si="5"/>
        <v>0.52440725244072528</v>
      </c>
      <c r="I135" s="1" t="s">
        <v>129</v>
      </c>
    </row>
    <row r="136" spans="1:9" x14ac:dyDescent="0.2">
      <c r="A136" s="1" t="s">
        <v>53</v>
      </c>
      <c r="B136" s="1" t="s">
        <v>57</v>
      </c>
      <c r="C136" s="1" t="s">
        <v>245</v>
      </c>
      <c r="D136" s="2">
        <v>394</v>
      </c>
      <c r="E136" s="2">
        <v>381</v>
      </c>
      <c r="F136" s="2">
        <f t="shared" si="3"/>
        <v>775</v>
      </c>
      <c r="G136" s="3">
        <f t="shared" si="4"/>
        <v>0.50838709677419358</v>
      </c>
      <c r="H136" s="3">
        <f t="shared" si="5"/>
        <v>0.49161290322580647</v>
      </c>
      <c r="I136" s="1" t="s">
        <v>129</v>
      </c>
    </row>
    <row r="137" spans="1:9" x14ac:dyDescent="0.2">
      <c r="A137" s="1" t="s">
        <v>53</v>
      </c>
      <c r="B137" s="1" t="s">
        <v>58</v>
      </c>
      <c r="C137" s="1" t="s">
        <v>58</v>
      </c>
      <c r="D137" s="2">
        <v>612</v>
      </c>
      <c r="E137" s="2">
        <v>659</v>
      </c>
      <c r="F137" s="2">
        <f t="shared" si="3"/>
        <v>1271</v>
      </c>
      <c r="G137" s="3">
        <f t="shared" si="4"/>
        <v>0.48151062155782848</v>
      </c>
      <c r="H137" s="3">
        <f t="shared" si="5"/>
        <v>0.51848937844217147</v>
      </c>
      <c r="I137" s="1" t="s">
        <v>129</v>
      </c>
    </row>
    <row r="138" spans="1:9" x14ac:dyDescent="0.2">
      <c r="A138" s="1" t="s">
        <v>53</v>
      </c>
      <c r="B138" s="1" t="s">
        <v>59</v>
      </c>
      <c r="C138" s="1" t="s">
        <v>246</v>
      </c>
      <c r="D138" s="2">
        <v>284</v>
      </c>
      <c r="E138" s="2">
        <v>285</v>
      </c>
      <c r="F138" s="2">
        <f t="shared" si="3"/>
        <v>569</v>
      </c>
      <c r="G138" s="3">
        <f t="shared" si="4"/>
        <v>0.49912126537785589</v>
      </c>
      <c r="H138" s="3">
        <f t="shared" si="5"/>
        <v>0.50087873462214416</v>
      </c>
      <c r="I138" s="1" t="s">
        <v>129</v>
      </c>
    </row>
    <row r="139" spans="1:9" x14ac:dyDescent="0.2">
      <c r="A139" s="1" t="s">
        <v>53</v>
      </c>
      <c r="B139" s="1" t="s">
        <v>59</v>
      </c>
      <c r="C139" s="1" t="s">
        <v>247</v>
      </c>
      <c r="D139" s="2">
        <v>408</v>
      </c>
      <c r="E139" s="2">
        <v>387</v>
      </c>
      <c r="F139" s="2">
        <f t="shared" si="3"/>
        <v>795</v>
      </c>
      <c r="G139" s="3">
        <f t="shared" si="4"/>
        <v>0.51320754716981132</v>
      </c>
      <c r="H139" s="3">
        <f t="shared" si="5"/>
        <v>0.48679245283018868</v>
      </c>
      <c r="I139" s="1" t="s">
        <v>129</v>
      </c>
    </row>
    <row r="140" spans="1:9" x14ac:dyDescent="0.2">
      <c r="A140" s="1" t="s">
        <v>53</v>
      </c>
      <c r="B140" s="1" t="s">
        <v>60</v>
      </c>
      <c r="C140" s="1" t="s">
        <v>248</v>
      </c>
      <c r="D140" s="2">
        <v>435</v>
      </c>
      <c r="E140" s="2">
        <v>380</v>
      </c>
      <c r="F140" s="2">
        <f t="shared" ref="F140:F203" si="6">IF(COUNTA(D140:E140)=0,"",SUM(D140:E140))</f>
        <v>815</v>
      </c>
      <c r="G140" s="3">
        <f t="shared" ref="G140:G203" si="7">IF(OR(F140="",F140=0),"",D140/F140)</f>
        <v>0.53374233128834359</v>
      </c>
      <c r="H140" s="3">
        <f t="shared" ref="H140:H203" si="8">IF(OR(F140="",F140=0),"",E140/F140)</f>
        <v>0.46625766871165641</v>
      </c>
      <c r="I140" s="1" t="s">
        <v>129</v>
      </c>
    </row>
    <row r="141" spans="1:9" x14ac:dyDescent="0.2">
      <c r="A141" s="1" t="s">
        <v>53</v>
      </c>
      <c r="B141" s="1" t="s">
        <v>60</v>
      </c>
      <c r="C141" s="1" t="s">
        <v>249</v>
      </c>
      <c r="D141" s="2">
        <v>450</v>
      </c>
      <c r="E141" s="2">
        <v>404</v>
      </c>
      <c r="F141" s="2">
        <f t="shared" si="6"/>
        <v>854</v>
      </c>
      <c r="G141" s="3">
        <f t="shared" si="7"/>
        <v>0.52693208430913352</v>
      </c>
      <c r="H141" s="3">
        <f t="shared" si="8"/>
        <v>0.47306791569086654</v>
      </c>
      <c r="I141" s="1" t="s">
        <v>129</v>
      </c>
    </row>
    <row r="142" spans="1:9" x14ac:dyDescent="0.2">
      <c r="A142" s="1" t="s">
        <v>53</v>
      </c>
      <c r="B142" s="1" t="s">
        <v>60</v>
      </c>
      <c r="C142" s="1" t="s">
        <v>250</v>
      </c>
      <c r="D142" s="2">
        <v>614</v>
      </c>
      <c r="E142" s="2">
        <v>594</v>
      </c>
      <c r="F142" s="2">
        <f t="shared" si="6"/>
        <v>1208</v>
      </c>
      <c r="G142" s="3">
        <f t="shared" si="7"/>
        <v>0.50827814569536423</v>
      </c>
      <c r="H142" s="3">
        <f t="shared" si="8"/>
        <v>0.49172185430463577</v>
      </c>
      <c r="I142" s="1" t="s">
        <v>129</v>
      </c>
    </row>
    <row r="143" spans="1:9" x14ac:dyDescent="0.2">
      <c r="A143" s="1" t="s">
        <v>53</v>
      </c>
      <c r="B143" s="1" t="s">
        <v>60</v>
      </c>
      <c r="C143" s="1" t="s">
        <v>251</v>
      </c>
      <c r="D143" s="2">
        <v>495</v>
      </c>
      <c r="E143" s="2">
        <v>417</v>
      </c>
      <c r="F143" s="2">
        <f t="shared" si="6"/>
        <v>912</v>
      </c>
      <c r="G143" s="3">
        <f t="shared" si="7"/>
        <v>0.54276315789473684</v>
      </c>
      <c r="H143" s="3">
        <f t="shared" si="8"/>
        <v>0.45723684210526316</v>
      </c>
      <c r="I143" s="1" t="s">
        <v>129</v>
      </c>
    </row>
    <row r="144" spans="1:9" x14ac:dyDescent="0.2">
      <c r="A144" s="1" t="s">
        <v>53</v>
      </c>
      <c r="B144" s="1" t="s">
        <v>60</v>
      </c>
      <c r="C144" s="1" t="s">
        <v>252</v>
      </c>
      <c r="D144" s="2">
        <v>286</v>
      </c>
      <c r="E144" s="2">
        <v>287</v>
      </c>
      <c r="F144" s="2">
        <f t="shared" si="6"/>
        <v>573</v>
      </c>
      <c r="G144" s="3">
        <f t="shared" si="7"/>
        <v>0.49912739965095987</v>
      </c>
      <c r="H144" s="3">
        <f t="shared" si="8"/>
        <v>0.50087260034904013</v>
      </c>
      <c r="I144" s="1" t="s">
        <v>129</v>
      </c>
    </row>
    <row r="145" spans="1:9" x14ac:dyDescent="0.2">
      <c r="A145" s="1" t="s">
        <v>53</v>
      </c>
      <c r="B145" s="1" t="s">
        <v>60</v>
      </c>
      <c r="C145" s="1" t="s">
        <v>253</v>
      </c>
      <c r="D145" s="2">
        <v>592</v>
      </c>
      <c r="E145" s="2">
        <v>434</v>
      </c>
      <c r="F145" s="2">
        <f t="shared" si="6"/>
        <v>1026</v>
      </c>
      <c r="G145" s="3">
        <f t="shared" si="7"/>
        <v>0.57699805068226118</v>
      </c>
      <c r="H145" s="3">
        <f t="shared" si="8"/>
        <v>0.42300194931773877</v>
      </c>
      <c r="I145" s="1" t="s">
        <v>129</v>
      </c>
    </row>
    <row r="146" spans="1:9" x14ac:dyDescent="0.2">
      <c r="A146" s="1" t="s">
        <v>53</v>
      </c>
      <c r="B146" s="1" t="s">
        <v>61</v>
      </c>
      <c r="C146" s="1" t="s">
        <v>254</v>
      </c>
      <c r="D146" s="2">
        <v>386</v>
      </c>
      <c r="E146" s="2">
        <v>202</v>
      </c>
      <c r="F146" s="2">
        <f t="shared" si="6"/>
        <v>588</v>
      </c>
      <c r="G146" s="3">
        <f t="shared" si="7"/>
        <v>0.65646258503401356</v>
      </c>
      <c r="H146" s="3">
        <f t="shared" si="8"/>
        <v>0.34353741496598639</v>
      </c>
      <c r="I146" s="1" t="s">
        <v>129</v>
      </c>
    </row>
    <row r="147" spans="1:9" x14ac:dyDescent="0.2">
      <c r="A147" s="1" t="s">
        <v>53</v>
      </c>
      <c r="B147" s="1" t="s">
        <v>61</v>
      </c>
      <c r="C147" s="1" t="s">
        <v>255</v>
      </c>
      <c r="D147" s="2">
        <v>316</v>
      </c>
      <c r="E147" s="2">
        <v>193</v>
      </c>
      <c r="F147" s="2">
        <f t="shared" si="6"/>
        <v>509</v>
      </c>
      <c r="G147" s="3">
        <f t="shared" si="7"/>
        <v>0.62082514734774064</v>
      </c>
      <c r="H147" s="3">
        <f t="shared" si="8"/>
        <v>0.37917485265225931</v>
      </c>
      <c r="I147" s="1" t="s">
        <v>129</v>
      </c>
    </row>
    <row r="148" spans="1:9" x14ac:dyDescent="0.2">
      <c r="A148" s="1" t="s">
        <v>53</v>
      </c>
      <c r="B148" s="1" t="s">
        <v>61</v>
      </c>
      <c r="C148" s="1" t="s">
        <v>256</v>
      </c>
      <c r="D148" s="2">
        <v>324</v>
      </c>
      <c r="E148" s="2">
        <v>185</v>
      </c>
      <c r="F148" s="2">
        <f t="shared" si="6"/>
        <v>509</v>
      </c>
      <c r="G148" s="3">
        <f t="shared" si="7"/>
        <v>0.63654223968565815</v>
      </c>
      <c r="H148" s="3">
        <f t="shared" si="8"/>
        <v>0.36345776031434185</v>
      </c>
      <c r="I148" s="1" t="s">
        <v>129</v>
      </c>
    </row>
    <row r="149" spans="1:9" x14ac:dyDescent="0.2">
      <c r="A149" s="1" t="s">
        <v>53</v>
      </c>
      <c r="B149" s="1" t="s">
        <v>62</v>
      </c>
      <c r="C149" s="1" t="s">
        <v>62</v>
      </c>
      <c r="D149" s="2">
        <v>258</v>
      </c>
      <c r="E149" s="2">
        <v>226</v>
      </c>
      <c r="F149" s="2">
        <f t="shared" si="6"/>
        <v>484</v>
      </c>
      <c r="G149" s="3">
        <f t="shared" si="7"/>
        <v>0.53305785123966942</v>
      </c>
      <c r="H149" s="3">
        <f t="shared" si="8"/>
        <v>0.46694214876033058</v>
      </c>
      <c r="I149" s="1" t="s">
        <v>129</v>
      </c>
    </row>
    <row r="150" spans="1:9" x14ac:dyDescent="0.2">
      <c r="A150" s="1" t="s">
        <v>53</v>
      </c>
      <c r="B150" s="1" t="s">
        <v>63</v>
      </c>
      <c r="C150" s="1" t="s">
        <v>63</v>
      </c>
      <c r="D150" s="2">
        <v>514</v>
      </c>
      <c r="E150" s="2">
        <v>1143</v>
      </c>
      <c r="F150" s="2">
        <f t="shared" si="6"/>
        <v>1657</v>
      </c>
      <c r="G150" s="3">
        <f t="shared" si="7"/>
        <v>0.31019915509957757</v>
      </c>
      <c r="H150" s="3">
        <f t="shared" si="8"/>
        <v>0.68980084490042248</v>
      </c>
      <c r="I150" s="1" t="s">
        <v>129</v>
      </c>
    </row>
    <row r="151" spans="1:9" x14ac:dyDescent="0.2">
      <c r="A151" s="1" t="s">
        <v>53</v>
      </c>
      <c r="B151" s="1" t="s">
        <v>64</v>
      </c>
      <c r="C151" s="1" t="s">
        <v>257</v>
      </c>
      <c r="D151" s="2">
        <v>772</v>
      </c>
      <c r="E151" s="2">
        <v>795</v>
      </c>
      <c r="F151" s="2">
        <f t="shared" si="6"/>
        <v>1567</v>
      </c>
      <c r="G151" s="3">
        <f t="shared" si="7"/>
        <v>0.49266113592852584</v>
      </c>
      <c r="H151" s="3">
        <f t="shared" si="8"/>
        <v>0.5073388640714741</v>
      </c>
      <c r="I151" s="1" t="s">
        <v>129</v>
      </c>
    </row>
    <row r="152" spans="1:9" x14ac:dyDescent="0.2">
      <c r="A152" s="1" t="s">
        <v>53</v>
      </c>
      <c r="B152" s="1" t="s">
        <v>64</v>
      </c>
      <c r="C152" s="1" t="s">
        <v>258</v>
      </c>
      <c r="D152" s="2">
        <v>855</v>
      </c>
      <c r="E152" s="2">
        <v>882</v>
      </c>
      <c r="F152" s="2">
        <f t="shared" si="6"/>
        <v>1737</v>
      </c>
      <c r="G152" s="3">
        <f t="shared" si="7"/>
        <v>0.49222797927461137</v>
      </c>
      <c r="H152" s="3">
        <f t="shared" si="8"/>
        <v>0.50777202072538863</v>
      </c>
      <c r="I152" s="1" t="s">
        <v>129</v>
      </c>
    </row>
    <row r="153" spans="1:9" x14ac:dyDescent="0.2">
      <c r="A153" s="1" t="s">
        <v>53</v>
      </c>
      <c r="B153" s="1" t="s">
        <v>64</v>
      </c>
      <c r="C153" s="1" t="s">
        <v>259</v>
      </c>
      <c r="D153" s="2">
        <v>1486</v>
      </c>
      <c r="E153" s="2">
        <v>1508</v>
      </c>
      <c r="F153" s="2">
        <f t="shared" si="6"/>
        <v>2994</v>
      </c>
      <c r="G153" s="3">
        <f t="shared" si="7"/>
        <v>0.49632598530394123</v>
      </c>
      <c r="H153" s="3">
        <f t="shared" si="8"/>
        <v>0.50367401469605877</v>
      </c>
      <c r="I153" s="1" t="s">
        <v>129</v>
      </c>
    </row>
    <row r="154" spans="1:9" x14ac:dyDescent="0.2">
      <c r="A154" s="1" t="s">
        <v>53</v>
      </c>
      <c r="B154" s="1" t="s">
        <v>64</v>
      </c>
      <c r="C154" s="1" t="s">
        <v>260</v>
      </c>
      <c r="D154" s="2">
        <v>741</v>
      </c>
      <c r="E154" s="2">
        <v>793</v>
      </c>
      <c r="F154" s="2">
        <f t="shared" si="6"/>
        <v>1534</v>
      </c>
      <c r="G154" s="3">
        <f t="shared" si="7"/>
        <v>0.48305084745762711</v>
      </c>
      <c r="H154" s="3">
        <f t="shared" si="8"/>
        <v>0.51694915254237284</v>
      </c>
      <c r="I154" s="1" t="s">
        <v>129</v>
      </c>
    </row>
    <row r="155" spans="1:9" x14ac:dyDescent="0.2">
      <c r="A155" s="1" t="s">
        <v>53</v>
      </c>
      <c r="B155" s="1" t="s">
        <v>64</v>
      </c>
      <c r="C155" s="1" t="s">
        <v>261</v>
      </c>
      <c r="D155" s="2">
        <v>645</v>
      </c>
      <c r="E155" s="2">
        <v>700</v>
      </c>
      <c r="F155" s="2">
        <f t="shared" si="6"/>
        <v>1345</v>
      </c>
      <c r="G155" s="3">
        <f t="shared" si="7"/>
        <v>0.4795539033457249</v>
      </c>
      <c r="H155" s="3">
        <f t="shared" si="8"/>
        <v>0.5204460966542751</v>
      </c>
      <c r="I155" s="1" t="s">
        <v>129</v>
      </c>
    </row>
    <row r="156" spans="1:9" x14ac:dyDescent="0.2">
      <c r="A156" s="1" t="s">
        <v>53</v>
      </c>
      <c r="B156" s="1" t="s">
        <v>64</v>
      </c>
      <c r="C156" s="1" t="s">
        <v>262</v>
      </c>
      <c r="D156" s="2">
        <v>617</v>
      </c>
      <c r="E156" s="2">
        <v>579</v>
      </c>
      <c r="F156" s="2">
        <f t="shared" si="6"/>
        <v>1196</v>
      </c>
      <c r="G156" s="3">
        <f t="shared" si="7"/>
        <v>0.51588628762541811</v>
      </c>
      <c r="H156" s="3">
        <f t="shared" si="8"/>
        <v>0.48411371237458195</v>
      </c>
      <c r="I156" s="1" t="s">
        <v>129</v>
      </c>
    </row>
    <row r="157" spans="1:9" x14ac:dyDescent="0.2">
      <c r="A157" s="1" t="s">
        <v>53</v>
      </c>
      <c r="B157" s="1" t="s">
        <v>64</v>
      </c>
      <c r="C157" s="1" t="s">
        <v>263</v>
      </c>
      <c r="D157" s="2">
        <v>1155</v>
      </c>
      <c r="E157" s="2">
        <v>1266</v>
      </c>
      <c r="F157" s="2">
        <f t="shared" si="6"/>
        <v>2421</v>
      </c>
      <c r="G157" s="3">
        <f t="shared" si="7"/>
        <v>0.47707558859975219</v>
      </c>
      <c r="H157" s="3">
        <f t="shared" si="8"/>
        <v>0.52292441140024781</v>
      </c>
      <c r="I157" s="1" t="s">
        <v>129</v>
      </c>
    </row>
    <row r="158" spans="1:9" x14ac:dyDescent="0.2">
      <c r="A158" s="1" t="s">
        <v>53</v>
      </c>
      <c r="B158" s="1" t="s">
        <v>64</v>
      </c>
      <c r="C158" s="1" t="s">
        <v>264</v>
      </c>
      <c r="D158" s="2">
        <v>693</v>
      </c>
      <c r="E158" s="2">
        <v>627</v>
      </c>
      <c r="F158" s="2">
        <f t="shared" si="6"/>
        <v>1320</v>
      </c>
      <c r="G158" s="3">
        <f t="shared" si="7"/>
        <v>0.52500000000000002</v>
      </c>
      <c r="H158" s="3">
        <f t="shared" si="8"/>
        <v>0.47499999999999998</v>
      </c>
      <c r="I158" s="1" t="s">
        <v>129</v>
      </c>
    </row>
    <row r="159" spans="1:9" x14ac:dyDescent="0.2">
      <c r="A159" s="1" t="s">
        <v>53</v>
      </c>
      <c r="B159" s="1" t="s">
        <v>64</v>
      </c>
      <c r="C159" s="1" t="s">
        <v>265</v>
      </c>
      <c r="D159" s="2">
        <v>684</v>
      </c>
      <c r="E159" s="2">
        <v>669</v>
      </c>
      <c r="F159" s="2">
        <f t="shared" si="6"/>
        <v>1353</v>
      </c>
      <c r="G159" s="3">
        <f t="shared" si="7"/>
        <v>0.50554323725055428</v>
      </c>
      <c r="H159" s="3">
        <f t="shared" si="8"/>
        <v>0.49445676274944567</v>
      </c>
      <c r="I159" s="1" t="s">
        <v>129</v>
      </c>
    </row>
    <row r="160" spans="1:9" x14ac:dyDescent="0.2">
      <c r="A160" s="1" t="s">
        <v>53</v>
      </c>
      <c r="B160" s="1" t="s">
        <v>64</v>
      </c>
      <c r="C160" s="1" t="s">
        <v>266</v>
      </c>
      <c r="D160" s="2">
        <v>432</v>
      </c>
      <c r="E160" s="2">
        <v>436</v>
      </c>
      <c r="F160" s="2">
        <f t="shared" si="6"/>
        <v>868</v>
      </c>
      <c r="G160" s="3">
        <f t="shared" si="7"/>
        <v>0.49769585253456222</v>
      </c>
      <c r="H160" s="3">
        <f t="shared" si="8"/>
        <v>0.50230414746543783</v>
      </c>
      <c r="I160" s="1" t="s">
        <v>129</v>
      </c>
    </row>
    <row r="161" spans="1:9" x14ac:dyDescent="0.2">
      <c r="A161" s="1" t="s">
        <v>53</v>
      </c>
      <c r="B161" s="1" t="s">
        <v>65</v>
      </c>
      <c r="C161" s="1" t="s">
        <v>65</v>
      </c>
      <c r="D161" s="2">
        <v>845</v>
      </c>
      <c r="E161" s="2">
        <v>1359</v>
      </c>
      <c r="F161" s="2">
        <f t="shared" si="6"/>
        <v>2204</v>
      </c>
      <c r="G161" s="3">
        <f t="shared" si="7"/>
        <v>0.3833938294010889</v>
      </c>
      <c r="H161" s="3">
        <f t="shared" si="8"/>
        <v>0.6166061705989111</v>
      </c>
      <c r="I161" s="1" t="s">
        <v>129</v>
      </c>
    </row>
    <row r="162" spans="1:9" x14ac:dyDescent="0.2">
      <c r="A162" s="1" t="s">
        <v>53</v>
      </c>
      <c r="B162" s="1" t="s">
        <v>66</v>
      </c>
      <c r="C162" s="1" t="s">
        <v>66</v>
      </c>
      <c r="D162" s="2">
        <v>438</v>
      </c>
      <c r="E162" s="2">
        <v>799</v>
      </c>
      <c r="F162" s="2">
        <f t="shared" si="6"/>
        <v>1237</v>
      </c>
      <c r="G162" s="3">
        <f t="shared" si="7"/>
        <v>0.35408245755860956</v>
      </c>
      <c r="H162" s="3">
        <f t="shared" si="8"/>
        <v>0.64591754244139044</v>
      </c>
      <c r="I162" s="1" t="s">
        <v>129</v>
      </c>
    </row>
    <row r="163" spans="1:9" x14ac:dyDescent="0.2">
      <c r="A163" s="1" t="s">
        <v>53</v>
      </c>
      <c r="B163" s="1" t="s">
        <v>67</v>
      </c>
      <c r="C163" s="1" t="s">
        <v>267</v>
      </c>
      <c r="D163" s="2">
        <v>150</v>
      </c>
      <c r="E163" s="2">
        <v>403</v>
      </c>
      <c r="F163" s="2">
        <f t="shared" si="6"/>
        <v>553</v>
      </c>
      <c r="G163" s="3">
        <f t="shared" si="7"/>
        <v>0.27124773960216997</v>
      </c>
      <c r="H163" s="3">
        <f t="shared" si="8"/>
        <v>0.72875226039783003</v>
      </c>
      <c r="I163" s="1" t="s">
        <v>129</v>
      </c>
    </row>
    <row r="164" spans="1:9" x14ac:dyDescent="0.2">
      <c r="A164" s="1" t="s">
        <v>53</v>
      </c>
      <c r="B164" s="1" t="s">
        <v>67</v>
      </c>
      <c r="C164" s="1" t="s">
        <v>268</v>
      </c>
      <c r="D164" s="2">
        <v>118</v>
      </c>
      <c r="E164" s="2">
        <v>256</v>
      </c>
      <c r="F164" s="2">
        <f t="shared" si="6"/>
        <v>374</v>
      </c>
      <c r="G164" s="3">
        <f t="shared" si="7"/>
        <v>0.31550802139037432</v>
      </c>
      <c r="H164" s="3">
        <f t="shared" si="8"/>
        <v>0.68449197860962563</v>
      </c>
      <c r="I164" s="1" t="s">
        <v>129</v>
      </c>
    </row>
    <row r="165" spans="1:9" x14ac:dyDescent="0.2">
      <c r="A165" s="1" t="s">
        <v>53</v>
      </c>
      <c r="B165" s="1" t="s">
        <v>67</v>
      </c>
      <c r="C165" s="1" t="s">
        <v>269</v>
      </c>
      <c r="D165" s="2">
        <v>417</v>
      </c>
      <c r="E165" s="2">
        <v>848</v>
      </c>
      <c r="F165" s="2">
        <f t="shared" si="6"/>
        <v>1265</v>
      </c>
      <c r="G165" s="3">
        <f t="shared" si="7"/>
        <v>0.32964426877470354</v>
      </c>
      <c r="H165" s="3">
        <f t="shared" si="8"/>
        <v>0.67035573122529646</v>
      </c>
      <c r="I165" s="1" t="s">
        <v>129</v>
      </c>
    </row>
    <row r="166" spans="1:9" x14ac:dyDescent="0.2">
      <c r="A166" s="1" t="s">
        <v>53</v>
      </c>
      <c r="B166" s="1" t="s">
        <v>68</v>
      </c>
      <c r="C166" s="1" t="s">
        <v>68</v>
      </c>
      <c r="D166" s="2">
        <v>796</v>
      </c>
      <c r="E166" s="2">
        <v>717</v>
      </c>
      <c r="F166" s="2">
        <f t="shared" si="6"/>
        <v>1513</v>
      </c>
      <c r="G166" s="3">
        <f t="shared" si="7"/>
        <v>0.52610707204230012</v>
      </c>
      <c r="H166" s="3">
        <f t="shared" si="8"/>
        <v>0.47389292795769994</v>
      </c>
      <c r="I166" s="1" t="s">
        <v>129</v>
      </c>
    </row>
    <row r="167" spans="1:9" x14ac:dyDescent="0.2">
      <c r="A167" s="1" t="s">
        <v>53</v>
      </c>
      <c r="B167" s="1" t="s">
        <v>69</v>
      </c>
      <c r="C167" s="1" t="s">
        <v>270</v>
      </c>
      <c r="D167" s="2">
        <v>829</v>
      </c>
      <c r="E167" s="2">
        <v>1096</v>
      </c>
      <c r="F167" s="2">
        <f t="shared" si="6"/>
        <v>1925</v>
      </c>
      <c r="G167" s="3">
        <f t="shared" si="7"/>
        <v>0.43064935064935067</v>
      </c>
      <c r="H167" s="3">
        <f t="shared" si="8"/>
        <v>0.56935064935064938</v>
      </c>
      <c r="I167" s="1" t="s">
        <v>129</v>
      </c>
    </row>
    <row r="168" spans="1:9" x14ac:dyDescent="0.2">
      <c r="A168" s="1" t="s">
        <v>53</v>
      </c>
      <c r="B168" s="1" t="s">
        <v>69</v>
      </c>
      <c r="C168" s="1" t="s">
        <v>271</v>
      </c>
      <c r="D168" s="2">
        <v>669</v>
      </c>
      <c r="E168" s="2">
        <v>1038</v>
      </c>
      <c r="F168" s="2">
        <f t="shared" si="6"/>
        <v>1707</v>
      </c>
      <c r="G168" s="3">
        <f t="shared" si="7"/>
        <v>0.39191564147627417</v>
      </c>
      <c r="H168" s="3">
        <f t="shared" si="8"/>
        <v>0.60808435852372589</v>
      </c>
      <c r="I168" s="1" t="s">
        <v>129</v>
      </c>
    </row>
    <row r="169" spans="1:9" x14ac:dyDescent="0.2">
      <c r="A169" s="1" t="s">
        <v>53</v>
      </c>
      <c r="B169" s="1" t="s">
        <v>69</v>
      </c>
      <c r="C169" s="1" t="s">
        <v>272</v>
      </c>
      <c r="D169" s="2">
        <v>349</v>
      </c>
      <c r="E169" s="2">
        <v>541</v>
      </c>
      <c r="F169" s="2">
        <f t="shared" si="6"/>
        <v>890</v>
      </c>
      <c r="G169" s="3">
        <f t="shared" si="7"/>
        <v>0.39213483146067418</v>
      </c>
      <c r="H169" s="3">
        <f t="shared" si="8"/>
        <v>0.60786516853932582</v>
      </c>
      <c r="I169" s="1" t="s">
        <v>129</v>
      </c>
    </row>
    <row r="170" spans="1:9" x14ac:dyDescent="0.2">
      <c r="A170" s="1" t="s">
        <v>53</v>
      </c>
      <c r="B170" s="1" t="s">
        <v>69</v>
      </c>
      <c r="C170" s="1" t="s">
        <v>273</v>
      </c>
      <c r="D170" s="2">
        <v>524</v>
      </c>
      <c r="E170" s="2">
        <v>788</v>
      </c>
      <c r="F170" s="2">
        <f t="shared" si="6"/>
        <v>1312</v>
      </c>
      <c r="G170" s="3">
        <f t="shared" si="7"/>
        <v>0.39939024390243905</v>
      </c>
      <c r="H170" s="3">
        <f t="shared" si="8"/>
        <v>0.60060975609756095</v>
      </c>
      <c r="I170" s="1" t="s">
        <v>129</v>
      </c>
    </row>
    <row r="171" spans="1:9" x14ac:dyDescent="0.2">
      <c r="A171" s="1" t="s">
        <v>53</v>
      </c>
      <c r="B171" s="1" t="s">
        <v>69</v>
      </c>
      <c r="C171" s="1" t="s">
        <v>274</v>
      </c>
      <c r="D171" s="2">
        <v>459</v>
      </c>
      <c r="E171" s="2">
        <v>734</v>
      </c>
      <c r="F171" s="2">
        <f t="shared" si="6"/>
        <v>1193</v>
      </c>
      <c r="G171" s="3">
        <f t="shared" si="7"/>
        <v>0.38474434199497065</v>
      </c>
      <c r="H171" s="3">
        <f t="shared" si="8"/>
        <v>0.61525565800502935</v>
      </c>
      <c r="I171" s="1" t="s">
        <v>129</v>
      </c>
    </row>
    <row r="172" spans="1:9" x14ac:dyDescent="0.2">
      <c r="A172" s="1" t="s">
        <v>53</v>
      </c>
      <c r="B172" s="1" t="s">
        <v>69</v>
      </c>
      <c r="C172" s="1" t="s">
        <v>275</v>
      </c>
      <c r="D172" s="2">
        <v>364</v>
      </c>
      <c r="E172" s="2">
        <v>505</v>
      </c>
      <c r="F172" s="2">
        <f t="shared" si="6"/>
        <v>869</v>
      </c>
      <c r="G172" s="3">
        <f t="shared" si="7"/>
        <v>0.4188722669735328</v>
      </c>
      <c r="H172" s="3">
        <f t="shared" si="8"/>
        <v>0.58112773302646725</v>
      </c>
      <c r="I172" s="1" t="s">
        <v>129</v>
      </c>
    </row>
    <row r="173" spans="1:9" x14ac:dyDescent="0.2">
      <c r="A173" s="1" t="s">
        <v>53</v>
      </c>
      <c r="B173" s="1" t="s">
        <v>70</v>
      </c>
      <c r="C173" s="1" t="s">
        <v>276</v>
      </c>
      <c r="D173" s="2">
        <v>494</v>
      </c>
      <c r="E173" s="2">
        <v>520</v>
      </c>
      <c r="F173" s="2">
        <f t="shared" si="6"/>
        <v>1014</v>
      </c>
      <c r="G173" s="3">
        <f t="shared" si="7"/>
        <v>0.48717948717948717</v>
      </c>
      <c r="H173" s="3">
        <f t="shared" si="8"/>
        <v>0.51282051282051277</v>
      </c>
      <c r="I173" s="1" t="s">
        <v>129</v>
      </c>
    </row>
    <row r="174" spans="1:9" x14ac:dyDescent="0.2">
      <c r="A174" s="1" t="s">
        <v>53</v>
      </c>
      <c r="B174" s="1" t="s">
        <v>70</v>
      </c>
      <c r="C174" s="1" t="s">
        <v>277</v>
      </c>
      <c r="D174" s="2">
        <v>589</v>
      </c>
      <c r="E174" s="2">
        <v>615</v>
      </c>
      <c r="F174" s="2">
        <f t="shared" si="6"/>
        <v>1204</v>
      </c>
      <c r="G174" s="3">
        <f t="shared" si="7"/>
        <v>0.48920265780730898</v>
      </c>
      <c r="H174" s="3">
        <f t="shared" si="8"/>
        <v>0.51079734219269102</v>
      </c>
      <c r="I174" s="1" t="s">
        <v>129</v>
      </c>
    </row>
    <row r="175" spans="1:9" x14ac:dyDescent="0.2">
      <c r="A175" s="1" t="s">
        <v>53</v>
      </c>
      <c r="B175" s="1" t="s">
        <v>70</v>
      </c>
      <c r="C175" s="1" t="s">
        <v>278</v>
      </c>
      <c r="D175" s="2">
        <v>277</v>
      </c>
      <c r="E175" s="2">
        <v>291</v>
      </c>
      <c r="F175" s="2">
        <f t="shared" si="6"/>
        <v>568</v>
      </c>
      <c r="G175" s="3">
        <f t="shared" si="7"/>
        <v>0.48767605633802819</v>
      </c>
      <c r="H175" s="3">
        <f t="shared" si="8"/>
        <v>0.51232394366197187</v>
      </c>
      <c r="I175" s="1" t="s">
        <v>129</v>
      </c>
    </row>
    <row r="176" spans="1:9" x14ac:dyDescent="0.2">
      <c r="A176" s="1" t="s">
        <v>53</v>
      </c>
      <c r="B176" s="1" t="s">
        <v>70</v>
      </c>
      <c r="C176" s="1" t="s">
        <v>279</v>
      </c>
      <c r="D176" s="2">
        <v>312</v>
      </c>
      <c r="E176" s="2">
        <v>317</v>
      </c>
      <c r="F176" s="2">
        <f t="shared" si="6"/>
        <v>629</v>
      </c>
      <c r="G176" s="3">
        <f t="shared" si="7"/>
        <v>0.49602543720190778</v>
      </c>
      <c r="H176" s="3">
        <f t="shared" si="8"/>
        <v>0.50397456279809216</v>
      </c>
      <c r="I176" s="1" t="s">
        <v>129</v>
      </c>
    </row>
    <row r="177" spans="1:9" x14ac:dyDescent="0.2">
      <c r="A177" s="1" t="s">
        <v>53</v>
      </c>
      <c r="B177" s="1" t="s">
        <v>70</v>
      </c>
      <c r="C177" s="1" t="s">
        <v>280</v>
      </c>
      <c r="D177" s="2">
        <v>425</v>
      </c>
      <c r="E177" s="2">
        <v>447</v>
      </c>
      <c r="F177" s="2">
        <f t="shared" si="6"/>
        <v>872</v>
      </c>
      <c r="G177" s="3">
        <f t="shared" si="7"/>
        <v>0.48738532110091742</v>
      </c>
      <c r="H177" s="3">
        <f t="shared" si="8"/>
        <v>0.51261467889908252</v>
      </c>
      <c r="I177" s="1" t="s">
        <v>129</v>
      </c>
    </row>
    <row r="178" spans="1:9" x14ac:dyDescent="0.2">
      <c r="A178" s="1" t="s">
        <v>53</v>
      </c>
      <c r="B178" s="1" t="s">
        <v>70</v>
      </c>
      <c r="C178" s="1" t="s">
        <v>281</v>
      </c>
      <c r="D178" s="2">
        <v>274</v>
      </c>
      <c r="E178" s="2">
        <v>306</v>
      </c>
      <c r="F178" s="2">
        <f t="shared" si="6"/>
        <v>580</v>
      </c>
      <c r="G178" s="3">
        <f t="shared" si="7"/>
        <v>0.47241379310344828</v>
      </c>
      <c r="H178" s="3">
        <f t="shared" si="8"/>
        <v>0.52758620689655178</v>
      </c>
      <c r="I178" s="1" t="s">
        <v>129</v>
      </c>
    </row>
    <row r="179" spans="1:9" x14ac:dyDescent="0.2">
      <c r="A179" s="1" t="s">
        <v>53</v>
      </c>
      <c r="B179" s="1" t="s">
        <v>70</v>
      </c>
      <c r="C179" s="1" t="s">
        <v>282</v>
      </c>
      <c r="D179" s="2">
        <v>347</v>
      </c>
      <c r="E179" s="2">
        <v>314</v>
      </c>
      <c r="F179" s="2">
        <f t="shared" si="6"/>
        <v>661</v>
      </c>
      <c r="G179" s="3">
        <f t="shared" si="7"/>
        <v>0.5249621785173979</v>
      </c>
      <c r="H179" s="3">
        <f t="shared" si="8"/>
        <v>0.4750378214826021</v>
      </c>
      <c r="I179" s="1" t="s">
        <v>129</v>
      </c>
    </row>
    <row r="180" spans="1:9" x14ac:dyDescent="0.2">
      <c r="A180" s="1" t="s">
        <v>53</v>
      </c>
      <c r="B180" s="1" t="s">
        <v>70</v>
      </c>
      <c r="C180" s="1" t="s">
        <v>283</v>
      </c>
      <c r="D180" s="2">
        <v>450</v>
      </c>
      <c r="E180" s="2">
        <v>452</v>
      </c>
      <c r="F180" s="2">
        <f t="shared" si="6"/>
        <v>902</v>
      </c>
      <c r="G180" s="3">
        <f t="shared" si="7"/>
        <v>0.49889135254988914</v>
      </c>
      <c r="H180" s="3">
        <f t="shared" si="8"/>
        <v>0.50110864745011086</v>
      </c>
      <c r="I180" s="1" t="s">
        <v>129</v>
      </c>
    </row>
    <row r="181" spans="1:9" x14ac:dyDescent="0.2">
      <c r="A181" s="1" t="s">
        <v>53</v>
      </c>
      <c r="B181" s="1" t="s">
        <v>71</v>
      </c>
      <c r="C181" s="1" t="s">
        <v>284</v>
      </c>
      <c r="D181" s="2">
        <v>171</v>
      </c>
      <c r="E181" s="2">
        <v>228</v>
      </c>
      <c r="F181" s="2">
        <f t="shared" si="6"/>
        <v>399</v>
      </c>
      <c r="G181" s="3">
        <f t="shared" si="7"/>
        <v>0.42857142857142855</v>
      </c>
      <c r="H181" s="3">
        <f t="shared" si="8"/>
        <v>0.5714285714285714</v>
      </c>
      <c r="I181" s="1" t="s">
        <v>129</v>
      </c>
    </row>
    <row r="182" spans="1:9" x14ac:dyDescent="0.2">
      <c r="A182" s="1" t="s">
        <v>53</v>
      </c>
      <c r="B182" s="1" t="s">
        <v>71</v>
      </c>
      <c r="C182" s="1" t="s">
        <v>285</v>
      </c>
      <c r="D182" s="2">
        <v>126</v>
      </c>
      <c r="E182" s="2">
        <v>188</v>
      </c>
      <c r="F182" s="2">
        <f t="shared" si="6"/>
        <v>314</v>
      </c>
      <c r="G182" s="3">
        <f t="shared" si="7"/>
        <v>0.40127388535031849</v>
      </c>
      <c r="H182" s="3">
        <f t="shared" si="8"/>
        <v>0.59872611464968151</v>
      </c>
      <c r="I182" s="1" t="s">
        <v>129</v>
      </c>
    </row>
    <row r="183" spans="1:9" x14ac:dyDescent="0.2">
      <c r="A183" s="1" t="s">
        <v>53</v>
      </c>
      <c r="B183" s="1" t="s">
        <v>71</v>
      </c>
      <c r="C183" s="1" t="s">
        <v>286</v>
      </c>
      <c r="D183" s="2">
        <v>285</v>
      </c>
      <c r="E183" s="2">
        <v>392</v>
      </c>
      <c r="F183" s="2">
        <f t="shared" si="6"/>
        <v>677</v>
      </c>
      <c r="G183" s="3">
        <f t="shared" si="7"/>
        <v>0.42097488921713444</v>
      </c>
      <c r="H183" s="3">
        <f t="shared" si="8"/>
        <v>0.57902511078286556</v>
      </c>
      <c r="I183" s="1" t="s">
        <v>129</v>
      </c>
    </row>
    <row r="184" spans="1:9" x14ac:dyDescent="0.2">
      <c r="A184" s="1" t="s">
        <v>53</v>
      </c>
      <c r="B184" s="1" t="s">
        <v>72</v>
      </c>
      <c r="C184" s="1" t="s">
        <v>287</v>
      </c>
      <c r="D184" s="2">
        <v>693</v>
      </c>
      <c r="E184" s="2">
        <v>743</v>
      </c>
      <c r="F184" s="2">
        <f t="shared" si="6"/>
        <v>1436</v>
      </c>
      <c r="G184" s="3">
        <f t="shared" si="7"/>
        <v>0.48259052924791085</v>
      </c>
      <c r="H184" s="3">
        <f t="shared" si="8"/>
        <v>0.5174094707520891</v>
      </c>
      <c r="I184" s="1" t="s">
        <v>129</v>
      </c>
    </row>
    <row r="185" spans="1:9" x14ac:dyDescent="0.2">
      <c r="A185" s="1" t="s">
        <v>53</v>
      </c>
      <c r="B185" s="1" t="s">
        <v>72</v>
      </c>
      <c r="C185" s="1" t="s">
        <v>288</v>
      </c>
      <c r="D185" s="2">
        <v>331</v>
      </c>
      <c r="E185" s="2">
        <v>338</v>
      </c>
      <c r="F185" s="2">
        <f t="shared" si="6"/>
        <v>669</v>
      </c>
      <c r="G185" s="3">
        <f t="shared" si="7"/>
        <v>0.49476831091180867</v>
      </c>
      <c r="H185" s="3">
        <f t="shared" si="8"/>
        <v>0.50523168908819138</v>
      </c>
      <c r="I185" s="1" t="s">
        <v>129</v>
      </c>
    </row>
    <row r="186" spans="1:9" x14ac:dyDescent="0.2">
      <c r="A186" s="1" t="s">
        <v>53</v>
      </c>
      <c r="B186" s="1" t="s">
        <v>72</v>
      </c>
      <c r="C186" s="1" t="s">
        <v>289</v>
      </c>
      <c r="D186" s="2">
        <v>905</v>
      </c>
      <c r="E186" s="2">
        <v>740</v>
      </c>
      <c r="F186" s="2">
        <f t="shared" si="6"/>
        <v>1645</v>
      </c>
      <c r="G186" s="3">
        <f t="shared" si="7"/>
        <v>0.55015197568389063</v>
      </c>
      <c r="H186" s="3">
        <f t="shared" si="8"/>
        <v>0.44984802431610943</v>
      </c>
      <c r="I186" s="1" t="s">
        <v>129</v>
      </c>
    </row>
    <row r="187" spans="1:9" x14ac:dyDescent="0.2">
      <c r="A187" s="1" t="s">
        <v>53</v>
      </c>
      <c r="B187" s="1" t="s">
        <v>72</v>
      </c>
      <c r="C187" s="1" t="s">
        <v>290</v>
      </c>
      <c r="D187" s="2">
        <v>414</v>
      </c>
      <c r="E187" s="2">
        <v>445</v>
      </c>
      <c r="F187" s="2">
        <f t="shared" si="6"/>
        <v>859</v>
      </c>
      <c r="G187" s="3">
        <f t="shared" si="7"/>
        <v>0.4819557625145518</v>
      </c>
      <c r="H187" s="3">
        <f t="shared" si="8"/>
        <v>0.51804423748544814</v>
      </c>
      <c r="I187" s="1" t="s">
        <v>129</v>
      </c>
    </row>
    <row r="188" spans="1:9" x14ac:dyDescent="0.2">
      <c r="A188" s="1" t="s">
        <v>53</v>
      </c>
      <c r="B188" s="1" t="s">
        <v>72</v>
      </c>
      <c r="C188" s="1" t="s">
        <v>291</v>
      </c>
      <c r="D188" s="2">
        <v>944</v>
      </c>
      <c r="E188" s="2">
        <v>607</v>
      </c>
      <c r="F188" s="2">
        <f t="shared" si="6"/>
        <v>1551</v>
      </c>
      <c r="G188" s="3">
        <f t="shared" si="7"/>
        <v>0.60863958736299162</v>
      </c>
      <c r="H188" s="3">
        <f t="shared" si="8"/>
        <v>0.39136041263700838</v>
      </c>
      <c r="I188" s="1" t="s">
        <v>129</v>
      </c>
    </row>
    <row r="189" spans="1:9" x14ac:dyDescent="0.2">
      <c r="A189" s="1" t="s">
        <v>53</v>
      </c>
      <c r="B189" s="1" t="s">
        <v>72</v>
      </c>
      <c r="C189" s="1" t="s">
        <v>292</v>
      </c>
      <c r="D189" s="2">
        <v>870</v>
      </c>
      <c r="E189" s="2">
        <v>604</v>
      </c>
      <c r="F189" s="2">
        <f t="shared" si="6"/>
        <v>1474</v>
      </c>
      <c r="G189" s="3">
        <f t="shared" si="7"/>
        <v>0.59023066485753051</v>
      </c>
      <c r="H189" s="3">
        <f t="shared" si="8"/>
        <v>0.40976933514246949</v>
      </c>
      <c r="I189" s="1" t="s">
        <v>129</v>
      </c>
    </row>
    <row r="190" spans="1:9" x14ac:dyDescent="0.2">
      <c r="A190" s="1" t="s">
        <v>53</v>
      </c>
      <c r="B190" s="1" t="s">
        <v>72</v>
      </c>
      <c r="C190" s="1" t="s">
        <v>293</v>
      </c>
      <c r="D190" s="2">
        <v>379</v>
      </c>
      <c r="E190" s="2">
        <v>383</v>
      </c>
      <c r="F190" s="2">
        <f t="shared" si="6"/>
        <v>762</v>
      </c>
      <c r="G190" s="3">
        <f t="shared" si="7"/>
        <v>0.49737532808398949</v>
      </c>
      <c r="H190" s="3">
        <f t="shared" si="8"/>
        <v>0.50262467191601046</v>
      </c>
      <c r="I190" s="1" t="s">
        <v>129</v>
      </c>
    </row>
    <row r="191" spans="1:9" x14ac:dyDescent="0.2">
      <c r="A191" s="1" t="s">
        <v>53</v>
      </c>
      <c r="B191" s="1" t="s">
        <v>72</v>
      </c>
      <c r="C191" s="1" t="s">
        <v>294</v>
      </c>
      <c r="D191" s="2">
        <v>1051</v>
      </c>
      <c r="E191" s="2">
        <v>1039</v>
      </c>
      <c r="F191" s="2">
        <f t="shared" si="6"/>
        <v>2090</v>
      </c>
      <c r="G191" s="3">
        <f t="shared" si="7"/>
        <v>0.50287081339712913</v>
      </c>
      <c r="H191" s="3">
        <f t="shared" si="8"/>
        <v>0.49712918660287081</v>
      </c>
      <c r="I191" s="1" t="s">
        <v>129</v>
      </c>
    </row>
    <row r="192" spans="1:9" x14ac:dyDescent="0.2">
      <c r="A192" s="1" t="s">
        <v>53</v>
      </c>
      <c r="B192" s="1" t="s">
        <v>73</v>
      </c>
      <c r="C192" s="1" t="s">
        <v>295</v>
      </c>
      <c r="D192" s="2">
        <v>781</v>
      </c>
      <c r="E192" s="2">
        <v>785</v>
      </c>
      <c r="F192" s="2">
        <f t="shared" si="6"/>
        <v>1566</v>
      </c>
      <c r="G192" s="3">
        <f t="shared" si="7"/>
        <v>0.49872286079182632</v>
      </c>
      <c r="H192" s="3">
        <f t="shared" si="8"/>
        <v>0.50127713920817374</v>
      </c>
      <c r="I192" s="1" t="s">
        <v>129</v>
      </c>
    </row>
    <row r="193" spans="1:9" x14ac:dyDescent="0.2">
      <c r="A193" s="1" t="s">
        <v>53</v>
      </c>
      <c r="B193" s="1" t="s">
        <v>73</v>
      </c>
      <c r="C193" s="1" t="s">
        <v>296</v>
      </c>
      <c r="D193" s="2">
        <v>1075</v>
      </c>
      <c r="E193" s="2">
        <v>1030</v>
      </c>
      <c r="F193" s="2">
        <f t="shared" si="6"/>
        <v>2105</v>
      </c>
      <c r="G193" s="3">
        <f t="shared" si="7"/>
        <v>0.5106888361045131</v>
      </c>
      <c r="H193" s="3">
        <f t="shared" si="8"/>
        <v>0.48931116389548696</v>
      </c>
      <c r="I193" s="1" t="s">
        <v>129</v>
      </c>
    </row>
    <row r="194" spans="1:9" x14ac:dyDescent="0.2">
      <c r="A194" s="1" t="s">
        <v>53</v>
      </c>
      <c r="B194" s="1" t="s">
        <v>73</v>
      </c>
      <c r="C194" s="1" t="s">
        <v>297</v>
      </c>
      <c r="D194" s="2">
        <v>739</v>
      </c>
      <c r="E194" s="2">
        <v>878</v>
      </c>
      <c r="F194" s="2">
        <f t="shared" si="6"/>
        <v>1617</v>
      </c>
      <c r="G194" s="3">
        <f t="shared" si="7"/>
        <v>0.45701917130488556</v>
      </c>
      <c r="H194" s="3">
        <f t="shared" si="8"/>
        <v>0.54298082869511444</v>
      </c>
      <c r="I194" s="1" t="s">
        <v>129</v>
      </c>
    </row>
    <row r="195" spans="1:9" x14ac:dyDescent="0.2">
      <c r="A195" s="1" t="s">
        <v>53</v>
      </c>
      <c r="B195" s="1" t="s">
        <v>73</v>
      </c>
      <c r="C195" s="1" t="s">
        <v>298</v>
      </c>
      <c r="D195" s="2">
        <v>561</v>
      </c>
      <c r="E195" s="2">
        <v>506</v>
      </c>
      <c r="F195" s="2">
        <f t="shared" si="6"/>
        <v>1067</v>
      </c>
      <c r="G195" s="3">
        <f t="shared" si="7"/>
        <v>0.52577319587628868</v>
      </c>
      <c r="H195" s="3">
        <f t="shared" si="8"/>
        <v>0.47422680412371132</v>
      </c>
      <c r="I195" s="1" t="s">
        <v>129</v>
      </c>
    </row>
    <row r="196" spans="1:9" x14ac:dyDescent="0.2">
      <c r="A196" s="1" t="s">
        <v>53</v>
      </c>
      <c r="B196" s="1" t="s">
        <v>73</v>
      </c>
      <c r="C196" s="1" t="s">
        <v>299</v>
      </c>
      <c r="D196" s="2">
        <v>1442</v>
      </c>
      <c r="E196" s="2">
        <v>1289</v>
      </c>
      <c r="F196" s="2">
        <f t="shared" si="6"/>
        <v>2731</v>
      </c>
      <c r="G196" s="3">
        <f t="shared" si="7"/>
        <v>0.52801171731966312</v>
      </c>
      <c r="H196" s="3">
        <f t="shared" si="8"/>
        <v>0.47198828268033688</v>
      </c>
      <c r="I196" s="1" t="s">
        <v>129</v>
      </c>
    </row>
    <row r="197" spans="1:9" x14ac:dyDescent="0.2">
      <c r="A197" s="1" t="s">
        <v>53</v>
      </c>
      <c r="B197" s="1" t="s">
        <v>73</v>
      </c>
      <c r="C197" s="1" t="s">
        <v>300</v>
      </c>
      <c r="D197" s="2">
        <v>481</v>
      </c>
      <c r="E197" s="2">
        <v>459</v>
      </c>
      <c r="F197" s="2">
        <f t="shared" si="6"/>
        <v>940</v>
      </c>
      <c r="G197" s="3">
        <f t="shared" si="7"/>
        <v>0.51170212765957446</v>
      </c>
      <c r="H197" s="3">
        <f t="shared" si="8"/>
        <v>0.48829787234042554</v>
      </c>
      <c r="I197" s="1" t="s">
        <v>129</v>
      </c>
    </row>
    <row r="198" spans="1:9" x14ac:dyDescent="0.2">
      <c r="A198" s="1" t="s">
        <v>53</v>
      </c>
      <c r="B198" s="1" t="s">
        <v>73</v>
      </c>
      <c r="C198" s="1" t="s">
        <v>301</v>
      </c>
      <c r="D198" s="2">
        <v>498</v>
      </c>
      <c r="E198" s="2">
        <v>421</v>
      </c>
      <c r="F198" s="2">
        <f t="shared" si="6"/>
        <v>919</v>
      </c>
      <c r="G198" s="3">
        <f t="shared" si="7"/>
        <v>0.54189336235038088</v>
      </c>
      <c r="H198" s="3">
        <f t="shared" si="8"/>
        <v>0.45810663764961917</v>
      </c>
      <c r="I198" s="1" t="s">
        <v>129</v>
      </c>
    </row>
    <row r="199" spans="1:9" x14ac:dyDescent="0.2">
      <c r="A199" s="1" t="s">
        <v>53</v>
      </c>
      <c r="B199" s="1" t="s">
        <v>73</v>
      </c>
      <c r="C199" s="1" t="s">
        <v>302</v>
      </c>
      <c r="D199" s="2">
        <v>549</v>
      </c>
      <c r="E199" s="2">
        <v>536</v>
      </c>
      <c r="F199" s="2">
        <f t="shared" si="6"/>
        <v>1085</v>
      </c>
      <c r="G199" s="3">
        <f t="shared" si="7"/>
        <v>0.50599078341013826</v>
      </c>
      <c r="H199" s="3">
        <f t="shared" si="8"/>
        <v>0.49400921658986174</v>
      </c>
      <c r="I199" s="1" t="s">
        <v>129</v>
      </c>
    </row>
    <row r="200" spans="1:9" x14ac:dyDescent="0.2">
      <c r="A200" s="1" t="s">
        <v>53</v>
      </c>
      <c r="B200" s="1" t="s">
        <v>74</v>
      </c>
      <c r="C200" s="1" t="s">
        <v>303</v>
      </c>
      <c r="D200" s="2">
        <v>1224</v>
      </c>
      <c r="E200" s="2">
        <v>1381</v>
      </c>
      <c r="F200" s="2">
        <f t="shared" si="6"/>
        <v>2605</v>
      </c>
      <c r="G200" s="3">
        <f t="shared" si="7"/>
        <v>0.46986564299424183</v>
      </c>
      <c r="H200" s="3">
        <f t="shared" si="8"/>
        <v>0.53013435700575817</v>
      </c>
      <c r="I200" s="1" t="s">
        <v>129</v>
      </c>
    </row>
    <row r="201" spans="1:9" x14ac:dyDescent="0.2">
      <c r="A201" s="1" t="s">
        <v>53</v>
      </c>
      <c r="B201" s="1" t="s">
        <v>74</v>
      </c>
      <c r="C201" s="1" t="s">
        <v>304</v>
      </c>
      <c r="D201" s="2">
        <v>774</v>
      </c>
      <c r="E201" s="2">
        <v>1234</v>
      </c>
      <c r="F201" s="2">
        <f t="shared" si="6"/>
        <v>2008</v>
      </c>
      <c r="G201" s="3">
        <f t="shared" si="7"/>
        <v>0.38545816733067728</v>
      </c>
      <c r="H201" s="3">
        <f t="shared" si="8"/>
        <v>0.61454183266932272</v>
      </c>
      <c r="I201" s="1" t="s">
        <v>129</v>
      </c>
    </row>
    <row r="202" spans="1:9" x14ac:dyDescent="0.2">
      <c r="A202" s="1" t="s">
        <v>53</v>
      </c>
      <c r="B202" s="1" t="s">
        <v>75</v>
      </c>
      <c r="C202" s="1" t="s">
        <v>305</v>
      </c>
      <c r="D202" s="2">
        <v>880</v>
      </c>
      <c r="E202" s="2">
        <v>922</v>
      </c>
      <c r="F202" s="2">
        <f t="shared" si="6"/>
        <v>1802</v>
      </c>
      <c r="G202" s="3">
        <f t="shared" si="7"/>
        <v>0.48834628190898999</v>
      </c>
      <c r="H202" s="3">
        <f t="shared" si="8"/>
        <v>0.51165371809101001</v>
      </c>
      <c r="I202" s="1" t="s">
        <v>129</v>
      </c>
    </row>
    <row r="203" spans="1:9" x14ac:dyDescent="0.2">
      <c r="A203" s="1" t="s">
        <v>53</v>
      </c>
      <c r="B203" s="1" t="s">
        <v>75</v>
      </c>
      <c r="C203" s="1" t="s">
        <v>306</v>
      </c>
      <c r="D203" s="2">
        <v>630</v>
      </c>
      <c r="E203" s="2">
        <v>714</v>
      </c>
      <c r="F203" s="2">
        <f t="shared" si="6"/>
        <v>1344</v>
      </c>
      <c r="G203" s="3">
        <f t="shared" si="7"/>
        <v>0.46875</v>
      </c>
      <c r="H203" s="3">
        <f t="shared" si="8"/>
        <v>0.53125</v>
      </c>
      <c r="I203" s="1" t="s">
        <v>129</v>
      </c>
    </row>
    <row r="204" spans="1:9" x14ac:dyDescent="0.2">
      <c r="A204" s="1" t="s">
        <v>53</v>
      </c>
      <c r="B204" s="1" t="s">
        <v>75</v>
      </c>
      <c r="C204" s="1" t="s">
        <v>307</v>
      </c>
      <c r="D204" s="2">
        <v>544</v>
      </c>
      <c r="E204" s="2">
        <v>593</v>
      </c>
      <c r="F204" s="2">
        <f t="shared" ref="F204:F267" si="9">IF(COUNTA(D204:E204)=0,"",SUM(D204:E204))</f>
        <v>1137</v>
      </c>
      <c r="G204" s="3">
        <f t="shared" ref="G204:G267" si="10">IF(OR(F204="",F204=0),"",D204/F204)</f>
        <v>0.47845206684256814</v>
      </c>
      <c r="H204" s="3">
        <f t="shared" ref="H204:H267" si="11">IF(OR(F204="",F204=0),"",E204/F204)</f>
        <v>0.52154793315743186</v>
      </c>
      <c r="I204" s="1" t="s">
        <v>129</v>
      </c>
    </row>
    <row r="205" spans="1:9" x14ac:dyDescent="0.2">
      <c r="A205" s="1" t="s">
        <v>53</v>
      </c>
      <c r="B205" s="1" t="s">
        <v>75</v>
      </c>
      <c r="C205" s="1" t="s">
        <v>308</v>
      </c>
      <c r="D205" s="2">
        <v>1372</v>
      </c>
      <c r="E205" s="2">
        <v>1501</v>
      </c>
      <c r="F205" s="2">
        <f t="shared" si="9"/>
        <v>2873</v>
      </c>
      <c r="G205" s="3">
        <f t="shared" si="10"/>
        <v>0.47754959972154543</v>
      </c>
      <c r="H205" s="3">
        <f t="shared" si="11"/>
        <v>0.52245040027845457</v>
      </c>
      <c r="I205" s="1" t="s">
        <v>129</v>
      </c>
    </row>
    <row r="206" spans="1:9" x14ac:dyDescent="0.2">
      <c r="A206" s="1" t="s">
        <v>53</v>
      </c>
      <c r="B206" s="1" t="s">
        <v>75</v>
      </c>
      <c r="C206" s="1" t="s">
        <v>309</v>
      </c>
      <c r="D206" s="2">
        <v>555</v>
      </c>
      <c r="E206" s="2">
        <v>543</v>
      </c>
      <c r="F206" s="2">
        <f t="shared" si="9"/>
        <v>1098</v>
      </c>
      <c r="G206" s="3">
        <f t="shared" si="10"/>
        <v>0.50546448087431695</v>
      </c>
      <c r="H206" s="3">
        <f t="shared" si="11"/>
        <v>0.49453551912568305</v>
      </c>
      <c r="I206" s="1" t="s">
        <v>129</v>
      </c>
    </row>
    <row r="207" spans="1:9" x14ac:dyDescent="0.2">
      <c r="A207" s="1" t="s">
        <v>53</v>
      </c>
      <c r="B207" s="1" t="s">
        <v>75</v>
      </c>
      <c r="C207" s="1" t="s">
        <v>310</v>
      </c>
      <c r="D207" s="2">
        <v>571</v>
      </c>
      <c r="E207" s="2">
        <v>519</v>
      </c>
      <c r="F207" s="2">
        <f t="shared" si="9"/>
        <v>1090</v>
      </c>
      <c r="G207" s="3">
        <f t="shared" si="10"/>
        <v>0.52385321100917426</v>
      </c>
      <c r="H207" s="3">
        <f t="shared" si="11"/>
        <v>0.47614678899082569</v>
      </c>
      <c r="I207" s="1" t="s">
        <v>129</v>
      </c>
    </row>
    <row r="208" spans="1:9" x14ac:dyDescent="0.2">
      <c r="A208" s="1" t="s">
        <v>53</v>
      </c>
      <c r="B208" s="1" t="s">
        <v>76</v>
      </c>
      <c r="C208" s="1" t="s">
        <v>311</v>
      </c>
      <c r="D208" s="2">
        <v>185</v>
      </c>
      <c r="E208" s="2">
        <v>411</v>
      </c>
      <c r="F208" s="2">
        <f t="shared" si="9"/>
        <v>596</v>
      </c>
      <c r="G208" s="3">
        <f t="shared" si="10"/>
        <v>0.31040268456375841</v>
      </c>
      <c r="H208" s="3">
        <f t="shared" si="11"/>
        <v>0.68959731543624159</v>
      </c>
      <c r="I208" s="1" t="s">
        <v>129</v>
      </c>
    </row>
    <row r="209" spans="1:9" x14ac:dyDescent="0.2">
      <c r="A209" s="1" t="s">
        <v>53</v>
      </c>
      <c r="B209" s="1" t="s">
        <v>76</v>
      </c>
      <c r="C209" s="1" t="s">
        <v>312</v>
      </c>
      <c r="D209" s="2">
        <v>660</v>
      </c>
      <c r="E209" s="2">
        <v>1314</v>
      </c>
      <c r="F209" s="2">
        <f t="shared" si="9"/>
        <v>1974</v>
      </c>
      <c r="G209" s="3">
        <f t="shared" si="10"/>
        <v>0.33434650455927051</v>
      </c>
      <c r="H209" s="3">
        <f t="shared" si="11"/>
        <v>0.66565349544072949</v>
      </c>
      <c r="I209" s="1" t="s">
        <v>129</v>
      </c>
    </row>
    <row r="210" spans="1:9" x14ac:dyDescent="0.2">
      <c r="A210" s="1" t="s">
        <v>53</v>
      </c>
      <c r="B210" s="1" t="s">
        <v>76</v>
      </c>
      <c r="C210" s="1" t="s">
        <v>313</v>
      </c>
      <c r="D210" s="2">
        <v>146</v>
      </c>
      <c r="E210" s="2">
        <v>387</v>
      </c>
      <c r="F210" s="2">
        <f t="shared" si="9"/>
        <v>533</v>
      </c>
      <c r="G210" s="3">
        <f t="shared" si="10"/>
        <v>0.27392120075046905</v>
      </c>
      <c r="H210" s="3">
        <f t="shared" si="11"/>
        <v>0.726078799249531</v>
      </c>
      <c r="I210" s="1" t="s">
        <v>129</v>
      </c>
    </row>
    <row r="211" spans="1:9" x14ac:dyDescent="0.2">
      <c r="A211" s="1" t="s">
        <v>53</v>
      </c>
      <c r="B211" s="1" t="s">
        <v>77</v>
      </c>
      <c r="C211" s="1" t="s">
        <v>77</v>
      </c>
      <c r="D211" s="2">
        <v>950</v>
      </c>
      <c r="E211" s="2">
        <v>1790</v>
      </c>
      <c r="F211" s="2">
        <f t="shared" si="9"/>
        <v>2740</v>
      </c>
      <c r="G211" s="3">
        <f t="shared" si="10"/>
        <v>0.34671532846715331</v>
      </c>
      <c r="H211" s="3">
        <f t="shared" si="11"/>
        <v>0.65328467153284675</v>
      </c>
      <c r="I211" s="1" t="s">
        <v>129</v>
      </c>
    </row>
    <row r="212" spans="1:9" x14ac:dyDescent="0.2">
      <c r="A212" s="1" t="s">
        <v>53</v>
      </c>
      <c r="B212" s="1" t="s">
        <v>78</v>
      </c>
      <c r="C212" s="1" t="s">
        <v>314</v>
      </c>
      <c r="D212" s="2">
        <v>638</v>
      </c>
      <c r="E212" s="2">
        <v>704</v>
      </c>
      <c r="F212" s="2">
        <f t="shared" si="9"/>
        <v>1342</v>
      </c>
      <c r="G212" s="3">
        <f t="shared" si="10"/>
        <v>0.47540983606557374</v>
      </c>
      <c r="H212" s="3">
        <f t="shared" si="11"/>
        <v>0.52459016393442626</v>
      </c>
      <c r="I212" s="1" t="s">
        <v>129</v>
      </c>
    </row>
    <row r="213" spans="1:9" x14ac:dyDescent="0.2">
      <c r="A213" s="1" t="s">
        <v>53</v>
      </c>
      <c r="B213" s="1" t="s">
        <v>78</v>
      </c>
      <c r="C213" s="1" t="s">
        <v>315</v>
      </c>
      <c r="D213" s="2">
        <v>470</v>
      </c>
      <c r="E213" s="2">
        <v>511</v>
      </c>
      <c r="F213" s="2">
        <f t="shared" si="9"/>
        <v>981</v>
      </c>
      <c r="G213" s="3">
        <f t="shared" si="10"/>
        <v>0.47910295616717635</v>
      </c>
      <c r="H213" s="3">
        <f t="shared" si="11"/>
        <v>0.52089704383282365</v>
      </c>
      <c r="I213" s="1" t="s">
        <v>129</v>
      </c>
    </row>
    <row r="214" spans="1:9" x14ac:dyDescent="0.2">
      <c r="A214" s="1" t="s">
        <v>53</v>
      </c>
      <c r="B214" s="1" t="s">
        <v>78</v>
      </c>
      <c r="C214" s="1" t="s">
        <v>316</v>
      </c>
      <c r="D214" s="2">
        <v>500</v>
      </c>
      <c r="E214" s="2">
        <v>429</v>
      </c>
      <c r="F214" s="2">
        <f t="shared" si="9"/>
        <v>929</v>
      </c>
      <c r="G214" s="3">
        <f t="shared" si="10"/>
        <v>0.53821313240043056</v>
      </c>
      <c r="H214" s="3">
        <f t="shared" si="11"/>
        <v>0.46178686759956944</v>
      </c>
      <c r="I214" s="1" t="s">
        <v>129</v>
      </c>
    </row>
    <row r="215" spans="1:9" x14ac:dyDescent="0.2">
      <c r="A215" s="1" t="s">
        <v>53</v>
      </c>
      <c r="B215" s="1" t="s">
        <v>78</v>
      </c>
      <c r="C215" s="1" t="s">
        <v>317</v>
      </c>
      <c r="D215" s="2">
        <v>595</v>
      </c>
      <c r="E215" s="2">
        <v>432</v>
      </c>
      <c r="F215" s="2">
        <f t="shared" si="9"/>
        <v>1027</v>
      </c>
      <c r="G215" s="3">
        <f t="shared" si="10"/>
        <v>0.57935735150925027</v>
      </c>
      <c r="H215" s="3">
        <f t="shared" si="11"/>
        <v>0.42064264849074978</v>
      </c>
      <c r="I215" s="1" t="s">
        <v>129</v>
      </c>
    </row>
    <row r="216" spans="1:9" x14ac:dyDescent="0.2">
      <c r="A216" s="1" t="s">
        <v>53</v>
      </c>
      <c r="B216" s="1" t="s">
        <v>78</v>
      </c>
      <c r="C216" s="1" t="s">
        <v>318</v>
      </c>
      <c r="D216" s="2">
        <v>219</v>
      </c>
      <c r="E216" s="2">
        <v>189</v>
      </c>
      <c r="F216" s="2">
        <f t="shared" si="9"/>
        <v>408</v>
      </c>
      <c r="G216" s="3">
        <f t="shared" si="10"/>
        <v>0.53676470588235292</v>
      </c>
      <c r="H216" s="3">
        <f t="shared" si="11"/>
        <v>0.46323529411764708</v>
      </c>
      <c r="I216" s="1" t="s">
        <v>129</v>
      </c>
    </row>
    <row r="217" spans="1:9" x14ac:dyDescent="0.2">
      <c r="A217" s="1" t="s">
        <v>53</v>
      </c>
      <c r="B217" s="1" t="s">
        <v>78</v>
      </c>
      <c r="C217" s="1" t="s">
        <v>319</v>
      </c>
      <c r="D217" s="2">
        <v>327</v>
      </c>
      <c r="E217" s="2">
        <v>236</v>
      </c>
      <c r="F217" s="2">
        <f t="shared" si="9"/>
        <v>563</v>
      </c>
      <c r="G217" s="3">
        <f t="shared" si="10"/>
        <v>0.58081705150976914</v>
      </c>
      <c r="H217" s="3">
        <f t="shared" si="11"/>
        <v>0.41918294849023091</v>
      </c>
      <c r="I217" s="1" t="s">
        <v>129</v>
      </c>
    </row>
    <row r="218" spans="1:9" x14ac:dyDescent="0.2">
      <c r="A218" s="1" t="s">
        <v>53</v>
      </c>
      <c r="B218" s="1" t="s">
        <v>78</v>
      </c>
      <c r="C218" s="1" t="s">
        <v>320</v>
      </c>
      <c r="D218" s="2">
        <v>377</v>
      </c>
      <c r="E218" s="2">
        <v>309</v>
      </c>
      <c r="F218" s="2">
        <f t="shared" si="9"/>
        <v>686</v>
      </c>
      <c r="G218" s="3">
        <f t="shared" si="10"/>
        <v>0.54956268221574345</v>
      </c>
      <c r="H218" s="3">
        <f t="shared" si="11"/>
        <v>0.45043731778425655</v>
      </c>
      <c r="I218" s="1" t="s">
        <v>129</v>
      </c>
    </row>
    <row r="219" spans="1:9" x14ac:dyDescent="0.2">
      <c r="A219" s="1" t="s">
        <v>53</v>
      </c>
      <c r="B219" s="1" t="s">
        <v>78</v>
      </c>
      <c r="C219" s="1" t="s">
        <v>321</v>
      </c>
      <c r="D219" s="2">
        <v>212</v>
      </c>
      <c r="E219" s="2">
        <v>237</v>
      </c>
      <c r="F219" s="2">
        <f t="shared" si="9"/>
        <v>449</v>
      </c>
      <c r="G219" s="3">
        <f t="shared" si="10"/>
        <v>0.47216035634743875</v>
      </c>
      <c r="H219" s="3">
        <f t="shared" si="11"/>
        <v>0.5278396436525612</v>
      </c>
      <c r="I219" s="1" t="s">
        <v>129</v>
      </c>
    </row>
    <row r="220" spans="1:9" x14ac:dyDescent="0.2">
      <c r="A220" s="1" t="s">
        <v>53</v>
      </c>
      <c r="B220" s="1" t="s">
        <v>78</v>
      </c>
      <c r="C220" s="1" t="s">
        <v>322</v>
      </c>
      <c r="D220" s="2">
        <v>378</v>
      </c>
      <c r="E220" s="2">
        <v>354</v>
      </c>
      <c r="F220" s="2">
        <f t="shared" si="9"/>
        <v>732</v>
      </c>
      <c r="G220" s="3">
        <f t="shared" si="10"/>
        <v>0.51639344262295084</v>
      </c>
      <c r="H220" s="3">
        <f t="shared" si="11"/>
        <v>0.48360655737704916</v>
      </c>
      <c r="I220" s="1" t="s">
        <v>129</v>
      </c>
    </row>
    <row r="221" spans="1:9" x14ac:dyDescent="0.2">
      <c r="A221" s="1" t="s">
        <v>53</v>
      </c>
      <c r="B221" s="1" t="s">
        <v>78</v>
      </c>
      <c r="C221" s="1" t="s">
        <v>323</v>
      </c>
      <c r="D221" s="2">
        <v>653</v>
      </c>
      <c r="E221" s="2">
        <v>749</v>
      </c>
      <c r="F221" s="2">
        <f t="shared" si="9"/>
        <v>1402</v>
      </c>
      <c r="G221" s="3">
        <f t="shared" si="10"/>
        <v>0.4657631954350927</v>
      </c>
      <c r="H221" s="3">
        <f t="shared" si="11"/>
        <v>0.5342368045649073</v>
      </c>
      <c r="I221" s="1" t="s">
        <v>129</v>
      </c>
    </row>
    <row r="222" spans="1:9" x14ac:dyDescent="0.2">
      <c r="A222" s="1" t="s">
        <v>53</v>
      </c>
      <c r="B222" s="1" t="s">
        <v>78</v>
      </c>
      <c r="C222" s="1" t="s">
        <v>324</v>
      </c>
      <c r="D222" s="2">
        <v>547</v>
      </c>
      <c r="E222" s="2">
        <v>573</v>
      </c>
      <c r="F222" s="2">
        <f t="shared" si="9"/>
        <v>1120</v>
      </c>
      <c r="G222" s="3">
        <f t="shared" si="10"/>
        <v>0.48839285714285713</v>
      </c>
      <c r="H222" s="3">
        <f t="shared" si="11"/>
        <v>0.51160714285714282</v>
      </c>
      <c r="I222" s="1" t="s">
        <v>129</v>
      </c>
    </row>
    <row r="223" spans="1:9" x14ac:dyDescent="0.2">
      <c r="A223" s="1" t="s">
        <v>53</v>
      </c>
      <c r="B223" s="1" t="s">
        <v>78</v>
      </c>
      <c r="C223" s="1" t="s">
        <v>325</v>
      </c>
      <c r="D223" s="2">
        <v>440</v>
      </c>
      <c r="E223" s="2">
        <v>425</v>
      </c>
      <c r="F223" s="2">
        <f t="shared" si="9"/>
        <v>865</v>
      </c>
      <c r="G223" s="3">
        <f t="shared" si="10"/>
        <v>0.50867052023121384</v>
      </c>
      <c r="H223" s="3">
        <f t="shared" si="11"/>
        <v>0.4913294797687861</v>
      </c>
      <c r="I223" s="1" t="s">
        <v>129</v>
      </c>
    </row>
    <row r="224" spans="1:9" x14ac:dyDescent="0.2">
      <c r="A224" s="1" t="s">
        <v>79</v>
      </c>
      <c r="B224" s="1" t="s">
        <v>81</v>
      </c>
      <c r="C224" s="1" t="s">
        <v>326</v>
      </c>
      <c r="D224" s="2">
        <v>363</v>
      </c>
      <c r="E224" s="2">
        <v>871</v>
      </c>
      <c r="F224" s="2">
        <f t="shared" si="9"/>
        <v>1234</v>
      </c>
      <c r="G224" s="3">
        <f t="shared" si="10"/>
        <v>0.29416531604538088</v>
      </c>
      <c r="H224" s="3">
        <f t="shared" si="11"/>
        <v>0.70583468395461912</v>
      </c>
      <c r="I224" s="1" t="s">
        <v>129</v>
      </c>
    </row>
    <row r="225" spans="1:9" x14ac:dyDescent="0.2">
      <c r="A225" s="1" t="s">
        <v>79</v>
      </c>
      <c r="B225" s="1" t="s">
        <v>80</v>
      </c>
      <c r="C225" s="1" t="s">
        <v>327</v>
      </c>
      <c r="D225" s="2">
        <v>1024</v>
      </c>
      <c r="E225" s="2">
        <v>2126</v>
      </c>
      <c r="F225" s="2">
        <f t="shared" si="9"/>
        <v>3150</v>
      </c>
      <c r="G225" s="3">
        <f t="shared" si="10"/>
        <v>0.32507936507936508</v>
      </c>
      <c r="H225" s="3">
        <f t="shared" si="11"/>
        <v>0.67492063492063492</v>
      </c>
      <c r="I225" s="1" t="s">
        <v>129</v>
      </c>
    </row>
    <row r="226" spans="1:9" x14ac:dyDescent="0.2">
      <c r="A226" s="1" t="s">
        <v>79</v>
      </c>
      <c r="B226" s="1" t="s">
        <v>82</v>
      </c>
      <c r="C226" s="1" t="s">
        <v>328</v>
      </c>
      <c r="D226" s="2">
        <v>400</v>
      </c>
      <c r="E226" s="2">
        <v>770</v>
      </c>
      <c r="F226" s="2">
        <f t="shared" si="9"/>
        <v>1170</v>
      </c>
      <c r="G226" s="3">
        <f t="shared" si="10"/>
        <v>0.34188034188034189</v>
      </c>
      <c r="H226" s="3">
        <f t="shared" si="11"/>
        <v>0.65811965811965811</v>
      </c>
      <c r="I226" s="1" t="s">
        <v>129</v>
      </c>
    </row>
    <row r="227" spans="1:9" x14ac:dyDescent="0.2">
      <c r="A227" s="1" t="s">
        <v>83</v>
      </c>
      <c r="B227" s="1" t="s">
        <v>84</v>
      </c>
      <c r="C227" s="1" t="s">
        <v>329</v>
      </c>
      <c r="D227" s="2">
        <v>540</v>
      </c>
      <c r="E227" s="2">
        <v>790</v>
      </c>
      <c r="F227" s="2">
        <f t="shared" si="9"/>
        <v>1330</v>
      </c>
      <c r="G227" s="3">
        <f t="shared" si="10"/>
        <v>0.40601503759398494</v>
      </c>
      <c r="H227" s="3">
        <f t="shared" si="11"/>
        <v>0.59398496240601506</v>
      </c>
      <c r="I227" s="1" t="s">
        <v>129</v>
      </c>
    </row>
    <row r="228" spans="1:9" x14ac:dyDescent="0.2">
      <c r="A228" s="1" t="s">
        <v>83</v>
      </c>
      <c r="B228" s="1" t="s">
        <v>84</v>
      </c>
      <c r="C228" s="1" t="s">
        <v>330</v>
      </c>
      <c r="D228" s="2">
        <v>617</v>
      </c>
      <c r="E228" s="2">
        <v>760</v>
      </c>
      <c r="F228" s="2">
        <f t="shared" si="9"/>
        <v>1377</v>
      </c>
      <c r="G228" s="3">
        <f t="shared" si="10"/>
        <v>0.44807552650689908</v>
      </c>
      <c r="H228" s="3">
        <f t="shared" si="11"/>
        <v>0.55192447349310092</v>
      </c>
      <c r="I228" s="1" t="s">
        <v>129</v>
      </c>
    </row>
    <row r="229" spans="1:9" x14ac:dyDescent="0.2">
      <c r="A229" s="1" t="s">
        <v>83</v>
      </c>
      <c r="B229" s="1" t="s">
        <v>85</v>
      </c>
      <c r="C229" s="1" t="s">
        <v>331</v>
      </c>
      <c r="D229" s="2">
        <v>342</v>
      </c>
      <c r="E229" s="2">
        <v>484</v>
      </c>
      <c r="F229" s="2">
        <f t="shared" si="9"/>
        <v>826</v>
      </c>
      <c r="G229" s="3">
        <f t="shared" si="10"/>
        <v>0.41404358353510895</v>
      </c>
      <c r="H229" s="3">
        <f t="shared" si="11"/>
        <v>0.58595641646489105</v>
      </c>
      <c r="I229" s="1" t="s">
        <v>332</v>
      </c>
    </row>
    <row r="230" spans="1:9" x14ac:dyDescent="0.2">
      <c r="A230" s="1" t="s">
        <v>83</v>
      </c>
      <c r="B230" s="1" t="s">
        <v>85</v>
      </c>
      <c r="C230" s="1" t="s">
        <v>333</v>
      </c>
      <c r="D230" s="2">
        <v>360</v>
      </c>
      <c r="E230" s="2">
        <v>502</v>
      </c>
      <c r="F230" s="2">
        <f t="shared" si="9"/>
        <v>862</v>
      </c>
      <c r="G230" s="3">
        <f t="shared" si="10"/>
        <v>0.41763341067285381</v>
      </c>
      <c r="H230" s="3">
        <f t="shared" si="11"/>
        <v>0.58236658932714613</v>
      </c>
      <c r="I230" s="1" t="s">
        <v>332</v>
      </c>
    </row>
    <row r="231" spans="1:9" x14ac:dyDescent="0.2">
      <c r="A231" s="1" t="s">
        <v>83</v>
      </c>
      <c r="B231" s="1" t="s">
        <v>86</v>
      </c>
      <c r="C231" s="1" t="s">
        <v>86</v>
      </c>
      <c r="D231" s="2">
        <v>476</v>
      </c>
      <c r="E231" s="2">
        <v>540</v>
      </c>
      <c r="F231" s="2">
        <f t="shared" si="9"/>
        <v>1016</v>
      </c>
      <c r="G231" s="3">
        <f t="shared" si="10"/>
        <v>0.46850393700787402</v>
      </c>
      <c r="H231" s="3">
        <f t="shared" si="11"/>
        <v>0.53149606299212604</v>
      </c>
      <c r="I231" s="1" t="s">
        <v>129</v>
      </c>
    </row>
    <row r="232" spans="1:9" x14ac:dyDescent="0.2">
      <c r="A232" s="1" t="s">
        <v>83</v>
      </c>
      <c r="B232" s="1" t="s">
        <v>56</v>
      </c>
      <c r="C232" s="1" t="s">
        <v>334</v>
      </c>
      <c r="D232" s="2">
        <v>593</v>
      </c>
      <c r="E232" s="2">
        <v>348</v>
      </c>
      <c r="F232" s="2">
        <f t="shared" si="9"/>
        <v>941</v>
      </c>
      <c r="G232" s="3">
        <f t="shared" si="10"/>
        <v>0.6301806588735388</v>
      </c>
      <c r="H232" s="3">
        <f t="shared" si="11"/>
        <v>0.3698193411264612</v>
      </c>
      <c r="I232" s="1" t="s">
        <v>129</v>
      </c>
    </row>
    <row r="233" spans="1:9" x14ac:dyDescent="0.2">
      <c r="A233" s="1" t="s">
        <v>83</v>
      </c>
      <c r="B233" s="1" t="s">
        <v>56</v>
      </c>
      <c r="C233" s="1" t="s">
        <v>335</v>
      </c>
      <c r="D233" s="2">
        <v>829</v>
      </c>
      <c r="E233" s="2">
        <v>563</v>
      </c>
      <c r="F233" s="2">
        <f t="shared" si="9"/>
        <v>1392</v>
      </c>
      <c r="G233" s="3">
        <f t="shared" si="10"/>
        <v>0.59554597701149425</v>
      </c>
      <c r="H233" s="3">
        <f t="shared" si="11"/>
        <v>0.40445402298850575</v>
      </c>
      <c r="I233" s="1" t="s">
        <v>129</v>
      </c>
    </row>
    <row r="234" spans="1:9" x14ac:dyDescent="0.2">
      <c r="A234" s="1" t="s">
        <v>83</v>
      </c>
      <c r="B234" s="1" t="s">
        <v>56</v>
      </c>
      <c r="C234" s="1" t="s">
        <v>336</v>
      </c>
      <c r="D234" s="2">
        <v>593</v>
      </c>
      <c r="E234" s="2">
        <v>333</v>
      </c>
      <c r="F234" s="2">
        <f t="shared" si="9"/>
        <v>926</v>
      </c>
      <c r="G234" s="3">
        <f t="shared" si="10"/>
        <v>0.64038876889848817</v>
      </c>
      <c r="H234" s="3">
        <f t="shared" si="11"/>
        <v>0.35961123110151189</v>
      </c>
      <c r="I234" s="1" t="s">
        <v>129</v>
      </c>
    </row>
    <row r="235" spans="1:9" x14ac:dyDescent="0.2">
      <c r="A235" s="1" t="s">
        <v>83</v>
      </c>
      <c r="B235" s="1" t="s">
        <v>56</v>
      </c>
      <c r="C235" s="1" t="s">
        <v>337</v>
      </c>
      <c r="D235" s="2">
        <v>463</v>
      </c>
      <c r="E235" s="2">
        <v>273</v>
      </c>
      <c r="F235" s="2">
        <f t="shared" si="9"/>
        <v>736</v>
      </c>
      <c r="G235" s="3">
        <f t="shared" si="10"/>
        <v>0.62907608695652173</v>
      </c>
      <c r="H235" s="3">
        <f t="shared" si="11"/>
        <v>0.37092391304347827</v>
      </c>
      <c r="I235" s="1" t="s">
        <v>129</v>
      </c>
    </row>
    <row r="236" spans="1:9" x14ac:dyDescent="0.2">
      <c r="A236" s="1" t="s">
        <v>83</v>
      </c>
      <c r="B236" s="1" t="s">
        <v>56</v>
      </c>
      <c r="C236" s="1" t="s">
        <v>338</v>
      </c>
      <c r="D236" s="2">
        <v>579</v>
      </c>
      <c r="E236" s="2">
        <v>399</v>
      </c>
      <c r="F236" s="2">
        <f t="shared" si="9"/>
        <v>978</v>
      </c>
      <c r="G236" s="3">
        <f t="shared" si="10"/>
        <v>0.59202453987730064</v>
      </c>
      <c r="H236" s="3">
        <f t="shared" si="11"/>
        <v>0.40797546012269936</v>
      </c>
      <c r="I236" s="1" t="s">
        <v>129</v>
      </c>
    </row>
    <row r="237" spans="1:9" x14ac:dyDescent="0.2">
      <c r="A237" s="1" t="s">
        <v>83</v>
      </c>
      <c r="B237" s="1" t="s">
        <v>56</v>
      </c>
      <c r="C237" s="1" t="s">
        <v>339</v>
      </c>
      <c r="D237" s="2">
        <v>746</v>
      </c>
      <c r="E237" s="2">
        <v>457</v>
      </c>
      <c r="F237" s="2">
        <f t="shared" si="9"/>
        <v>1203</v>
      </c>
      <c r="G237" s="3">
        <f t="shared" si="10"/>
        <v>0.62011637572734835</v>
      </c>
      <c r="H237" s="3">
        <f t="shared" si="11"/>
        <v>0.37988362427265171</v>
      </c>
      <c r="I237" s="1" t="s">
        <v>129</v>
      </c>
    </row>
    <row r="238" spans="1:9" x14ac:dyDescent="0.2">
      <c r="A238" s="1" t="s">
        <v>83</v>
      </c>
      <c r="B238" s="1" t="s">
        <v>56</v>
      </c>
      <c r="C238" s="1" t="s">
        <v>340</v>
      </c>
      <c r="D238" s="2">
        <v>592</v>
      </c>
      <c r="E238" s="2">
        <v>434</v>
      </c>
      <c r="F238" s="2">
        <f t="shared" si="9"/>
        <v>1026</v>
      </c>
      <c r="G238" s="3">
        <f t="shared" si="10"/>
        <v>0.57699805068226118</v>
      </c>
      <c r="H238" s="3">
        <f t="shared" si="11"/>
        <v>0.42300194931773877</v>
      </c>
      <c r="I238" s="1" t="s">
        <v>129</v>
      </c>
    </row>
    <row r="239" spans="1:9" x14ac:dyDescent="0.2">
      <c r="A239" s="1" t="s">
        <v>83</v>
      </c>
      <c r="B239" s="1" t="s">
        <v>56</v>
      </c>
      <c r="C239" s="1" t="s">
        <v>341</v>
      </c>
      <c r="D239" s="2">
        <v>435</v>
      </c>
      <c r="E239" s="2">
        <v>246</v>
      </c>
      <c r="F239" s="2">
        <f t="shared" si="9"/>
        <v>681</v>
      </c>
      <c r="G239" s="3">
        <f t="shared" si="10"/>
        <v>0.63876651982378851</v>
      </c>
      <c r="H239" s="3">
        <f t="shared" si="11"/>
        <v>0.36123348017621143</v>
      </c>
      <c r="I239" s="1" t="s">
        <v>129</v>
      </c>
    </row>
    <row r="240" spans="1:9" x14ac:dyDescent="0.2">
      <c r="A240" s="1" t="s">
        <v>83</v>
      </c>
      <c r="B240" s="1" t="s">
        <v>56</v>
      </c>
      <c r="C240" s="1" t="s">
        <v>342</v>
      </c>
      <c r="D240" s="2">
        <v>553</v>
      </c>
      <c r="E240" s="2">
        <v>284</v>
      </c>
      <c r="F240" s="2">
        <f t="shared" si="9"/>
        <v>837</v>
      </c>
      <c r="G240" s="3">
        <f t="shared" si="10"/>
        <v>0.66069295101553172</v>
      </c>
      <c r="H240" s="3">
        <f t="shared" si="11"/>
        <v>0.33930704898446834</v>
      </c>
      <c r="I240" s="1" t="s">
        <v>129</v>
      </c>
    </row>
    <row r="241" spans="1:9" x14ac:dyDescent="0.2">
      <c r="A241" s="1" t="s">
        <v>83</v>
      </c>
      <c r="B241" s="1" t="s">
        <v>56</v>
      </c>
      <c r="C241" s="1" t="s">
        <v>343</v>
      </c>
      <c r="D241" s="2">
        <v>688</v>
      </c>
      <c r="E241" s="2">
        <v>456</v>
      </c>
      <c r="F241" s="2">
        <f t="shared" si="9"/>
        <v>1144</v>
      </c>
      <c r="G241" s="3">
        <f t="shared" si="10"/>
        <v>0.60139860139860135</v>
      </c>
      <c r="H241" s="3">
        <f t="shared" si="11"/>
        <v>0.39860139860139859</v>
      </c>
      <c r="I241" s="1" t="s">
        <v>129</v>
      </c>
    </row>
    <row r="242" spans="1:9" x14ac:dyDescent="0.2">
      <c r="A242" s="1" t="s">
        <v>83</v>
      </c>
      <c r="B242" s="1" t="s">
        <v>56</v>
      </c>
      <c r="C242" s="1" t="s">
        <v>344</v>
      </c>
      <c r="D242" s="2">
        <v>541</v>
      </c>
      <c r="E242" s="2">
        <v>258</v>
      </c>
      <c r="F242" s="2">
        <f t="shared" si="9"/>
        <v>799</v>
      </c>
      <c r="G242" s="3">
        <f t="shared" si="10"/>
        <v>0.6770963704630788</v>
      </c>
      <c r="H242" s="3">
        <f t="shared" si="11"/>
        <v>0.32290362953692114</v>
      </c>
      <c r="I242" s="1" t="s">
        <v>129</v>
      </c>
    </row>
    <row r="243" spans="1:9" x14ac:dyDescent="0.2">
      <c r="A243" s="1" t="s">
        <v>83</v>
      </c>
      <c r="B243" s="1" t="s">
        <v>56</v>
      </c>
      <c r="C243" s="1" t="s">
        <v>345</v>
      </c>
      <c r="D243" s="2">
        <v>506</v>
      </c>
      <c r="E243" s="2">
        <v>303</v>
      </c>
      <c r="F243" s="2">
        <f t="shared" si="9"/>
        <v>809</v>
      </c>
      <c r="G243" s="3">
        <f t="shared" si="10"/>
        <v>0.62546353522867737</v>
      </c>
      <c r="H243" s="3">
        <f t="shared" si="11"/>
        <v>0.37453646477132263</v>
      </c>
      <c r="I243" s="1" t="s">
        <v>129</v>
      </c>
    </row>
    <row r="244" spans="1:9" x14ac:dyDescent="0.2">
      <c r="A244" s="1" t="s">
        <v>83</v>
      </c>
      <c r="B244" s="1" t="s">
        <v>56</v>
      </c>
      <c r="C244" s="1" t="s">
        <v>346</v>
      </c>
      <c r="D244" s="2">
        <v>168</v>
      </c>
      <c r="E244" s="2">
        <v>68</v>
      </c>
      <c r="F244" s="2">
        <f t="shared" si="9"/>
        <v>236</v>
      </c>
      <c r="G244" s="3">
        <f t="shared" si="10"/>
        <v>0.71186440677966101</v>
      </c>
      <c r="H244" s="3">
        <f t="shared" si="11"/>
        <v>0.28813559322033899</v>
      </c>
      <c r="I244" s="1" t="s">
        <v>129</v>
      </c>
    </row>
    <row r="245" spans="1:9" x14ac:dyDescent="0.2">
      <c r="A245" s="1" t="s">
        <v>83</v>
      </c>
      <c r="B245" s="1" t="s">
        <v>56</v>
      </c>
      <c r="C245" s="1" t="s">
        <v>347</v>
      </c>
      <c r="D245" s="2">
        <v>301</v>
      </c>
      <c r="E245" s="2">
        <v>128</v>
      </c>
      <c r="F245" s="2">
        <f t="shared" si="9"/>
        <v>429</v>
      </c>
      <c r="G245" s="3">
        <f t="shared" si="10"/>
        <v>0.70163170163170163</v>
      </c>
      <c r="H245" s="3">
        <f t="shared" si="11"/>
        <v>0.29836829836829837</v>
      </c>
      <c r="I245" s="1" t="s">
        <v>129</v>
      </c>
    </row>
    <row r="246" spans="1:9" x14ac:dyDescent="0.2">
      <c r="A246" s="1" t="s">
        <v>83</v>
      </c>
      <c r="B246" s="1" t="s">
        <v>56</v>
      </c>
      <c r="C246" s="1" t="s">
        <v>348</v>
      </c>
      <c r="D246" s="2">
        <v>255</v>
      </c>
      <c r="E246" s="2">
        <v>98</v>
      </c>
      <c r="F246" s="2">
        <f t="shared" si="9"/>
        <v>353</v>
      </c>
      <c r="G246" s="3">
        <f t="shared" si="10"/>
        <v>0.72237960339943341</v>
      </c>
      <c r="H246" s="3">
        <f t="shared" si="11"/>
        <v>0.27762039660056659</v>
      </c>
      <c r="I246" s="1" t="s">
        <v>129</v>
      </c>
    </row>
    <row r="247" spans="1:9" x14ac:dyDescent="0.2">
      <c r="A247" s="1" t="s">
        <v>83</v>
      </c>
      <c r="B247" s="1" t="s">
        <v>56</v>
      </c>
      <c r="C247" s="1" t="s">
        <v>349</v>
      </c>
      <c r="D247" s="2">
        <v>386</v>
      </c>
      <c r="E247" s="2">
        <v>136</v>
      </c>
      <c r="F247" s="2">
        <f t="shared" si="9"/>
        <v>522</v>
      </c>
      <c r="G247" s="3">
        <f t="shared" si="10"/>
        <v>0.73946360153256707</v>
      </c>
      <c r="H247" s="3">
        <f t="shared" si="11"/>
        <v>0.26053639846743293</v>
      </c>
      <c r="I247" s="1" t="s">
        <v>129</v>
      </c>
    </row>
    <row r="248" spans="1:9" x14ac:dyDescent="0.2">
      <c r="A248" s="1" t="s">
        <v>83</v>
      </c>
      <c r="B248" s="1" t="s">
        <v>56</v>
      </c>
      <c r="C248" s="1" t="s">
        <v>350</v>
      </c>
      <c r="D248" s="2">
        <v>906</v>
      </c>
      <c r="E248" s="2">
        <v>219</v>
      </c>
      <c r="F248" s="2">
        <f t="shared" si="9"/>
        <v>1125</v>
      </c>
      <c r="G248" s="3">
        <f t="shared" si="10"/>
        <v>0.80533333333333335</v>
      </c>
      <c r="H248" s="3">
        <f t="shared" si="11"/>
        <v>0.19466666666666665</v>
      </c>
      <c r="I248" s="1" t="s">
        <v>129</v>
      </c>
    </row>
    <row r="249" spans="1:9" x14ac:dyDescent="0.2">
      <c r="A249" s="1" t="s">
        <v>83</v>
      </c>
      <c r="B249" s="1" t="s">
        <v>56</v>
      </c>
      <c r="C249" s="1" t="s">
        <v>351</v>
      </c>
      <c r="D249" s="2">
        <v>388</v>
      </c>
      <c r="E249" s="2">
        <v>152</v>
      </c>
      <c r="F249" s="2">
        <f t="shared" si="9"/>
        <v>540</v>
      </c>
      <c r="G249" s="3">
        <f t="shared" si="10"/>
        <v>0.71851851851851856</v>
      </c>
      <c r="H249" s="3">
        <f t="shared" si="11"/>
        <v>0.2814814814814815</v>
      </c>
      <c r="I249" s="1" t="s">
        <v>129</v>
      </c>
    </row>
    <row r="250" spans="1:9" x14ac:dyDescent="0.2">
      <c r="A250" s="1" t="s">
        <v>83</v>
      </c>
      <c r="B250" s="1" t="s">
        <v>56</v>
      </c>
      <c r="C250" s="1" t="s">
        <v>352</v>
      </c>
      <c r="D250" s="2">
        <v>356</v>
      </c>
      <c r="E250" s="2">
        <v>159</v>
      </c>
      <c r="F250" s="2">
        <f t="shared" si="9"/>
        <v>515</v>
      </c>
      <c r="G250" s="3">
        <f t="shared" si="10"/>
        <v>0.6912621359223301</v>
      </c>
      <c r="H250" s="3">
        <f t="shared" si="11"/>
        <v>0.3087378640776699</v>
      </c>
      <c r="I250" s="1" t="s">
        <v>129</v>
      </c>
    </row>
    <row r="251" spans="1:9" x14ac:dyDescent="0.2">
      <c r="A251" s="1" t="s">
        <v>83</v>
      </c>
      <c r="B251" s="1" t="s">
        <v>56</v>
      </c>
      <c r="C251" s="1" t="s">
        <v>353</v>
      </c>
      <c r="D251" s="2">
        <v>370</v>
      </c>
      <c r="E251" s="2">
        <v>118</v>
      </c>
      <c r="F251" s="2">
        <f t="shared" si="9"/>
        <v>488</v>
      </c>
      <c r="G251" s="3">
        <f t="shared" si="10"/>
        <v>0.75819672131147542</v>
      </c>
      <c r="H251" s="3">
        <f t="shared" si="11"/>
        <v>0.24180327868852458</v>
      </c>
      <c r="I251" s="1" t="s">
        <v>129</v>
      </c>
    </row>
    <row r="252" spans="1:9" x14ac:dyDescent="0.2">
      <c r="A252" s="1" t="s">
        <v>83</v>
      </c>
      <c r="B252" s="1" t="s">
        <v>56</v>
      </c>
      <c r="C252" s="1" t="s">
        <v>354</v>
      </c>
      <c r="D252" s="2">
        <v>505</v>
      </c>
      <c r="E252" s="2">
        <v>202</v>
      </c>
      <c r="F252" s="2">
        <f t="shared" si="9"/>
        <v>707</v>
      </c>
      <c r="G252" s="3">
        <f t="shared" si="10"/>
        <v>0.7142857142857143</v>
      </c>
      <c r="H252" s="3">
        <f t="shared" si="11"/>
        <v>0.2857142857142857</v>
      </c>
      <c r="I252" s="1" t="s">
        <v>129</v>
      </c>
    </row>
    <row r="253" spans="1:9" x14ac:dyDescent="0.2">
      <c r="A253" s="1" t="s">
        <v>83</v>
      </c>
      <c r="B253" s="1" t="s">
        <v>56</v>
      </c>
      <c r="C253" s="1" t="s">
        <v>355</v>
      </c>
      <c r="D253" s="2">
        <v>466</v>
      </c>
      <c r="E253" s="2">
        <v>220</v>
      </c>
      <c r="F253" s="2">
        <f t="shared" si="9"/>
        <v>686</v>
      </c>
      <c r="G253" s="3">
        <f t="shared" si="10"/>
        <v>0.67930029154518945</v>
      </c>
      <c r="H253" s="3">
        <f t="shared" si="11"/>
        <v>0.32069970845481049</v>
      </c>
      <c r="I253" s="1" t="s">
        <v>129</v>
      </c>
    </row>
    <row r="254" spans="1:9" x14ac:dyDescent="0.2">
      <c r="A254" s="1" t="s">
        <v>83</v>
      </c>
      <c r="B254" s="1" t="s">
        <v>56</v>
      </c>
      <c r="C254" s="1" t="s">
        <v>356</v>
      </c>
      <c r="D254" s="2">
        <v>521</v>
      </c>
      <c r="E254" s="2">
        <v>243</v>
      </c>
      <c r="F254" s="2">
        <f t="shared" si="9"/>
        <v>764</v>
      </c>
      <c r="G254" s="3">
        <f t="shared" si="10"/>
        <v>0.68193717277486909</v>
      </c>
      <c r="H254" s="3">
        <f t="shared" si="11"/>
        <v>0.31806282722513091</v>
      </c>
      <c r="I254" s="1" t="s">
        <v>129</v>
      </c>
    </row>
    <row r="255" spans="1:9" x14ac:dyDescent="0.2">
      <c r="A255" s="1" t="s">
        <v>83</v>
      </c>
      <c r="B255" s="1" t="s">
        <v>56</v>
      </c>
      <c r="C255" s="1" t="s">
        <v>357</v>
      </c>
      <c r="D255" s="2">
        <v>470</v>
      </c>
      <c r="E255" s="2">
        <v>226</v>
      </c>
      <c r="F255" s="2">
        <f t="shared" si="9"/>
        <v>696</v>
      </c>
      <c r="G255" s="3">
        <f t="shared" si="10"/>
        <v>0.67528735632183912</v>
      </c>
      <c r="H255" s="3">
        <f t="shared" si="11"/>
        <v>0.32471264367816094</v>
      </c>
      <c r="I255" s="1" t="s">
        <v>129</v>
      </c>
    </row>
    <row r="256" spans="1:9" x14ac:dyDescent="0.2">
      <c r="A256" s="1" t="s">
        <v>83</v>
      </c>
      <c r="B256" s="1" t="s">
        <v>87</v>
      </c>
      <c r="C256" s="1" t="s">
        <v>358</v>
      </c>
      <c r="D256" s="2">
        <v>390</v>
      </c>
      <c r="E256" s="2">
        <v>341</v>
      </c>
      <c r="F256" s="2">
        <f t="shared" si="9"/>
        <v>731</v>
      </c>
      <c r="G256" s="3">
        <f t="shared" si="10"/>
        <v>0.53351573187414503</v>
      </c>
      <c r="H256" s="3">
        <f t="shared" si="11"/>
        <v>0.46648426812585497</v>
      </c>
      <c r="I256" s="1" t="s">
        <v>129</v>
      </c>
    </row>
    <row r="257" spans="1:9" x14ac:dyDescent="0.2">
      <c r="A257" s="1" t="s">
        <v>83</v>
      </c>
      <c r="B257" s="1" t="s">
        <v>87</v>
      </c>
      <c r="C257" s="1" t="s">
        <v>359</v>
      </c>
      <c r="D257" s="2">
        <v>477</v>
      </c>
      <c r="E257" s="2">
        <v>438</v>
      </c>
      <c r="F257" s="2">
        <f t="shared" si="9"/>
        <v>915</v>
      </c>
      <c r="G257" s="3">
        <f t="shared" si="10"/>
        <v>0.52131147540983602</v>
      </c>
      <c r="H257" s="3">
        <f t="shared" si="11"/>
        <v>0.47868852459016392</v>
      </c>
      <c r="I257" s="1" t="s">
        <v>129</v>
      </c>
    </row>
    <row r="258" spans="1:9" x14ac:dyDescent="0.2">
      <c r="A258" s="1" t="s">
        <v>83</v>
      </c>
      <c r="B258" s="1" t="s">
        <v>87</v>
      </c>
      <c r="C258" s="1" t="s">
        <v>360</v>
      </c>
      <c r="D258" s="2">
        <v>556</v>
      </c>
      <c r="E258" s="2">
        <v>465</v>
      </c>
      <c r="F258" s="2">
        <f t="shared" si="9"/>
        <v>1021</v>
      </c>
      <c r="G258" s="3">
        <f t="shared" si="10"/>
        <v>0.54456415279138104</v>
      </c>
      <c r="H258" s="3">
        <f t="shared" si="11"/>
        <v>0.45543584720861902</v>
      </c>
      <c r="I258" s="1" t="s">
        <v>129</v>
      </c>
    </row>
    <row r="259" spans="1:9" x14ac:dyDescent="0.2">
      <c r="A259" s="1" t="s">
        <v>83</v>
      </c>
      <c r="B259" s="1" t="s">
        <v>87</v>
      </c>
      <c r="C259" s="1" t="s">
        <v>361</v>
      </c>
      <c r="D259" s="2">
        <v>279</v>
      </c>
      <c r="E259" s="2">
        <v>279</v>
      </c>
      <c r="F259" s="2">
        <f t="shared" si="9"/>
        <v>558</v>
      </c>
      <c r="G259" s="3">
        <f t="shared" si="10"/>
        <v>0.5</v>
      </c>
      <c r="H259" s="3">
        <f t="shared" si="11"/>
        <v>0.5</v>
      </c>
      <c r="I259" s="1" t="s">
        <v>129</v>
      </c>
    </row>
    <row r="260" spans="1:9" x14ac:dyDescent="0.2">
      <c r="A260" s="1" t="s">
        <v>83</v>
      </c>
      <c r="B260" s="1" t="s">
        <v>87</v>
      </c>
      <c r="C260" s="1" t="s">
        <v>362</v>
      </c>
      <c r="D260" s="2">
        <v>420</v>
      </c>
      <c r="E260" s="2">
        <v>363</v>
      </c>
      <c r="F260" s="2">
        <f t="shared" si="9"/>
        <v>783</v>
      </c>
      <c r="G260" s="3">
        <f t="shared" si="10"/>
        <v>0.53639846743295017</v>
      </c>
      <c r="H260" s="3">
        <f t="shared" si="11"/>
        <v>0.46360153256704983</v>
      </c>
      <c r="I260" s="1" t="s">
        <v>129</v>
      </c>
    </row>
    <row r="261" spans="1:9" x14ac:dyDescent="0.2">
      <c r="A261" s="1" t="s">
        <v>83</v>
      </c>
      <c r="B261" s="1" t="s">
        <v>87</v>
      </c>
      <c r="C261" s="1" t="s">
        <v>363</v>
      </c>
      <c r="D261" s="2">
        <v>429</v>
      </c>
      <c r="E261" s="2">
        <v>403</v>
      </c>
      <c r="F261" s="2">
        <f t="shared" si="9"/>
        <v>832</v>
      </c>
      <c r="G261" s="3">
        <f t="shared" si="10"/>
        <v>0.515625</v>
      </c>
      <c r="H261" s="3">
        <f t="shared" si="11"/>
        <v>0.484375</v>
      </c>
      <c r="I261" s="1" t="s">
        <v>129</v>
      </c>
    </row>
    <row r="262" spans="1:9" x14ac:dyDescent="0.2">
      <c r="A262" s="1" t="s">
        <v>83</v>
      </c>
      <c r="B262" s="1" t="s">
        <v>87</v>
      </c>
      <c r="C262" s="1" t="s">
        <v>364</v>
      </c>
      <c r="D262" s="2">
        <v>264</v>
      </c>
      <c r="E262" s="2">
        <v>237</v>
      </c>
      <c r="F262" s="2">
        <f t="shared" si="9"/>
        <v>501</v>
      </c>
      <c r="G262" s="3">
        <f t="shared" si="10"/>
        <v>0.52694610778443118</v>
      </c>
      <c r="H262" s="3">
        <f t="shared" si="11"/>
        <v>0.47305389221556887</v>
      </c>
      <c r="I262" s="1" t="s">
        <v>129</v>
      </c>
    </row>
    <row r="263" spans="1:9" x14ac:dyDescent="0.2">
      <c r="A263" s="1" t="s">
        <v>83</v>
      </c>
      <c r="B263" s="1" t="s">
        <v>87</v>
      </c>
      <c r="C263" s="1" t="s">
        <v>365</v>
      </c>
      <c r="D263" s="2">
        <v>375</v>
      </c>
      <c r="E263" s="2">
        <v>289</v>
      </c>
      <c r="F263" s="2">
        <f t="shared" si="9"/>
        <v>664</v>
      </c>
      <c r="G263" s="3">
        <f t="shared" si="10"/>
        <v>0.56475903614457834</v>
      </c>
      <c r="H263" s="3">
        <f t="shared" si="11"/>
        <v>0.43524096385542171</v>
      </c>
      <c r="I263" s="1" t="s">
        <v>129</v>
      </c>
    </row>
    <row r="264" spans="1:9" x14ac:dyDescent="0.2">
      <c r="A264" s="1" t="s">
        <v>83</v>
      </c>
      <c r="B264" s="1" t="s">
        <v>87</v>
      </c>
      <c r="C264" s="1" t="s">
        <v>366</v>
      </c>
      <c r="D264" s="2">
        <v>248</v>
      </c>
      <c r="E264" s="2">
        <v>165</v>
      </c>
      <c r="F264" s="2">
        <f t="shared" si="9"/>
        <v>413</v>
      </c>
      <c r="G264" s="3">
        <f t="shared" si="10"/>
        <v>0.6004842615012107</v>
      </c>
      <c r="H264" s="3">
        <f t="shared" si="11"/>
        <v>0.39951573849878935</v>
      </c>
      <c r="I264" s="1" t="s">
        <v>129</v>
      </c>
    </row>
    <row r="265" spans="1:9" x14ac:dyDescent="0.2">
      <c r="A265" s="1" t="s">
        <v>83</v>
      </c>
      <c r="B265" s="1" t="s">
        <v>87</v>
      </c>
      <c r="C265" s="1" t="s">
        <v>367</v>
      </c>
      <c r="D265" s="2">
        <v>282</v>
      </c>
      <c r="E265" s="2">
        <v>266</v>
      </c>
      <c r="F265" s="2">
        <f t="shared" si="9"/>
        <v>548</v>
      </c>
      <c r="G265" s="3">
        <f t="shared" si="10"/>
        <v>0.51459854014598538</v>
      </c>
      <c r="H265" s="3">
        <f t="shared" si="11"/>
        <v>0.48540145985401462</v>
      </c>
      <c r="I265" s="1" t="s">
        <v>129</v>
      </c>
    </row>
    <row r="266" spans="1:9" x14ac:dyDescent="0.2">
      <c r="A266" s="1" t="s">
        <v>83</v>
      </c>
      <c r="B266" s="1" t="s">
        <v>87</v>
      </c>
      <c r="C266" s="1" t="s">
        <v>368</v>
      </c>
      <c r="D266" s="2">
        <v>341</v>
      </c>
      <c r="E266" s="2">
        <v>314</v>
      </c>
      <c r="F266" s="2">
        <f t="shared" si="9"/>
        <v>655</v>
      </c>
      <c r="G266" s="3">
        <f t="shared" si="10"/>
        <v>0.52061068702290081</v>
      </c>
      <c r="H266" s="3">
        <f t="shared" si="11"/>
        <v>0.47938931297709925</v>
      </c>
      <c r="I266" s="1" t="s">
        <v>129</v>
      </c>
    </row>
    <row r="267" spans="1:9" x14ac:dyDescent="0.2">
      <c r="A267" s="1" t="s">
        <v>83</v>
      </c>
      <c r="B267" s="1" t="s">
        <v>87</v>
      </c>
      <c r="C267" s="1" t="s">
        <v>369</v>
      </c>
      <c r="D267" s="2">
        <v>442</v>
      </c>
      <c r="E267" s="2">
        <v>344</v>
      </c>
      <c r="F267" s="2">
        <f t="shared" si="9"/>
        <v>786</v>
      </c>
      <c r="G267" s="3">
        <f t="shared" si="10"/>
        <v>0.56234096692111957</v>
      </c>
      <c r="H267" s="3">
        <f t="shared" si="11"/>
        <v>0.43765903307888043</v>
      </c>
      <c r="I267" s="1" t="s">
        <v>129</v>
      </c>
    </row>
    <row r="268" spans="1:9" x14ac:dyDescent="0.2">
      <c r="A268" s="1" t="s">
        <v>83</v>
      </c>
      <c r="B268" s="1" t="s">
        <v>87</v>
      </c>
      <c r="C268" s="1" t="s">
        <v>370</v>
      </c>
      <c r="D268" s="2">
        <v>346</v>
      </c>
      <c r="E268" s="2">
        <v>341</v>
      </c>
      <c r="F268" s="2">
        <f t="shared" ref="F268:F331" si="12">IF(COUNTA(D268:E268)=0,"",SUM(D268:E268))</f>
        <v>687</v>
      </c>
      <c r="G268" s="3">
        <f t="shared" ref="G268:G331" si="13">IF(OR(F268="",F268=0),"",D268/F268)</f>
        <v>0.50363901018922852</v>
      </c>
      <c r="H268" s="3">
        <f t="shared" ref="H268:H331" si="14">IF(OR(F268="",F268=0),"",E268/F268)</f>
        <v>0.49636098981077148</v>
      </c>
      <c r="I268" s="1" t="s">
        <v>129</v>
      </c>
    </row>
    <row r="269" spans="1:9" x14ac:dyDescent="0.2">
      <c r="A269" s="1" t="s">
        <v>83</v>
      </c>
      <c r="B269" s="1" t="s">
        <v>87</v>
      </c>
      <c r="C269" s="1" t="s">
        <v>371</v>
      </c>
      <c r="D269" s="2">
        <v>695</v>
      </c>
      <c r="E269" s="2">
        <v>552</v>
      </c>
      <c r="F269" s="2">
        <f t="shared" si="12"/>
        <v>1247</v>
      </c>
      <c r="G269" s="3">
        <f t="shared" si="13"/>
        <v>0.55733761026463513</v>
      </c>
      <c r="H269" s="3">
        <f t="shared" si="14"/>
        <v>0.44266238973536487</v>
      </c>
      <c r="I269" s="1" t="s">
        <v>129</v>
      </c>
    </row>
    <row r="270" spans="1:9" x14ac:dyDescent="0.2">
      <c r="A270" s="1" t="s">
        <v>83</v>
      </c>
      <c r="B270" s="1" t="s">
        <v>87</v>
      </c>
      <c r="C270" s="1" t="s">
        <v>372</v>
      </c>
      <c r="D270" s="2">
        <v>421</v>
      </c>
      <c r="E270" s="2">
        <v>400</v>
      </c>
      <c r="F270" s="2">
        <f t="shared" si="12"/>
        <v>821</v>
      </c>
      <c r="G270" s="3">
        <f t="shared" si="13"/>
        <v>0.51278928136419</v>
      </c>
      <c r="H270" s="3">
        <f t="shared" si="14"/>
        <v>0.48721071863581</v>
      </c>
      <c r="I270" s="1" t="s">
        <v>129</v>
      </c>
    </row>
    <row r="271" spans="1:9" x14ac:dyDescent="0.2">
      <c r="A271" s="1" t="s">
        <v>83</v>
      </c>
      <c r="B271" s="1" t="s">
        <v>87</v>
      </c>
      <c r="C271" s="1" t="s">
        <v>373</v>
      </c>
      <c r="D271" s="2">
        <v>408</v>
      </c>
      <c r="E271" s="2">
        <v>382</v>
      </c>
      <c r="F271" s="2">
        <f t="shared" si="12"/>
        <v>790</v>
      </c>
      <c r="G271" s="3">
        <f t="shared" si="13"/>
        <v>0.51645569620253162</v>
      </c>
      <c r="H271" s="3">
        <f t="shared" si="14"/>
        <v>0.48354430379746838</v>
      </c>
      <c r="I271" s="1" t="s">
        <v>129</v>
      </c>
    </row>
    <row r="272" spans="1:9" x14ac:dyDescent="0.2">
      <c r="A272" s="1" t="s">
        <v>83</v>
      </c>
      <c r="B272" s="1" t="s">
        <v>87</v>
      </c>
      <c r="C272" s="1" t="s">
        <v>374</v>
      </c>
      <c r="D272" s="2">
        <v>412</v>
      </c>
      <c r="E272" s="2">
        <v>385</v>
      </c>
      <c r="F272" s="2">
        <f t="shared" si="12"/>
        <v>797</v>
      </c>
      <c r="G272" s="3">
        <f t="shared" si="13"/>
        <v>0.51693851944792979</v>
      </c>
      <c r="H272" s="3">
        <f t="shared" si="14"/>
        <v>0.48306148055207027</v>
      </c>
      <c r="I272" s="1" t="s">
        <v>129</v>
      </c>
    </row>
    <row r="273" spans="1:9" x14ac:dyDescent="0.2">
      <c r="A273" s="1" t="s">
        <v>83</v>
      </c>
      <c r="B273" s="1" t="s">
        <v>88</v>
      </c>
      <c r="C273" s="1" t="s">
        <v>375</v>
      </c>
      <c r="D273" s="2">
        <v>743</v>
      </c>
      <c r="E273" s="2">
        <v>1142</v>
      </c>
      <c r="F273" s="2">
        <f t="shared" si="12"/>
        <v>1885</v>
      </c>
      <c r="G273" s="3">
        <f t="shared" si="13"/>
        <v>0.39416445623342178</v>
      </c>
      <c r="H273" s="3">
        <f t="shared" si="14"/>
        <v>0.60583554376657822</v>
      </c>
      <c r="I273" s="1" t="s">
        <v>129</v>
      </c>
    </row>
    <row r="274" spans="1:9" x14ac:dyDescent="0.2">
      <c r="A274" s="1" t="s">
        <v>83</v>
      </c>
      <c r="B274" s="1" t="s">
        <v>88</v>
      </c>
      <c r="C274" s="1" t="s">
        <v>376</v>
      </c>
      <c r="D274" s="2">
        <v>653</v>
      </c>
      <c r="E274" s="2">
        <v>943</v>
      </c>
      <c r="F274" s="2">
        <f t="shared" si="12"/>
        <v>1596</v>
      </c>
      <c r="G274" s="3">
        <f t="shared" si="13"/>
        <v>0.40914786967418548</v>
      </c>
      <c r="H274" s="3">
        <f t="shared" si="14"/>
        <v>0.59085213032581452</v>
      </c>
      <c r="I274" s="1" t="s">
        <v>129</v>
      </c>
    </row>
    <row r="275" spans="1:9" x14ac:dyDescent="0.2">
      <c r="A275" s="1" t="s">
        <v>83</v>
      </c>
      <c r="B275" s="1" t="s">
        <v>88</v>
      </c>
      <c r="C275" s="1" t="s">
        <v>377</v>
      </c>
      <c r="D275" s="2">
        <v>317</v>
      </c>
      <c r="E275" s="2">
        <v>624</v>
      </c>
      <c r="F275" s="2">
        <f t="shared" si="12"/>
        <v>941</v>
      </c>
      <c r="G275" s="3">
        <f t="shared" si="13"/>
        <v>0.33687566418703507</v>
      </c>
      <c r="H275" s="3">
        <f t="shared" si="14"/>
        <v>0.66312433581296493</v>
      </c>
      <c r="I275" s="1" t="s">
        <v>129</v>
      </c>
    </row>
    <row r="276" spans="1:9" x14ac:dyDescent="0.2">
      <c r="A276" s="1" t="s">
        <v>83</v>
      </c>
      <c r="B276" s="1" t="s">
        <v>89</v>
      </c>
      <c r="C276" s="1" t="s">
        <v>89</v>
      </c>
      <c r="D276" s="2">
        <v>33</v>
      </c>
      <c r="E276" s="2">
        <v>65</v>
      </c>
      <c r="F276" s="2">
        <f t="shared" si="12"/>
        <v>98</v>
      </c>
      <c r="G276" s="3">
        <f t="shared" si="13"/>
        <v>0.33673469387755101</v>
      </c>
      <c r="H276" s="3">
        <f t="shared" si="14"/>
        <v>0.66326530612244894</v>
      </c>
      <c r="I276" s="1" t="s">
        <v>129</v>
      </c>
    </row>
    <row r="277" spans="1:9" x14ac:dyDescent="0.2">
      <c r="A277" s="1" t="s">
        <v>83</v>
      </c>
      <c r="B277" s="1" t="s">
        <v>90</v>
      </c>
      <c r="C277" s="1" t="s">
        <v>378</v>
      </c>
      <c r="D277" s="2">
        <v>601</v>
      </c>
      <c r="E277" s="2">
        <v>800</v>
      </c>
      <c r="F277" s="2">
        <f t="shared" si="12"/>
        <v>1401</v>
      </c>
      <c r="G277" s="3">
        <f t="shared" si="13"/>
        <v>0.42897930049964311</v>
      </c>
      <c r="H277" s="3">
        <f t="shared" si="14"/>
        <v>0.57102069950035694</v>
      </c>
      <c r="I277" s="1" t="s">
        <v>129</v>
      </c>
    </row>
    <row r="278" spans="1:9" x14ac:dyDescent="0.2">
      <c r="A278" s="1" t="s">
        <v>83</v>
      </c>
      <c r="B278" s="1" t="s">
        <v>90</v>
      </c>
      <c r="C278" s="1" t="s">
        <v>379</v>
      </c>
      <c r="D278" s="2">
        <v>539</v>
      </c>
      <c r="E278" s="2">
        <v>701</v>
      </c>
      <c r="F278" s="2">
        <f t="shared" si="12"/>
        <v>1240</v>
      </c>
      <c r="G278" s="3">
        <f t="shared" si="13"/>
        <v>0.43467741935483872</v>
      </c>
      <c r="H278" s="3">
        <f t="shared" si="14"/>
        <v>0.56532258064516128</v>
      </c>
      <c r="I278" s="1" t="s">
        <v>129</v>
      </c>
    </row>
    <row r="279" spans="1:9" x14ac:dyDescent="0.2">
      <c r="A279" s="1" t="s">
        <v>83</v>
      </c>
      <c r="B279" s="1" t="s">
        <v>91</v>
      </c>
      <c r="C279" s="1" t="s">
        <v>91</v>
      </c>
      <c r="D279" s="2">
        <v>147</v>
      </c>
      <c r="E279" s="2">
        <v>213</v>
      </c>
      <c r="F279" s="2">
        <f t="shared" si="12"/>
        <v>360</v>
      </c>
      <c r="G279" s="3">
        <f t="shared" si="13"/>
        <v>0.40833333333333333</v>
      </c>
      <c r="H279" s="3">
        <f t="shared" si="14"/>
        <v>0.59166666666666667</v>
      </c>
      <c r="I279" s="1" t="s">
        <v>129</v>
      </c>
    </row>
    <row r="280" spans="1:9" x14ac:dyDescent="0.2">
      <c r="A280" s="1" t="s">
        <v>83</v>
      </c>
      <c r="B280" s="1" t="s">
        <v>92</v>
      </c>
      <c r="C280" s="1" t="s">
        <v>380</v>
      </c>
      <c r="D280" s="2">
        <v>440</v>
      </c>
      <c r="E280" s="2">
        <v>249</v>
      </c>
      <c r="F280" s="2">
        <f t="shared" si="12"/>
        <v>689</v>
      </c>
      <c r="G280" s="3">
        <f t="shared" si="13"/>
        <v>0.63860667634252544</v>
      </c>
      <c r="H280" s="3">
        <f t="shared" si="14"/>
        <v>0.36139332365747462</v>
      </c>
      <c r="I280" s="1" t="s">
        <v>129</v>
      </c>
    </row>
    <row r="281" spans="1:9" x14ac:dyDescent="0.2">
      <c r="A281" s="1" t="s">
        <v>83</v>
      </c>
      <c r="B281" s="1" t="s">
        <v>92</v>
      </c>
      <c r="C281" s="1" t="s">
        <v>381</v>
      </c>
      <c r="D281" s="2">
        <v>506</v>
      </c>
      <c r="E281" s="2">
        <v>245</v>
      </c>
      <c r="F281" s="2">
        <f t="shared" si="12"/>
        <v>751</v>
      </c>
      <c r="G281" s="3">
        <f t="shared" si="13"/>
        <v>0.67376830892143813</v>
      </c>
      <c r="H281" s="3">
        <f t="shared" si="14"/>
        <v>0.32623169107856193</v>
      </c>
      <c r="I281" s="1" t="s">
        <v>129</v>
      </c>
    </row>
    <row r="282" spans="1:9" x14ac:dyDescent="0.2">
      <c r="A282" s="1" t="s">
        <v>83</v>
      </c>
      <c r="B282" s="1" t="s">
        <v>92</v>
      </c>
      <c r="C282" s="1" t="s">
        <v>382</v>
      </c>
      <c r="D282" s="2">
        <v>358</v>
      </c>
      <c r="E282" s="2">
        <v>147</v>
      </c>
      <c r="F282" s="2">
        <f t="shared" si="12"/>
        <v>505</v>
      </c>
      <c r="G282" s="3">
        <f t="shared" si="13"/>
        <v>0.70891089108910887</v>
      </c>
      <c r="H282" s="3">
        <f t="shared" si="14"/>
        <v>0.29108910891089107</v>
      </c>
      <c r="I282" s="1" t="s">
        <v>129</v>
      </c>
    </row>
    <row r="283" spans="1:9" x14ac:dyDescent="0.2">
      <c r="A283" s="1" t="s">
        <v>83</v>
      </c>
      <c r="B283" s="1" t="s">
        <v>92</v>
      </c>
      <c r="C283" s="1" t="s">
        <v>383</v>
      </c>
      <c r="D283" s="2">
        <v>605</v>
      </c>
      <c r="E283" s="2">
        <v>217</v>
      </c>
      <c r="F283" s="2">
        <f t="shared" si="12"/>
        <v>822</v>
      </c>
      <c r="G283" s="3">
        <f t="shared" si="13"/>
        <v>0.73600973236009737</v>
      </c>
      <c r="H283" s="3">
        <f t="shared" si="14"/>
        <v>0.26399026763990269</v>
      </c>
      <c r="I283" s="1" t="s">
        <v>129</v>
      </c>
    </row>
    <row r="284" spans="1:9" x14ac:dyDescent="0.2">
      <c r="A284" s="1" t="s">
        <v>83</v>
      </c>
      <c r="B284" s="1" t="s">
        <v>92</v>
      </c>
      <c r="C284" s="1" t="s">
        <v>384</v>
      </c>
      <c r="D284" s="2">
        <v>683</v>
      </c>
      <c r="E284" s="2">
        <v>193</v>
      </c>
      <c r="F284" s="2">
        <f t="shared" si="12"/>
        <v>876</v>
      </c>
      <c r="G284" s="3">
        <f t="shared" si="13"/>
        <v>0.77968036529680362</v>
      </c>
      <c r="H284" s="3">
        <f t="shared" si="14"/>
        <v>0.22031963470319635</v>
      </c>
      <c r="I284" s="1" t="s">
        <v>129</v>
      </c>
    </row>
    <row r="285" spans="1:9" x14ac:dyDescent="0.2">
      <c r="A285" s="1" t="s">
        <v>83</v>
      </c>
      <c r="B285" s="1" t="s">
        <v>92</v>
      </c>
      <c r="C285" s="1" t="s">
        <v>385</v>
      </c>
      <c r="D285" s="2">
        <v>431</v>
      </c>
      <c r="E285" s="2">
        <v>203</v>
      </c>
      <c r="F285" s="2">
        <f t="shared" si="12"/>
        <v>634</v>
      </c>
      <c r="G285" s="3">
        <f t="shared" si="13"/>
        <v>0.67981072555205047</v>
      </c>
      <c r="H285" s="3">
        <f t="shared" si="14"/>
        <v>0.32018927444794953</v>
      </c>
      <c r="I285" s="1" t="s">
        <v>129</v>
      </c>
    </row>
    <row r="286" spans="1:9" x14ac:dyDescent="0.2">
      <c r="A286" s="1" t="s">
        <v>83</v>
      </c>
      <c r="B286" s="1" t="s">
        <v>92</v>
      </c>
      <c r="C286" s="1" t="s">
        <v>386</v>
      </c>
      <c r="D286" s="2">
        <v>327</v>
      </c>
      <c r="E286" s="2">
        <v>176</v>
      </c>
      <c r="F286" s="2">
        <f t="shared" si="12"/>
        <v>503</v>
      </c>
      <c r="G286" s="3">
        <f t="shared" si="13"/>
        <v>0.6500994035785288</v>
      </c>
      <c r="H286" s="3">
        <f t="shared" si="14"/>
        <v>0.3499005964214712</v>
      </c>
      <c r="I286" s="1" t="s">
        <v>129</v>
      </c>
    </row>
    <row r="287" spans="1:9" x14ac:dyDescent="0.2">
      <c r="A287" s="1" t="s">
        <v>83</v>
      </c>
      <c r="B287" s="1" t="s">
        <v>92</v>
      </c>
      <c r="C287" s="1" t="s">
        <v>387</v>
      </c>
      <c r="D287" s="2">
        <v>139</v>
      </c>
      <c r="E287" s="2">
        <v>55</v>
      </c>
      <c r="F287" s="2">
        <f t="shared" si="12"/>
        <v>194</v>
      </c>
      <c r="G287" s="3">
        <f t="shared" si="13"/>
        <v>0.71649484536082475</v>
      </c>
      <c r="H287" s="3">
        <f t="shared" si="14"/>
        <v>0.28350515463917525</v>
      </c>
      <c r="I287" s="1" t="s">
        <v>129</v>
      </c>
    </row>
    <row r="288" spans="1:9" x14ac:dyDescent="0.2">
      <c r="A288" s="1" t="s">
        <v>83</v>
      </c>
      <c r="B288" s="1" t="s">
        <v>92</v>
      </c>
      <c r="C288" s="1" t="s">
        <v>388</v>
      </c>
      <c r="D288" s="2">
        <v>240</v>
      </c>
      <c r="E288" s="2">
        <v>85</v>
      </c>
      <c r="F288" s="2">
        <f t="shared" si="12"/>
        <v>325</v>
      </c>
      <c r="G288" s="3">
        <f t="shared" si="13"/>
        <v>0.7384615384615385</v>
      </c>
      <c r="H288" s="3">
        <f t="shared" si="14"/>
        <v>0.26153846153846155</v>
      </c>
      <c r="I288" s="1" t="s">
        <v>129</v>
      </c>
    </row>
    <row r="289" spans="1:9" x14ac:dyDescent="0.2">
      <c r="A289" s="1" t="s">
        <v>83</v>
      </c>
      <c r="B289" s="1" t="s">
        <v>92</v>
      </c>
      <c r="C289" s="1" t="s">
        <v>389</v>
      </c>
      <c r="D289" s="2">
        <v>228</v>
      </c>
      <c r="E289" s="2">
        <v>116</v>
      </c>
      <c r="F289" s="2">
        <f t="shared" si="12"/>
        <v>344</v>
      </c>
      <c r="G289" s="3">
        <f t="shared" si="13"/>
        <v>0.66279069767441856</v>
      </c>
      <c r="H289" s="3">
        <f t="shared" si="14"/>
        <v>0.33720930232558138</v>
      </c>
      <c r="I289" s="1" t="s">
        <v>129</v>
      </c>
    </row>
    <row r="290" spans="1:9" x14ac:dyDescent="0.2">
      <c r="A290" s="1" t="s">
        <v>83</v>
      </c>
      <c r="B290" s="1" t="s">
        <v>92</v>
      </c>
      <c r="C290" s="1" t="s">
        <v>390</v>
      </c>
      <c r="D290" s="2">
        <v>463</v>
      </c>
      <c r="E290" s="2">
        <v>290</v>
      </c>
      <c r="F290" s="2">
        <f t="shared" si="12"/>
        <v>753</v>
      </c>
      <c r="G290" s="3">
        <f t="shared" si="13"/>
        <v>0.61487383798140771</v>
      </c>
      <c r="H290" s="3">
        <f t="shared" si="14"/>
        <v>0.38512616201859229</v>
      </c>
      <c r="I290" s="1" t="s">
        <v>129</v>
      </c>
    </row>
    <row r="291" spans="1:9" x14ac:dyDescent="0.2">
      <c r="A291" s="1" t="s">
        <v>83</v>
      </c>
      <c r="B291" s="1" t="s">
        <v>92</v>
      </c>
      <c r="C291" s="1" t="s">
        <v>391</v>
      </c>
      <c r="D291" s="2">
        <v>589</v>
      </c>
      <c r="E291" s="2">
        <v>312</v>
      </c>
      <c r="F291" s="2">
        <f t="shared" si="12"/>
        <v>901</v>
      </c>
      <c r="G291" s="3">
        <f t="shared" si="13"/>
        <v>0.6537180910099889</v>
      </c>
      <c r="H291" s="3">
        <f t="shared" si="14"/>
        <v>0.3462819089900111</v>
      </c>
      <c r="I291" s="1" t="s">
        <v>129</v>
      </c>
    </row>
    <row r="292" spans="1:9" x14ac:dyDescent="0.2">
      <c r="A292" s="1" t="s">
        <v>83</v>
      </c>
      <c r="B292" s="1" t="s">
        <v>93</v>
      </c>
      <c r="C292" s="1" t="s">
        <v>392</v>
      </c>
      <c r="D292" s="2">
        <v>700</v>
      </c>
      <c r="E292" s="2">
        <v>663</v>
      </c>
      <c r="F292" s="2">
        <f t="shared" si="12"/>
        <v>1363</v>
      </c>
      <c r="G292" s="3">
        <f t="shared" si="13"/>
        <v>0.51357300073367573</v>
      </c>
      <c r="H292" s="3">
        <f t="shared" si="14"/>
        <v>0.48642699926632427</v>
      </c>
      <c r="I292" s="1" t="s">
        <v>332</v>
      </c>
    </row>
    <row r="293" spans="1:9" x14ac:dyDescent="0.2">
      <c r="A293" s="1" t="s">
        <v>83</v>
      </c>
      <c r="B293" s="1" t="s">
        <v>93</v>
      </c>
      <c r="C293" s="1" t="s">
        <v>393</v>
      </c>
      <c r="D293" s="2">
        <v>566</v>
      </c>
      <c r="E293" s="2">
        <v>531</v>
      </c>
      <c r="F293" s="2">
        <f t="shared" si="12"/>
        <v>1097</v>
      </c>
      <c r="G293" s="3">
        <f t="shared" si="13"/>
        <v>0.51595259799453053</v>
      </c>
      <c r="H293" s="3">
        <f t="shared" si="14"/>
        <v>0.48404740200546947</v>
      </c>
      <c r="I293" s="1" t="s">
        <v>332</v>
      </c>
    </row>
    <row r="294" spans="1:9" x14ac:dyDescent="0.2">
      <c r="A294" s="1" t="s">
        <v>83</v>
      </c>
      <c r="B294" s="1" t="s">
        <v>93</v>
      </c>
      <c r="C294" s="1" t="s">
        <v>394</v>
      </c>
      <c r="D294" s="2">
        <v>576</v>
      </c>
      <c r="E294" s="2">
        <v>548</v>
      </c>
      <c r="F294" s="2">
        <f t="shared" si="12"/>
        <v>1124</v>
      </c>
      <c r="G294" s="3">
        <f t="shared" si="13"/>
        <v>0.51245551601423489</v>
      </c>
      <c r="H294" s="3">
        <f t="shared" si="14"/>
        <v>0.48754448398576511</v>
      </c>
      <c r="I294" s="1" t="s">
        <v>332</v>
      </c>
    </row>
    <row r="295" spans="1:9" x14ac:dyDescent="0.2">
      <c r="A295" s="1" t="s">
        <v>83</v>
      </c>
      <c r="B295" s="1" t="s">
        <v>93</v>
      </c>
      <c r="C295" s="1" t="s">
        <v>395</v>
      </c>
      <c r="D295" s="2">
        <v>596</v>
      </c>
      <c r="E295" s="2">
        <v>570</v>
      </c>
      <c r="F295" s="2">
        <f t="shared" si="12"/>
        <v>1166</v>
      </c>
      <c r="G295" s="3">
        <f t="shared" si="13"/>
        <v>0.51114922813036023</v>
      </c>
      <c r="H295" s="3">
        <f t="shared" si="14"/>
        <v>0.48885077186963982</v>
      </c>
      <c r="I295" s="1" t="s">
        <v>332</v>
      </c>
    </row>
    <row r="296" spans="1:9" x14ac:dyDescent="0.2">
      <c r="A296" s="1" t="s">
        <v>83</v>
      </c>
      <c r="B296" s="1" t="s">
        <v>93</v>
      </c>
      <c r="C296" s="1" t="s">
        <v>396</v>
      </c>
      <c r="D296" s="2">
        <v>559</v>
      </c>
      <c r="E296" s="2">
        <v>522</v>
      </c>
      <c r="F296" s="2">
        <f t="shared" si="12"/>
        <v>1081</v>
      </c>
      <c r="G296" s="3">
        <f t="shared" si="13"/>
        <v>0.51711378353376503</v>
      </c>
      <c r="H296" s="3">
        <f t="shared" si="14"/>
        <v>0.48288621646623497</v>
      </c>
      <c r="I296" s="1" t="s">
        <v>332</v>
      </c>
    </row>
    <row r="297" spans="1:9" x14ac:dyDescent="0.2">
      <c r="A297" s="1" t="s">
        <v>83</v>
      </c>
      <c r="B297" s="1" t="s">
        <v>93</v>
      </c>
      <c r="C297" s="1" t="s">
        <v>397</v>
      </c>
      <c r="D297" s="2">
        <v>619</v>
      </c>
      <c r="E297" s="2">
        <v>581</v>
      </c>
      <c r="F297" s="2">
        <f t="shared" si="12"/>
        <v>1200</v>
      </c>
      <c r="G297" s="3">
        <f t="shared" si="13"/>
        <v>0.51583333333333337</v>
      </c>
      <c r="H297" s="3">
        <f t="shared" si="14"/>
        <v>0.48416666666666669</v>
      </c>
      <c r="I297" s="1" t="s">
        <v>332</v>
      </c>
    </row>
    <row r="298" spans="1:9" x14ac:dyDescent="0.2">
      <c r="A298" s="1" t="s">
        <v>83</v>
      </c>
      <c r="B298" s="1" t="s">
        <v>93</v>
      </c>
      <c r="C298" s="1" t="s">
        <v>398</v>
      </c>
      <c r="D298" s="2">
        <v>590</v>
      </c>
      <c r="E298" s="2">
        <v>554</v>
      </c>
      <c r="F298" s="2">
        <f t="shared" si="12"/>
        <v>1144</v>
      </c>
      <c r="G298" s="3">
        <f t="shared" si="13"/>
        <v>0.51573426573426573</v>
      </c>
      <c r="H298" s="3">
        <f t="shared" si="14"/>
        <v>0.48426573426573427</v>
      </c>
      <c r="I298" s="1" t="s">
        <v>332</v>
      </c>
    </row>
    <row r="299" spans="1:9" x14ac:dyDescent="0.2">
      <c r="A299" s="1" t="s">
        <v>83</v>
      </c>
      <c r="B299" s="1" t="s">
        <v>94</v>
      </c>
      <c r="C299" s="1" t="s">
        <v>94</v>
      </c>
      <c r="D299" s="2">
        <v>476</v>
      </c>
      <c r="E299" s="2">
        <v>335</v>
      </c>
      <c r="F299" s="2">
        <f t="shared" si="12"/>
        <v>811</v>
      </c>
      <c r="G299" s="3">
        <f t="shared" si="13"/>
        <v>0.58692971639950675</v>
      </c>
      <c r="H299" s="3">
        <f t="shared" si="14"/>
        <v>0.41307028360049319</v>
      </c>
      <c r="I299" s="1" t="s">
        <v>129</v>
      </c>
    </row>
    <row r="300" spans="1:9" x14ac:dyDescent="0.2">
      <c r="A300" s="1" t="s">
        <v>83</v>
      </c>
      <c r="B300" s="1" t="s">
        <v>95</v>
      </c>
      <c r="C300" s="1" t="s">
        <v>95</v>
      </c>
      <c r="D300" s="2">
        <v>75</v>
      </c>
      <c r="E300" s="2">
        <v>68</v>
      </c>
      <c r="F300" s="2">
        <f t="shared" si="12"/>
        <v>143</v>
      </c>
      <c r="G300" s="3">
        <f t="shared" si="13"/>
        <v>0.52447552447552448</v>
      </c>
      <c r="H300" s="3">
        <f t="shared" si="14"/>
        <v>0.47552447552447552</v>
      </c>
      <c r="I300" s="1" t="s">
        <v>129</v>
      </c>
    </row>
    <row r="301" spans="1:9" x14ac:dyDescent="0.2">
      <c r="A301" s="1" t="s">
        <v>83</v>
      </c>
      <c r="B301" s="1" t="s">
        <v>62</v>
      </c>
      <c r="C301" s="1" t="s">
        <v>399</v>
      </c>
      <c r="D301" s="2">
        <v>771</v>
      </c>
      <c r="E301" s="2">
        <v>553</v>
      </c>
      <c r="F301" s="2">
        <f t="shared" si="12"/>
        <v>1324</v>
      </c>
      <c r="G301" s="3">
        <f t="shared" si="13"/>
        <v>0.58232628398791542</v>
      </c>
      <c r="H301" s="3">
        <f t="shared" si="14"/>
        <v>0.41767371601208458</v>
      </c>
      <c r="I301" s="1" t="s">
        <v>129</v>
      </c>
    </row>
    <row r="302" spans="1:9" x14ac:dyDescent="0.2">
      <c r="A302" s="1" t="s">
        <v>83</v>
      </c>
      <c r="B302" s="1" t="s">
        <v>62</v>
      </c>
      <c r="C302" s="1" t="s">
        <v>400</v>
      </c>
      <c r="D302" s="2">
        <v>736</v>
      </c>
      <c r="E302" s="2">
        <v>602</v>
      </c>
      <c r="F302" s="2">
        <f t="shared" si="12"/>
        <v>1338</v>
      </c>
      <c r="G302" s="3">
        <f t="shared" si="13"/>
        <v>0.55007473841554555</v>
      </c>
      <c r="H302" s="3">
        <f t="shared" si="14"/>
        <v>0.44992526158445439</v>
      </c>
      <c r="I302" s="1" t="s">
        <v>129</v>
      </c>
    </row>
    <row r="303" spans="1:9" x14ac:dyDescent="0.2">
      <c r="A303" s="1" t="s">
        <v>83</v>
      </c>
      <c r="B303" s="1" t="s">
        <v>62</v>
      </c>
      <c r="C303" s="1" t="s">
        <v>401</v>
      </c>
      <c r="D303" s="2">
        <v>368</v>
      </c>
      <c r="E303" s="2">
        <v>341</v>
      </c>
      <c r="F303" s="2">
        <f t="shared" si="12"/>
        <v>709</v>
      </c>
      <c r="G303" s="3">
        <f t="shared" si="13"/>
        <v>0.51904090267983072</v>
      </c>
      <c r="H303" s="3">
        <f t="shared" si="14"/>
        <v>0.48095909732016923</v>
      </c>
      <c r="I303" s="1" t="s">
        <v>129</v>
      </c>
    </row>
    <row r="304" spans="1:9" x14ac:dyDescent="0.2">
      <c r="A304" s="1" t="s">
        <v>83</v>
      </c>
      <c r="B304" s="1" t="s">
        <v>62</v>
      </c>
      <c r="C304" s="1" t="s">
        <v>402</v>
      </c>
      <c r="D304" s="2">
        <v>604</v>
      </c>
      <c r="E304" s="2">
        <v>551</v>
      </c>
      <c r="F304" s="2">
        <f t="shared" si="12"/>
        <v>1155</v>
      </c>
      <c r="G304" s="3">
        <f t="shared" si="13"/>
        <v>0.52294372294372293</v>
      </c>
      <c r="H304" s="3">
        <f t="shared" si="14"/>
        <v>0.47705627705627707</v>
      </c>
      <c r="I304" s="1" t="s">
        <v>129</v>
      </c>
    </row>
    <row r="305" spans="1:9" x14ac:dyDescent="0.2">
      <c r="A305" s="1" t="s">
        <v>83</v>
      </c>
      <c r="B305" s="1" t="s">
        <v>62</v>
      </c>
      <c r="C305" s="1" t="s">
        <v>403</v>
      </c>
      <c r="D305" s="2">
        <v>646</v>
      </c>
      <c r="E305" s="2">
        <v>536</v>
      </c>
      <c r="F305" s="2">
        <f t="shared" si="12"/>
        <v>1182</v>
      </c>
      <c r="G305" s="3">
        <f t="shared" si="13"/>
        <v>0.54653130287648055</v>
      </c>
      <c r="H305" s="3">
        <f t="shared" si="14"/>
        <v>0.45346869712351945</v>
      </c>
      <c r="I305" s="1" t="s">
        <v>129</v>
      </c>
    </row>
    <row r="306" spans="1:9" x14ac:dyDescent="0.2">
      <c r="A306" s="1" t="s">
        <v>83</v>
      </c>
      <c r="B306" s="1" t="s">
        <v>62</v>
      </c>
      <c r="C306" s="1" t="s">
        <v>404</v>
      </c>
      <c r="D306" s="2">
        <v>376</v>
      </c>
      <c r="E306" s="2">
        <v>339</v>
      </c>
      <c r="F306" s="2">
        <f t="shared" si="12"/>
        <v>715</v>
      </c>
      <c r="G306" s="3">
        <f t="shared" si="13"/>
        <v>0.52587412587412585</v>
      </c>
      <c r="H306" s="3">
        <f t="shared" si="14"/>
        <v>0.47412587412587415</v>
      </c>
      <c r="I306" s="1" t="s">
        <v>129</v>
      </c>
    </row>
    <row r="307" spans="1:9" x14ac:dyDescent="0.2">
      <c r="A307" s="1" t="s">
        <v>83</v>
      </c>
      <c r="B307" s="1" t="s">
        <v>96</v>
      </c>
      <c r="C307" s="1" t="s">
        <v>405</v>
      </c>
      <c r="D307" s="2">
        <v>435</v>
      </c>
      <c r="E307" s="2">
        <v>453</v>
      </c>
      <c r="F307" s="2">
        <f t="shared" si="12"/>
        <v>888</v>
      </c>
      <c r="G307" s="3">
        <f t="shared" si="13"/>
        <v>0.48986486486486486</v>
      </c>
      <c r="H307" s="3">
        <f t="shared" si="14"/>
        <v>0.51013513513513509</v>
      </c>
      <c r="I307" s="1" t="s">
        <v>129</v>
      </c>
    </row>
    <row r="308" spans="1:9" x14ac:dyDescent="0.2">
      <c r="A308" s="1" t="s">
        <v>83</v>
      </c>
      <c r="B308" s="1" t="s">
        <v>96</v>
      </c>
      <c r="C308" s="1" t="s">
        <v>406</v>
      </c>
      <c r="D308" s="2">
        <v>356</v>
      </c>
      <c r="E308" s="2">
        <v>350</v>
      </c>
      <c r="F308" s="2">
        <f t="shared" si="12"/>
        <v>706</v>
      </c>
      <c r="G308" s="3">
        <f t="shared" si="13"/>
        <v>0.50424929178470257</v>
      </c>
      <c r="H308" s="3">
        <f t="shared" si="14"/>
        <v>0.49575070821529743</v>
      </c>
      <c r="I308" s="1" t="s">
        <v>129</v>
      </c>
    </row>
    <row r="309" spans="1:9" x14ac:dyDescent="0.2">
      <c r="A309" s="1" t="s">
        <v>83</v>
      </c>
      <c r="B309" s="1" t="s">
        <v>96</v>
      </c>
      <c r="C309" s="1" t="s">
        <v>407</v>
      </c>
      <c r="D309" s="2">
        <v>538</v>
      </c>
      <c r="E309" s="2">
        <v>496</v>
      </c>
      <c r="F309" s="2">
        <f t="shared" si="12"/>
        <v>1034</v>
      </c>
      <c r="G309" s="3">
        <f t="shared" si="13"/>
        <v>0.52030947775628622</v>
      </c>
      <c r="H309" s="3">
        <f t="shared" si="14"/>
        <v>0.47969052224371372</v>
      </c>
      <c r="I309" s="1" t="s">
        <v>129</v>
      </c>
    </row>
    <row r="310" spans="1:9" x14ac:dyDescent="0.2">
      <c r="A310" s="1" t="s">
        <v>83</v>
      </c>
      <c r="B310" s="1" t="s">
        <v>97</v>
      </c>
      <c r="C310" s="1" t="s">
        <v>408</v>
      </c>
      <c r="D310" s="2">
        <v>440</v>
      </c>
      <c r="E310" s="2">
        <v>879</v>
      </c>
      <c r="F310" s="2">
        <f t="shared" si="12"/>
        <v>1319</v>
      </c>
      <c r="G310" s="3">
        <f t="shared" si="13"/>
        <v>0.33358605003790753</v>
      </c>
      <c r="H310" s="3">
        <f t="shared" si="14"/>
        <v>0.66641394996209247</v>
      </c>
      <c r="I310" s="1" t="s">
        <v>129</v>
      </c>
    </row>
    <row r="311" spans="1:9" x14ac:dyDescent="0.2">
      <c r="A311" s="1" t="s">
        <v>83</v>
      </c>
      <c r="B311" s="1" t="s">
        <v>97</v>
      </c>
      <c r="C311" s="1" t="s">
        <v>409</v>
      </c>
      <c r="D311" s="2">
        <v>498</v>
      </c>
      <c r="E311" s="2">
        <v>1000</v>
      </c>
      <c r="F311" s="2">
        <f t="shared" si="12"/>
        <v>1498</v>
      </c>
      <c r="G311" s="3">
        <f t="shared" si="13"/>
        <v>0.33244325767690253</v>
      </c>
      <c r="H311" s="3">
        <f t="shared" si="14"/>
        <v>0.66755674232309747</v>
      </c>
      <c r="I311" s="1" t="s">
        <v>129</v>
      </c>
    </row>
    <row r="312" spans="1:9" x14ac:dyDescent="0.2">
      <c r="A312" s="1" t="s">
        <v>83</v>
      </c>
      <c r="B312" s="1" t="s">
        <v>97</v>
      </c>
      <c r="C312" s="1" t="s">
        <v>410</v>
      </c>
      <c r="D312" s="2">
        <v>166</v>
      </c>
      <c r="E312" s="2">
        <v>368</v>
      </c>
      <c r="F312" s="2">
        <f t="shared" si="12"/>
        <v>534</v>
      </c>
      <c r="G312" s="3">
        <f t="shared" si="13"/>
        <v>0.31086142322097376</v>
      </c>
      <c r="H312" s="3">
        <f t="shared" si="14"/>
        <v>0.68913857677902624</v>
      </c>
      <c r="I312" s="1" t="s">
        <v>129</v>
      </c>
    </row>
    <row r="313" spans="1:9" x14ac:dyDescent="0.2">
      <c r="A313" s="1" t="s">
        <v>83</v>
      </c>
      <c r="B313" s="1" t="s">
        <v>97</v>
      </c>
      <c r="C313" s="1" t="s">
        <v>411</v>
      </c>
      <c r="D313" s="2">
        <v>391</v>
      </c>
      <c r="E313" s="2">
        <v>776</v>
      </c>
      <c r="F313" s="2">
        <f t="shared" si="12"/>
        <v>1167</v>
      </c>
      <c r="G313" s="3">
        <f t="shared" si="13"/>
        <v>0.33504712939160242</v>
      </c>
      <c r="H313" s="3">
        <f t="shared" si="14"/>
        <v>0.66495287060839758</v>
      </c>
      <c r="I313" s="1" t="s">
        <v>129</v>
      </c>
    </row>
    <row r="314" spans="1:9" x14ac:dyDescent="0.2">
      <c r="A314" s="1" t="s">
        <v>83</v>
      </c>
      <c r="B314" s="1" t="s">
        <v>97</v>
      </c>
      <c r="C314" s="1" t="s">
        <v>412</v>
      </c>
      <c r="D314" s="2">
        <v>298</v>
      </c>
      <c r="E314" s="2">
        <v>524</v>
      </c>
      <c r="F314" s="2">
        <f t="shared" si="12"/>
        <v>822</v>
      </c>
      <c r="G314" s="3">
        <f t="shared" si="13"/>
        <v>0.36253041362530414</v>
      </c>
      <c r="H314" s="3">
        <f t="shared" si="14"/>
        <v>0.63746958637469586</v>
      </c>
      <c r="I314" s="1" t="s">
        <v>129</v>
      </c>
    </row>
    <row r="315" spans="1:9" x14ac:dyDescent="0.2">
      <c r="A315" s="1" t="s">
        <v>83</v>
      </c>
      <c r="B315" s="1" t="s">
        <v>98</v>
      </c>
      <c r="C315" s="1" t="s">
        <v>413</v>
      </c>
      <c r="D315" s="2">
        <v>203</v>
      </c>
      <c r="E315" s="2">
        <v>345</v>
      </c>
      <c r="F315" s="2">
        <f t="shared" si="12"/>
        <v>548</v>
      </c>
      <c r="G315" s="3">
        <f t="shared" si="13"/>
        <v>0.37043795620437958</v>
      </c>
      <c r="H315" s="3">
        <f t="shared" si="14"/>
        <v>0.62956204379562042</v>
      </c>
      <c r="I315" s="1" t="s">
        <v>129</v>
      </c>
    </row>
    <row r="316" spans="1:9" x14ac:dyDescent="0.2">
      <c r="A316" s="1" t="s">
        <v>83</v>
      </c>
      <c r="B316" s="1" t="s">
        <v>98</v>
      </c>
      <c r="C316" s="1" t="s">
        <v>414</v>
      </c>
      <c r="D316" s="2">
        <v>279</v>
      </c>
      <c r="E316" s="2">
        <v>611</v>
      </c>
      <c r="F316" s="2">
        <f t="shared" si="12"/>
        <v>890</v>
      </c>
      <c r="G316" s="3">
        <f t="shared" si="13"/>
        <v>0.31348314606741573</v>
      </c>
      <c r="H316" s="3">
        <f t="shared" si="14"/>
        <v>0.68651685393258421</v>
      </c>
      <c r="I316" s="1" t="s">
        <v>129</v>
      </c>
    </row>
    <row r="317" spans="1:9" x14ac:dyDescent="0.2">
      <c r="A317" s="1" t="s">
        <v>83</v>
      </c>
      <c r="B317" s="1" t="s">
        <v>99</v>
      </c>
      <c r="C317" s="1" t="s">
        <v>415</v>
      </c>
      <c r="D317" s="2">
        <v>205</v>
      </c>
      <c r="E317" s="2">
        <v>246</v>
      </c>
      <c r="F317" s="2">
        <f t="shared" si="12"/>
        <v>451</v>
      </c>
      <c r="G317" s="3">
        <f t="shared" si="13"/>
        <v>0.45454545454545453</v>
      </c>
      <c r="H317" s="3">
        <f t="shared" si="14"/>
        <v>0.54545454545454541</v>
      </c>
      <c r="I317" s="1" t="s">
        <v>332</v>
      </c>
    </row>
    <row r="318" spans="1:9" x14ac:dyDescent="0.2">
      <c r="A318" s="1" t="s">
        <v>83</v>
      </c>
      <c r="B318" s="1" t="s">
        <v>99</v>
      </c>
      <c r="C318" s="1" t="s">
        <v>416</v>
      </c>
      <c r="D318" s="2">
        <v>522</v>
      </c>
      <c r="E318" s="2">
        <v>631</v>
      </c>
      <c r="F318" s="2">
        <f t="shared" si="12"/>
        <v>1153</v>
      </c>
      <c r="G318" s="3">
        <f t="shared" si="13"/>
        <v>0.45273200346921078</v>
      </c>
      <c r="H318" s="3">
        <f t="shared" si="14"/>
        <v>0.54726799653078928</v>
      </c>
      <c r="I318" s="1" t="s">
        <v>332</v>
      </c>
    </row>
    <row r="319" spans="1:9" x14ac:dyDescent="0.2">
      <c r="A319" s="1" t="s">
        <v>83</v>
      </c>
      <c r="B319" s="1" t="s">
        <v>99</v>
      </c>
      <c r="C319" s="1" t="s">
        <v>417</v>
      </c>
      <c r="D319" s="2">
        <v>451</v>
      </c>
      <c r="E319" s="2">
        <v>545</v>
      </c>
      <c r="F319" s="2">
        <f t="shared" si="12"/>
        <v>996</v>
      </c>
      <c r="G319" s="3">
        <f t="shared" si="13"/>
        <v>0.4528112449799197</v>
      </c>
      <c r="H319" s="3">
        <f t="shared" si="14"/>
        <v>0.54718875502008035</v>
      </c>
      <c r="I319" s="1" t="s">
        <v>332</v>
      </c>
    </row>
    <row r="320" spans="1:9" x14ac:dyDescent="0.2">
      <c r="A320" s="1" t="s">
        <v>83</v>
      </c>
      <c r="B320" s="1" t="s">
        <v>99</v>
      </c>
      <c r="C320" s="1" t="s">
        <v>418</v>
      </c>
      <c r="D320" s="2">
        <v>507</v>
      </c>
      <c r="E320" s="2">
        <v>614</v>
      </c>
      <c r="F320" s="2">
        <f t="shared" si="12"/>
        <v>1121</v>
      </c>
      <c r="G320" s="3">
        <f t="shared" si="13"/>
        <v>0.45227475468331846</v>
      </c>
      <c r="H320" s="3">
        <f t="shared" si="14"/>
        <v>0.54772524531668154</v>
      </c>
      <c r="I320" s="1" t="s">
        <v>332</v>
      </c>
    </row>
    <row r="321" spans="1:9" x14ac:dyDescent="0.2">
      <c r="A321" s="1" t="s">
        <v>83</v>
      </c>
      <c r="B321" s="1" t="s">
        <v>100</v>
      </c>
      <c r="C321" s="1" t="s">
        <v>419</v>
      </c>
      <c r="D321" s="2">
        <v>483</v>
      </c>
      <c r="E321" s="2">
        <v>438</v>
      </c>
      <c r="F321" s="2">
        <f t="shared" si="12"/>
        <v>921</v>
      </c>
      <c r="G321" s="3">
        <f t="shared" si="13"/>
        <v>0.52442996742671011</v>
      </c>
      <c r="H321" s="3">
        <f t="shared" si="14"/>
        <v>0.47557003257328989</v>
      </c>
      <c r="I321" s="1" t="s">
        <v>129</v>
      </c>
    </row>
    <row r="322" spans="1:9" x14ac:dyDescent="0.2">
      <c r="A322" s="1" t="s">
        <v>83</v>
      </c>
      <c r="B322" s="1" t="s">
        <v>100</v>
      </c>
      <c r="C322" s="1" t="s">
        <v>420</v>
      </c>
      <c r="D322" s="2">
        <v>509</v>
      </c>
      <c r="E322" s="2">
        <v>713</v>
      </c>
      <c r="F322" s="2">
        <f t="shared" si="12"/>
        <v>1222</v>
      </c>
      <c r="G322" s="3">
        <f t="shared" si="13"/>
        <v>0.4165302782324059</v>
      </c>
      <c r="H322" s="3">
        <f t="shared" si="14"/>
        <v>0.58346972176759415</v>
      </c>
      <c r="I322" s="1" t="s">
        <v>129</v>
      </c>
    </row>
    <row r="323" spans="1:9" x14ac:dyDescent="0.2">
      <c r="A323" s="1" t="s">
        <v>83</v>
      </c>
      <c r="B323" s="1" t="s">
        <v>100</v>
      </c>
      <c r="C323" s="1" t="s">
        <v>421</v>
      </c>
      <c r="D323" s="2">
        <v>319</v>
      </c>
      <c r="E323" s="2">
        <v>451</v>
      </c>
      <c r="F323" s="2">
        <f t="shared" si="12"/>
        <v>770</v>
      </c>
      <c r="G323" s="3">
        <f t="shared" si="13"/>
        <v>0.41428571428571431</v>
      </c>
      <c r="H323" s="3">
        <f t="shared" si="14"/>
        <v>0.58571428571428574</v>
      </c>
      <c r="I323" s="1" t="s">
        <v>129</v>
      </c>
    </row>
    <row r="324" spans="1:9" x14ac:dyDescent="0.2">
      <c r="A324" s="1" t="s">
        <v>83</v>
      </c>
      <c r="B324" s="1" t="s">
        <v>100</v>
      </c>
      <c r="C324" s="1" t="s">
        <v>422</v>
      </c>
      <c r="D324" s="2">
        <v>380</v>
      </c>
      <c r="E324" s="2">
        <v>360</v>
      </c>
      <c r="F324" s="2">
        <f t="shared" si="12"/>
        <v>740</v>
      </c>
      <c r="G324" s="3">
        <f t="shared" si="13"/>
        <v>0.51351351351351349</v>
      </c>
      <c r="H324" s="3">
        <f t="shared" si="14"/>
        <v>0.48648648648648651</v>
      </c>
      <c r="I324" s="1" t="s">
        <v>129</v>
      </c>
    </row>
    <row r="325" spans="1:9" x14ac:dyDescent="0.2">
      <c r="A325" s="1" t="s">
        <v>83</v>
      </c>
      <c r="B325" s="1" t="s">
        <v>100</v>
      </c>
      <c r="C325" s="1" t="s">
        <v>423</v>
      </c>
      <c r="D325" s="2">
        <v>352</v>
      </c>
      <c r="E325" s="2">
        <v>495</v>
      </c>
      <c r="F325" s="2">
        <f t="shared" si="12"/>
        <v>847</v>
      </c>
      <c r="G325" s="3">
        <f t="shared" si="13"/>
        <v>0.41558441558441561</v>
      </c>
      <c r="H325" s="3">
        <f t="shared" si="14"/>
        <v>0.58441558441558439</v>
      </c>
      <c r="I325" s="1" t="s">
        <v>129</v>
      </c>
    </row>
    <row r="326" spans="1:9" x14ac:dyDescent="0.2">
      <c r="A326" s="1" t="s">
        <v>83</v>
      </c>
      <c r="B326" s="1" t="s">
        <v>100</v>
      </c>
      <c r="C326" s="1" t="s">
        <v>424</v>
      </c>
      <c r="D326" s="2">
        <v>764</v>
      </c>
      <c r="E326" s="2">
        <v>661</v>
      </c>
      <c r="F326" s="2">
        <f t="shared" si="12"/>
        <v>1425</v>
      </c>
      <c r="G326" s="3">
        <f t="shared" si="13"/>
        <v>0.53614035087719303</v>
      </c>
      <c r="H326" s="3">
        <f t="shared" si="14"/>
        <v>0.46385964912280703</v>
      </c>
      <c r="I326" s="1" t="s">
        <v>129</v>
      </c>
    </row>
    <row r="327" spans="1:9" x14ac:dyDescent="0.2">
      <c r="A327" s="1" t="s">
        <v>83</v>
      </c>
      <c r="B327" s="1" t="s">
        <v>101</v>
      </c>
      <c r="C327" s="1" t="s">
        <v>425</v>
      </c>
      <c r="D327" s="2">
        <v>336</v>
      </c>
      <c r="E327" s="2">
        <v>632</v>
      </c>
      <c r="F327" s="2">
        <f t="shared" si="12"/>
        <v>968</v>
      </c>
      <c r="G327" s="3">
        <f t="shared" si="13"/>
        <v>0.34710743801652894</v>
      </c>
      <c r="H327" s="3">
        <f t="shared" si="14"/>
        <v>0.65289256198347112</v>
      </c>
      <c r="I327" s="1" t="s">
        <v>129</v>
      </c>
    </row>
    <row r="328" spans="1:9" x14ac:dyDescent="0.2">
      <c r="A328" s="1" t="s">
        <v>83</v>
      </c>
      <c r="B328" s="1" t="s">
        <v>101</v>
      </c>
      <c r="C328" s="1" t="s">
        <v>426</v>
      </c>
      <c r="D328" s="2">
        <v>621</v>
      </c>
      <c r="E328" s="2">
        <v>1239</v>
      </c>
      <c r="F328" s="2">
        <f t="shared" si="12"/>
        <v>1860</v>
      </c>
      <c r="G328" s="3">
        <f t="shared" si="13"/>
        <v>0.33387096774193548</v>
      </c>
      <c r="H328" s="3">
        <f t="shared" si="14"/>
        <v>0.66612903225806452</v>
      </c>
      <c r="I328" s="1" t="s">
        <v>129</v>
      </c>
    </row>
    <row r="329" spans="1:9" x14ac:dyDescent="0.2">
      <c r="A329" s="1" t="s">
        <v>83</v>
      </c>
      <c r="B329" s="1" t="s">
        <v>101</v>
      </c>
      <c r="C329" s="1" t="s">
        <v>427</v>
      </c>
      <c r="D329" s="2">
        <v>440</v>
      </c>
      <c r="E329" s="2">
        <v>956</v>
      </c>
      <c r="F329" s="2">
        <f t="shared" si="12"/>
        <v>1396</v>
      </c>
      <c r="G329" s="3">
        <f t="shared" si="13"/>
        <v>0.31518624641833809</v>
      </c>
      <c r="H329" s="3">
        <f t="shared" si="14"/>
        <v>0.68481375358166185</v>
      </c>
      <c r="I329" s="1" t="s">
        <v>129</v>
      </c>
    </row>
    <row r="330" spans="1:9" x14ac:dyDescent="0.2">
      <c r="A330" s="1" t="s">
        <v>83</v>
      </c>
      <c r="B330" s="1" t="s">
        <v>101</v>
      </c>
      <c r="C330" s="1" t="s">
        <v>428</v>
      </c>
      <c r="D330" s="2">
        <v>197</v>
      </c>
      <c r="E330" s="2">
        <v>428</v>
      </c>
      <c r="F330" s="2">
        <f t="shared" si="12"/>
        <v>625</v>
      </c>
      <c r="G330" s="3">
        <f t="shared" si="13"/>
        <v>0.31519999999999998</v>
      </c>
      <c r="H330" s="3">
        <f t="shared" si="14"/>
        <v>0.68479999999999996</v>
      </c>
      <c r="I330" s="1" t="s">
        <v>129</v>
      </c>
    </row>
    <row r="331" spans="1:9" x14ac:dyDescent="0.2">
      <c r="A331" s="1" t="s">
        <v>83</v>
      </c>
      <c r="B331" s="1" t="s">
        <v>102</v>
      </c>
      <c r="C331" s="1" t="s">
        <v>429</v>
      </c>
      <c r="D331" s="2">
        <v>502</v>
      </c>
      <c r="E331" s="2">
        <v>497</v>
      </c>
      <c r="F331" s="2">
        <f t="shared" si="12"/>
        <v>999</v>
      </c>
      <c r="G331" s="3">
        <f t="shared" si="13"/>
        <v>0.5025025025025025</v>
      </c>
      <c r="H331" s="3">
        <f t="shared" si="14"/>
        <v>0.4974974974974975</v>
      </c>
      <c r="I331" s="1" t="s">
        <v>129</v>
      </c>
    </row>
    <row r="332" spans="1:9" x14ac:dyDescent="0.2">
      <c r="A332" s="1" t="s">
        <v>83</v>
      </c>
      <c r="B332" s="1" t="s">
        <v>102</v>
      </c>
      <c r="C332" s="1" t="s">
        <v>430</v>
      </c>
      <c r="D332" s="2">
        <v>384</v>
      </c>
      <c r="E332" s="2">
        <v>389</v>
      </c>
      <c r="F332" s="2">
        <f t="shared" ref="F332:F395" si="15">IF(COUNTA(D332:E332)=0,"",SUM(D332:E332))</f>
        <v>773</v>
      </c>
      <c r="G332" s="3">
        <f t="shared" ref="G332:G395" si="16">IF(OR(F332="",F332=0),"",D332/F332)</f>
        <v>0.49676584734799484</v>
      </c>
      <c r="H332" s="3">
        <f t="shared" ref="H332:H381" si="17">IF(OR(F332="",F332=0),"",E332/F332)</f>
        <v>0.50323415265200522</v>
      </c>
      <c r="I332" s="1" t="s">
        <v>129</v>
      </c>
    </row>
    <row r="333" spans="1:9" x14ac:dyDescent="0.2">
      <c r="A333" s="1" t="s">
        <v>83</v>
      </c>
      <c r="B333" s="1" t="s">
        <v>102</v>
      </c>
      <c r="C333" s="1" t="s">
        <v>431</v>
      </c>
      <c r="D333" s="2">
        <v>356</v>
      </c>
      <c r="E333" s="2">
        <v>386</v>
      </c>
      <c r="F333" s="2">
        <f t="shared" si="15"/>
        <v>742</v>
      </c>
      <c r="G333" s="3">
        <f t="shared" si="16"/>
        <v>0.47978436657681939</v>
      </c>
      <c r="H333" s="3">
        <f t="shared" si="17"/>
        <v>0.52021563342318056</v>
      </c>
      <c r="I333" s="1" t="s">
        <v>129</v>
      </c>
    </row>
    <row r="334" spans="1:9" x14ac:dyDescent="0.2">
      <c r="A334" s="1" t="s">
        <v>83</v>
      </c>
      <c r="B334" s="1" t="s">
        <v>103</v>
      </c>
      <c r="C334" s="1" t="s">
        <v>432</v>
      </c>
      <c r="D334" s="2">
        <v>174</v>
      </c>
      <c r="E334" s="2">
        <v>219</v>
      </c>
      <c r="F334" s="2">
        <f t="shared" si="15"/>
        <v>393</v>
      </c>
      <c r="G334" s="3">
        <f t="shared" si="16"/>
        <v>0.44274809160305345</v>
      </c>
      <c r="H334" s="3">
        <f t="shared" si="17"/>
        <v>0.5572519083969466</v>
      </c>
      <c r="I334" s="1" t="s">
        <v>129</v>
      </c>
    </row>
    <row r="335" spans="1:9" x14ac:dyDescent="0.2">
      <c r="A335" s="1" t="s">
        <v>83</v>
      </c>
      <c r="B335" s="1" t="s">
        <v>103</v>
      </c>
      <c r="C335" s="1" t="s">
        <v>433</v>
      </c>
      <c r="D335" s="2">
        <v>526</v>
      </c>
      <c r="E335" s="2">
        <v>508</v>
      </c>
      <c r="F335" s="2">
        <f t="shared" si="15"/>
        <v>1034</v>
      </c>
      <c r="G335" s="3">
        <f t="shared" si="16"/>
        <v>0.50870406189555128</v>
      </c>
      <c r="H335" s="3">
        <f t="shared" si="17"/>
        <v>0.49129593810444872</v>
      </c>
      <c r="I335" s="1" t="s">
        <v>129</v>
      </c>
    </row>
    <row r="336" spans="1:9" x14ac:dyDescent="0.2">
      <c r="A336" s="1" t="s">
        <v>83</v>
      </c>
      <c r="B336" s="1" t="s">
        <v>104</v>
      </c>
      <c r="C336" s="1" t="s">
        <v>434</v>
      </c>
      <c r="D336" s="2">
        <v>479</v>
      </c>
      <c r="E336" s="2">
        <v>539</v>
      </c>
      <c r="F336" s="2">
        <f t="shared" si="15"/>
        <v>1018</v>
      </c>
      <c r="G336" s="3">
        <f t="shared" si="16"/>
        <v>0.47053045186640474</v>
      </c>
      <c r="H336" s="3">
        <f t="shared" si="17"/>
        <v>0.52946954813359526</v>
      </c>
      <c r="I336" s="1" t="s">
        <v>129</v>
      </c>
    </row>
    <row r="337" spans="1:9" x14ac:dyDescent="0.2">
      <c r="A337" s="1" t="s">
        <v>83</v>
      </c>
      <c r="B337" s="1" t="s">
        <v>104</v>
      </c>
      <c r="C337" s="1" t="s">
        <v>435</v>
      </c>
      <c r="D337" s="2">
        <v>442</v>
      </c>
      <c r="E337" s="2">
        <v>467</v>
      </c>
      <c r="F337" s="2">
        <f t="shared" si="15"/>
        <v>909</v>
      </c>
      <c r="G337" s="3">
        <f t="shared" si="16"/>
        <v>0.48624862486248627</v>
      </c>
      <c r="H337" s="3">
        <f t="shared" si="17"/>
        <v>0.51375137513751379</v>
      </c>
      <c r="I337" s="1" t="s">
        <v>129</v>
      </c>
    </row>
    <row r="338" spans="1:9" x14ac:dyDescent="0.2">
      <c r="A338" s="1" t="s">
        <v>83</v>
      </c>
      <c r="B338" s="1" t="s">
        <v>104</v>
      </c>
      <c r="C338" s="1" t="s">
        <v>436</v>
      </c>
      <c r="D338" s="2">
        <v>845</v>
      </c>
      <c r="E338" s="2">
        <v>1009</v>
      </c>
      <c r="F338" s="2">
        <f t="shared" si="15"/>
        <v>1854</v>
      </c>
      <c r="G338" s="3">
        <f t="shared" si="16"/>
        <v>0.4557713052858684</v>
      </c>
      <c r="H338" s="3">
        <f t="shared" si="17"/>
        <v>0.5442286947141316</v>
      </c>
      <c r="I338" s="1" t="s">
        <v>129</v>
      </c>
    </row>
    <row r="339" spans="1:9" x14ac:dyDescent="0.2">
      <c r="A339" s="1" t="s">
        <v>83</v>
      </c>
      <c r="B339" s="1" t="s">
        <v>104</v>
      </c>
      <c r="C339" s="1" t="s">
        <v>437</v>
      </c>
      <c r="D339" s="2">
        <v>162</v>
      </c>
      <c r="E339" s="2">
        <v>221</v>
      </c>
      <c r="F339" s="2">
        <f t="shared" si="15"/>
        <v>383</v>
      </c>
      <c r="G339" s="3">
        <f t="shared" si="16"/>
        <v>0.42297650130548303</v>
      </c>
      <c r="H339" s="3">
        <f t="shared" si="17"/>
        <v>0.57702349869451697</v>
      </c>
      <c r="I339" s="1" t="s">
        <v>129</v>
      </c>
    </row>
    <row r="340" spans="1:9" x14ac:dyDescent="0.2">
      <c r="A340" s="1" t="s">
        <v>83</v>
      </c>
      <c r="B340" s="1" t="s">
        <v>105</v>
      </c>
      <c r="C340" s="1" t="s">
        <v>438</v>
      </c>
      <c r="D340" s="2">
        <v>653</v>
      </c>
      <c r="E340" s="2">
        <v>628</v>
      </c>
      <c r="F340" s="2">
        <f t="shared" si="15"/>
        <v>1281</v>
      </c>
      <c r="G340" s="3">
        <f t="shared" si="16"/>
        <v>0.50975800156128026</v>
      </c>
      <c r="H340" s="3">
        <f t="shared" si="17"/>
        <v>0.49024199843871974</v>
      </c>
      <c r="I340" s="1" t="s">
        <v>332</v>
      </c>
    </row>
    <row r="341" spans="1:9" x14ac:dyDescent="0.2">
      <c r="A341" s="1" t="s">
        <v>83</v>
      </c>
      <c r="B341" s="1" t="s">
        <v>105</v>
      </c>
      <c r="C341" s="1" t="s">
        <v>439</v>
      </c>
      <c r="D341" s="2">
        <v>385</v>
      </c>
      <c r="E341" s="2">
        <v>374</v>
      </c>
      <c r="F341" s="2">
        <f t="shared" si="15"/>
        <v>759</v>
      </c>
      <c r="G341" s="3">
        <f t="shared" si="16"/>
        <v>0.50724637681159424</v>
      </c>
      <c r="H341" s="3">
        <f t="shared" si="17"/>
        <v>0.49275362318840582</v>
      </c>
      <c r="I341" s="1" t="s">
        <v>332</v>
      </c>
    </row>
    <row r="342" spans="1:9" x14ac:dyDescent="0.2">
      <c r="A342" s="1" t="s">
        <v>83</v>
      </c>
      <c r="B342" s="1" t="s">
        <v>105</v>
      </c>
      <c r="C342" s="1" t="s">
        <v>440</v>
      </c>
      <c r="D342" s="2">
        <v>604</v>
      </c>
      <c r="E342" s="2">
        <v>587</v>
      </c>
      <c r="F342" s="2">
        <f t="shared" si="15"/>
        <v>1191</v>
      </c>
      <c r="G342" s="3">
        <f t="shared" si="16"/>
        <v>0.50713685978169609</v>
      </c>
      <c r="H342" s="3">
        <f t="shared" si="17"/>
        <v>0.49286314021830396</v>
      </c>
      <c r="I342" s="1" t="s">
        <v>332</v>
      </c>
    </row>
    <row r="343" spans="1:9" x14ac:dyDescent="0.2">
      <c r="A343" s="1" t="s">
        <v>83</v>
      </c>
      <c r="B343" s="1" t="s">
        <v>105</v>
      </c>
      <c r="C343" s="1" t="s">
        <v>441</v>
      </c>
      <c r="D343" s="2">
        <v>699</v>
      </c>
      <c r="E343" s="2">
        <v>679</v>
      </c>
      <c r="F343" s="2">
        <f t="shared" si="15"/>
        <v>1378</v>
      </c>
      <c r="G343" s="3">
        <f t="shared" si="16"/>
        <v>0.50725689404934693</v>
      </c>
      <c r="H343" s="3">
        <f t="shared" si="17"/>
        <v>0.49274310595065313</v>
      </c>
      <c r="I343" s="1" t="s">
        <v>332</v>
      </c>
    </row>
    <row r="344" spans="1:9" x14ac:dyDescent="0.2">
      <c r="A344" s="1" t="s">
        <v>83</v>
      </c>
      <c r="B344" s="1" t="s">
        <v>105</v>
      </c>
      <c r="C344" s="1" t="s">
        <v>442</v>
      </c>
      <c r="D344" s="2">
        <v>693</v>
      </c>
      <c r="E344" s="2">
        <v>672</v>
      </c>
      <c r="F344" s="2">
        <f t="shared" si="15"/>
        <v>1365</v>
      </c>
      <c r="G344" s="3">
        <f t="shared" si="16"/>
        <v>0.50769230769230766</v>
      </c>
      <c r="H344" s="3">
        <f t="shared" si="17"/>
        <v>0.49230769230769234</v>
      </c>
      <c r="I344" s="1" t="s">
        <v>332</v>
      </c>
    </row>
    <row r="345" spans="1:9" x14ac:dyDescent="0.2">
      <c r="A345" s="1" t="s">
        <v>83</v>
      </c>
      <c r="B345" s="1" t="s">
        <v>105</v>
      </c>
      <c r="C345" s="1" t="s">
        <v>443</v>
      </c>
      <c r="D345" s="2">
        <v>633</v>
      </c>
      <c r="E345" s="2">
        <v>610</v>
      </c>
      <c r="F345" s="2">
        <f t="shared" si="15"/>
        <v>1243</v>
      </c>
      <c r="G345" s="3">
        <f t="shared" si="16"/>
        <v>0.5092518101367659</v>
      </c>
      <c r="H345" s="3">
        <f t="shared" si="17"/>
        <v>0.4907481898632341</v>
      </c>
      <c r="I345" s="1" t="s">
        <v>332</v>
      </c>
    </row>
    <row r="346" spans="1:9" x14ac:dyDescent="0.2">
      <c r="A346" s="1" t="s">
        <v>83</v>
      </c>
      <c r="B346" s="1" t="s">
        <v>105</v>
      </c>
      <c r="C346" s="1" t="s">
        <v>444</v>
      </c>
      <c r="D346" s="2">
        <v>538</v>
      </c>
      <c r="E346" s="2">
        <v>520</v>
      </c>
      <c r="F346" s="2">
        <f t="shared" si="15"/>
        <v>1058</v>
      </c>
      <c r="G346" s="3">
        <f t="shared" si="16"/>
        <v>0.50850661625708882</v>
      </c>
      <c r="H346" s="3">
        <f t="shared" si="17"/>
        <v>0.49149338374291113</v>
      </c>
      <c r="I346" s="1" t="s">
        <v>332</v>
      </c>
    </row>
    <row r="347" spans="1:9" x14ac:dyDescent="0.2">
      <c r="A347" s="1" t="s">
        <v>83</v>
      </c>
      <c r="B347" s="1" t="s">
        <v>105</v>
      </c>
      <c r="C347" s="1" t="s">
        <v>445</v>
      </c>
      <c r="D347" s="2">
        <v>565</v>
      </c>
      <c r="E347" s="2">
        <v>543</v>
      </c>
      <c r="F347" s="2">
        <f t="shared" si="15"/>
        <v>1108</v>
      </c>
      <c r="G347" s="3">
        <f t="shared" si="16"/>
        <v>0.50992779783393505</v>
      </c>
      <c r="H347" s="3">
        <f t="shared" si="17"/>
        <v>0.49007220216606501</v>
      </c>
      <c r="I347" s="1" t="s">
        <v>332</v>
      </c>
    </row>
    <row r="348" spans="1:9" x14ac:dyDescent="0.2">
      <c r="A348" s="1" t="s">
        <v>83</v>
      </c>
      <c r="B348" s="1" t="s">
        <v>105</v>
      </c>
      <c r="C348" s="1" t="s">
        <v>446</v>
      </c>
      <c r="D348" s="2">
        <v>647</v>
      </c>
      <c r="E348" s="2">
        <v>627</v>
      </c>
      <c r="F348" s="2">
        <f t="shared" si="15"/>
        <v>1274</v>
      </c>
      <c r="G348" s="3">
        <f t="shared" si="16"/>
        <v>0.50784929356357933</v>
      </c>
      <c r="H348" s="3">
        <f t="shared" si="17"/>
        <v>0.49215070643642073</v>
      </c>
      <c r="I348" s="1" t="s">
        <v>332</v>
      </c>
    </row>
    <row r="349" spans="1:9" x14ac:dyDescent="0.2">
      <c r="A349" s="1" t="s">
        <v>83</v>
      </c>
      <c r="B349" s="1" t="s">
        <v>106</v>
      </c>
      <c r="C349" s="1" t="s">
        <v>447</v>
      </c>
      <c r="D349" s="2">
        <v>74</v>
      </c>
      <c r="E349" s="2">
        <v>129</v>
      </c>
      <c r="F349" s="2">
        <f t="shared" si="15"/>
        <v>203</v>
      </c>
      <c r="G349" s="3">
        <f t="shared" si="16"/>
        <v>0.3645320197044335</v>
      </c>
      <c r="H349" s="3">
        <f t="shared" si="17"/>
        <v>0.6354679802955665</v>
      </c>
      <c r="I349" s="1" t="s">
        <v>129</v>
      </c>
    </row>
    <row r="350" spans="1:9" x14ac:dyDescent="0.2">
      <c r="A350" s="1" t="s">
        <v>83</v>
      </c>
      <c r="B350" s="1" t="s">
        <v>106</v>
      </c>
      <c r="C350" s="1" t="s">
        <v>448</v>
      </c>
      <c r="D350" s="2">
        <v>204</v>
      </c>
      <c r="E350" s="2">
        <v>374</v>
      </c>
      <c r="F350" s="2">
        <f t="shared" si="15"/>
        <v>578</v>
      </c>
      <c r="G350" s="3">
        <f t="shared" si="16"/>
        <v>0.35294117647058826</v>
      </c>
      <c r="H350" s="3">
        <f t="shared" si="17"/>
        <v>0.6470588235294118</v>
      </c>
      <c r="I350" s="1" t="s">
        <v>129</v>
      </c>
    </row>
    <row r="351" spans="1:9" x14ac:dyDescent="0.2">
      <c r="A351" s="1" t="s">
        <v>83</v>
      </c>
      <c r="B351" s="1" t="s">
        <v>106</v>
      </c>
      <c r="C351" s="1" t="s">
        <v>449</v>
      </c>
      <c r="D351" s="2">
        <v>149</v>
      </c>
      <c r="E351" s="2">
        <v>218</v>
      </c>
      <c r="F351" s="2">
        <f t="shared" si="15"/>
        <v>367</v>
      </c>
      <c r="G351" s="3">
        <f t="shared" si="16"/>
        <v>0.40599455040871935</v>
      </c>
      <c r="H351" s="3">
        <f t="shared" si="17"/>
        <v>0.59400544959128065</v>
      </c>
      <c r="I351" s="1" t="s">
        <v>129</v>
      </c>
    </row>
    <row r="352" spans="1:9" x14ac:dyDescent="0.2">
      <c r="A352" s="1" t="s">
        <v>83</v>
      </c>
      <c r="B352" s="1" t="s">
        <v>106</v>
      </c>
      <c r="C352" s="1" t="s">
        <v>450</v>
      </c>
      <c r="D352" s="2">
        <v>84</v>
      </c>
      <c r="E352" s="2">
        <v>130</v>
      </c>
      <c r="F352" s="2">
        <f t="shared" si="15"/>
        <v>214</v>
      </c>
      <c r="G352" s="3">
        <f t="shared" si="16"/>
        <v>0.3925233644859813</v>
      </c>
      <c r="H352" s="3">
        <f t="shared" si="17"/>
        <v>0.60747663551401865</v>
      </c>
      <c r="I352" s="1" t="s">
        <v>129</v>
      </c>
    </row>
    <row r="353" spans="1:9" x14ac:dyDescent="0.2">
      <c r="A353" s="1" t="s">
        <v>83</v>
      </c>
      <c r="B353" s="1" t="s">
        <v>107</v>
      </c>
      <c r="C353" s="1" t="s">
        <v>451</v>
      </c>
      <c r="D353" s="2">
        <v>324</v>
      </c>
      <c r="E353" s="2">
        <v>615</v>
      </c>
      <c r="F353" s="2">
        <f t="shared" si="15"/>
        <v>939</v>
      </c>
      <c r="G353" s="3">
        <f t="shared" si="16"/>
        <v>0.34504792332268369</v>
      </c>
      <c r="H353" s="3">
        <f t="shared" si="17"/>
        <v>0.65495207667731625</v>
      </c>
      <c r="I353" s="1" t="s">
        <v>129</v>
      </c>
    </row>
    <row r="354" spans="1:9" x14ac:dyDescent="0.2">
      <c r="A354" s="1" t="s">
        <v>83</v>
      </c>
      <c r="B354" s="1" t="s">
        <v>107</v>
      </c>
      <c r="C354" s="1" t="s">
        <v>452</v>
      </c>
      <c r="D354" s="2">
        <v>272</v>
      </c>
      <c r="E354" s="2">
        <v>479</v>
      </c>
      <c r="F354" s="2">
        <f t="shared" si="15"/>
        <v>751</v>
      </c>
      <c r="G354" s="3">
        <f t="shared" si="16"/>
        <v>0.36218375499334221</v>
      </c>
      <c r="H354" s="3">
        <f t="shared" si="17"/>
        <v>0.63781624500665779</v>
      </c>
      <c r="I354" s="1" t="s">
        <v>129</v>
      </c>
    </row>
    <row r="355" spans="1:9" x14ac:dyDescent="0.2">
      <c r="A355" s="1" t="s">
        <v>83</v>
      </c>
      <c r="B355" s="1" t="s">
        <v>107</v>
      </c>
      <c r="C355" s="1" t="s">
        <v>453</v>
      </c>
      <c r="D355" s="2">
        <v>231</v>
      </c>
      <c r="E355" s="2">
        <v>454</v>
      </c>
      <c r="F355" s="2">
        <f t="shared" si="15"/>
        <v>685</v>
      </c>
      <c r="G355" s="3">
        <f t="shared" si="16"/>
        <v>0.33722627737226279</v>
      </c>
      <c r="H355" s="3">
        <f t="shared" si="17"/>
        <v>0.66277372262773726</v>
      </c>
      <c r="I355" s="1" t="s">
        <v>129</v>
      </c>
    </row>
    <row r="356" spans="1:9" x14ac:dyDescent="0.2">
      <c r="A356" s="1" t="s">
        <v>83</v>
      </c>
      <c r="B356" s="1" t="s">
        <v>107</v>
      </c>
      <c r="C356" s="1" t="s">
        <v>454</v>
      </c>
      <c r="D356" s="2">
        <v>247</v>
      </c>
      <c r="E356" s="2">
        <v>500</v>
      </c>
      <c r="F356" s="2">
        <f t="shared" si="15"/>
        <v>747</v>
      </c>
      <c r="G356" s="3">
        <f t="shared" si="16"/>
        <v>0.33065595716198126</v>
      </c>
      <c r="H356" s="3">
        <f t="shared" si="17"/>
        <v>0.66934404283801874</v>
      </c>
      <c r="I356" s="1" t="s">
        <v>129</v>
      </c>
    </row>
    <row r="357" spans="1:9" x14ac:dyDescent="0.2">
      <c r="A357" s="1" t="s">
        <v>83</v>
      </c>
      <c r="B357" s="1" t="s">
        <v>108</v>
      </c>
      <c r="C357" s="1" t="s">
        <v>108</v>
      </c>
      <c r="D357" s="2">
        <v>70</v>
      </c>
      <c r="E357" s="2">
        <v>126</v>
      </c>
      <c r="F357" s="2">
        <f t="shared" si="15"/>
        <v>196</v>
      </c>
      <c r="G357" s="3">
        <f t="shared" si="16"/>
        <v>0.35714285714285715</v>
      </c>
      <c r="H357" s="3">
        <f t="shared" si="17"/>
        <v>0.6428571428571429</v>
      </c>
      <c r="I357" s="1" t="s">
        <v>129</v>
      </c>
    </row>
    <row r="358" spans="1:9" x14ac:dyDescent="0.2">
      <c r="A358" s="1" t="s">
        <v>83</v>
      </c>
      <c r="B358" s="1" t="s">
        <v>109</v>
      </c>
      <c r="C358" s="1" t="s">
        <v>109</v>
      </c>
      <c r="D358" s="2">
        <v>253</v>
      </c>
      <c r="E358" s="2">
        <v>431</v>
      </c>
      <c r="F358" s="2">
        <f t="shared" si="15"/>
        <v>684</v>
      </c>
      <c r="G358" s="3">
        <f t="shared" si="16"/>
        <v>0.36988304093567254</v>
      </c>
      <c r="H358" s="3">
        <f t="shared" si="17"/>
        <v>0.63011695906432752</v>
      </c>
      <c r="I358" s="1" t="s">
        <v>129</v>
      </c>
    </row>
    <row r="359" spans="1:9" x14ac:dyDescent="0.2">
      <c r="A359" s="1" t="s">
        <v>83</v>
      </c>
      <c r="B359" s="1" t="s">
        <v>110</v>
      </c>
      <c r="C359" s="1" t="s">
        <v>110</v>
      </c>
      <c r="D359" s="2">
        <v>155</v>
      </c>
      <c r="E359" s="2">
        <v>233</v>
      </c>
      <c r="F359" s="2">
        <f t="shared" si="15"/>
        <v>388</v>
      </c>
      <c r="G359" s="3">
        <f t="shared" si="16"/>
        <v>0.39948453608247425</v>
      </c>
      <c r="H359" s="3">
        <f t="shared" si="17"/>
        <v>0.60051546391752575</v>
      </c>
      <c r="I359" s="1" t="s">
        <v>129</v>
      </c>
    </row>
    <row r="360" spans="1:9" x14ac:dyDescent="0.2">
      <c r="A360" s="1" t="s">
        <v>83</v>
      </c>
      <c r="B360" s="1" t="s">
        <v>111</v>
      </c>
      <c r="C360" s="1" t="s">
        <v>111</v>
      </c>
      <c r="D360" s="2">
        <v>252</v>
      </c>
      <c r="E360" s="2">
        <v>350</v>
      </c>
      <c r="F360" s="2">
        <f t="shared" si="15"/>
        <v>602</v>
      </c>
      <c r="G360" s="3">
        <f t="shared" si="16"/>
        <v>0.41860465116279072</v>
      </c>
      <c r="H360" s="3">
        <f t="shared" si="17"/>
        <v>0.58139534883720934</v>
      </c>
      <c r="I360" s="1" t="s">
        <v>129</v>
      </c>
    </row>
    <row r="361" spans="1:9" x14ac:dyDescent="0.2">
      <c r="A361" s="1" t="s">
        <v>83</v>
      </c>
      <c r="B361" s="1" t="s">
        <v>112</v>
      </c>
      <c r="C361" s="1" t="s">
        <v>455</v>
      </c>
      <c r="D361" s="2">
        <v>235</v>
      </c>
      <c r="E361" s="2">
        <v>586</v>
      </c>
      <c r="F361" s="2">
        <f t="shared" si="15"/>
        <v>821</v>
      </c>
      <c r="G361" s="3">
        <f t="shared" si="16"/>
        <v>0.28623629719853838</v>
      </c>
      <c r="H361" s="3">
        <f t="shared" si="17"/>
        <v>0.71376370280146162</v>
      </c>
      <c r="I361" s="1" t="s">
        <v>129</v>
      </c>
    </row>
    <row r="362" spans="1:9" x14ac:dyDescent="0.2">
      <c r="A362" s="1" t="s">
        <v>83</v>
      </c>
      <c r="B362" s="1" t="s">
        <v>112</v>
      </c>
      <c r="C362" s="1" t="s">
        <v>456</v>
      </c>
      <c r="D362" s="2">
        <v>193</v>
      </c>
      <c r="E362" s="2">
        <v>406</v>
      </c>
      <c r="F362" s="2">
        <f t="shared" si="15"/>
        <v>599</v>
      </c>
      <c r="G362" s="3">
        <f t="shared" si="16"/>
        <v>0.32220367278797996</v>
      </c>
      <c r="H362" s="3">
        <f t="shared" si="17"/>
        <v>0.67779632721201999</v>
      </c>
      <c r="I362" s="1" t="s">
        <v>129</v>
      </c>
    </row>
    <row r="363" spans="1:9" x14ac:dyDescent="0.2">
      <c r="A363" s="1" t="s">
        <v>83</v>
      </c>
      <c r="B363" s="1" t="s">
        <v>112</v>
      </c>
      <c r="C363" s="1" t="s">
        <v>457</v>
      </c>
      <c r="D363" s="2">
        <v>141</v>
      </c>
      <c r="E363" s="2">
        <v>378</v>
      </c>
      <c r="F363" s="2">
        <f t="shared" si="15"/>
        <v>519</v>
      </c>
      <c r="G363" s="3">
        <f t="shared" si="16"/>
        <v>0.27167630057803466</v>
      </c>
      <c r="H363" s="3">
        <f t="shared" si="17"/>
        <v>0.72832369942196529</v>
      </c>
      <c r="I363" s="1" t="s">
        <v>129</v>
      </c>
    </row>
    <row r="364" spans="1:9" x14ac:dyDescent="0.2">
      <c r="A364" s="1" t="s">
        <v>83</v>
      </c>
      <c r="B364" s="1" t="s">
        <v>112</v>
      </c>
      <c r="C364" s="1" t="s">
        <v>458</v>
      </c>
      <c r="D364" s="2">
        <v>137</v>
      </c>
      <c r="E364" s="2">
        <v>338</v>
      </c>
      <c r="F364" s="2">
        <f t="shared" si="15"/>
        <v>475</v>
      </c>
      <c r="G364" s="3">
        <f t="shared" si="16"/>
        <v>0.28842105263157897</v>
      </c>
      <c r="H364" s="3">
        <f t="shared" si="17"/>
        <v>0.71157894736842109</v>
      </c>
      <c r="I364" s="1" t="s">
        <v>129</v>
      </c>
    </row>
    <row r="365" spans="1:9" x14ac:dyDescent="0.2">
      <c r="A365" s="1" t="s">
        <v>83</v>
      </c>
      <c r="B365" s="1" t="s">
        <v>112</v>
      </c>
      <c r="C365" s="1" t="s">
        <v>459</v>
      </c>
      <c r="D365" s="2">
        <v>270</v>
      </c>
      <c r="E365" s="2">
        <v>463</v>
      </c>
      <c r="F365" s="2">
        <f t="shared" si="15"/>
        <v>733</v>
      </c>
      <c r="G365" s="3">
        <f t="shared" si="16"/>
        <v>0.3683492496589359</v>
      </c>
      <c r="H365" s="3">
        <f t="shared" si="17"/>
        <v>0.6316507503410641</v>
      </c>
      <c r="I365" s="1" t="s">
        <v>129</v>
      </c>
    </row>
    <row r="366" spans="1:9" x14ac:dyDescent="0.2">
      <c r="A366" s="1" t="s">
        <v>83</v>
      </c>
      <c r="B366" s="1" t="s">
        <v>113</v>
      </c>
      <c r="C366" s="1" t="s">
        <v>460</v>
      </c>
      <c r="D366" s="2">
        <v>620</v>
      </c>
      <c r="E366" s="2">
        <v>667</v>
      </c>
      <c r="F366" s="2">
        <f t="shared" si="15"/>
        <v>1287</v>
      </c>
      <c r="G366" s="3">
        <f t="shared" si="16"/>
        <v>0.48174048174048173</v>
      </c>
      <c r="H366" s="3">
        <f t="shared" si="17"/>
        <v>0.51825951825951821</v>
      </c>
      <c r="I366" s="1" t="s">
        <v>332</v>
      </c>
    </row>
    <row r="367" spans="1:9" x14ac:dyDescent="0.2">
      <c r="A367" s="1" t="s">
        <v>83</v>
      </c>
      <c r="B367" s="1" t="s">
        <v>113</v>
      </c>
      <c r="C367" s="1" t="s">
        <v>461</v>
      </c>
      <c r="D367" s="2">
        <v>284</v>
      </c>
      <c r="E367" s="2">
        <v>308</v>
      </c>
      <c r="F367" s="2">
        <f t="shared" si="15"/>
        <v>592</v>
      </c>
      <c r="G367" s="3">
        <f t="shared" si="16"/>
        <v>0.47972972972972971</v>
      </c>
      <c r="H367" s="3">
        <f t="shared" si="17"/>
        <v>0.52027027027027029</v>
      </c>
      <c r="I367" s="1" t="s">
        <v>332</v>
      </c>
    </row>
    <row r="368" spans="1:9" x14ac:dyDescent="0.2">
      <c r="A368" s="1" t="s">
        <v>83</v>
      </c>
      <c r="B368" s="1" t="s">
        <v>113</v>
      </c>
      <c r="C368" s="1" t="s">
        <v>462</v>
      </c>
      <c r="D368" s="2">
        <v>454</v>
      </c>
      <c r="E368" s="2">
        <v>501</v>
      </c>
      <c r="F368" s="2">
        <f t="shared" si="15"/>
        <v>955</v>
      </c>
      <c r="G368" s="3">
        <f t="shared" si="16"/>
        <v>0.47539267015706804</v>
      </c>
      <c r="H368" s="3">
        <f t="shared" si="17"/>
        <v>0.5246073298429319</v>
      </c>
      <c r="I368" s="1" t="s">
        <v>332</v>
      </c>
    </row>
    <row r="369" spans="1:9" x14ac:dyDescent="0.2">
      <c r="A369" s="1" t="s">
        <v>83</v>
      </c>
      <c r="B369" s="1" t="s">
        <v>113</v>
      </c>
      <c r="C369" s="1" t="s">
        <v>463</v>
      </c>
      <c r="D369" s="2">
        <v>211</v>
      </c>
      <c r="E369" s="2">
        <v>233</v>
      </c>
      <c r="F369" s="2">
        <f t="shared" si="15"/>
        <v>444</v>
      </c>
      <c r="G369" s="3">
        <f t="shared" si="16"/>
        <v>0.4752252252252252</v>
      </c>
      <c r="H369" s="3">
        <f t="shared" si="17"/>
        <v>0.52477477477477474</v>
      </c>
      <c r="I369" s="1" t="s">
        <v>332</v>
      </c>
    </row>
    <row r="370" spans="1:9" x14ac:dyDescent="0.2">
      <c r="A370" s="1" t="s">
        <v>83</v>
      </c>
      <c r="B370" s="1" t="s">
        <v>114</v>
      </c>
      <c r="C370" s="1" t="s">
        <v>114</v>
      </c>
      <c r="D370" s="2">
        <v>301</v>
      </c>
      <c r="E370" s="2">
        <v>461</v>
      </c>
      <c r="F370" s="2">
        <f t="shared" si="15"/>
        <v>762</v>
      </c>
      <c r="G370" s="3">
        <f t="shared" si="16"/>
        <v>0.39501312335958005</v>
      </c>
      <c r="H370" s="3">
        <f t="shared" si="17"/>
        <v>0.60498687664041995</v>
      </c>
      <c r="I370" s="1" t="s">
        <v>129</v>
      </c>
    </row>
    <row r="371" spans="1:9" x14ac:dyDescent="0.2">
      <c r="A371" s="1" t="s">
        <v>83</v>
      </c>
      <c r="B371" s="1" t="s">
        <v>115</v>
      </c>
      <c r="C371" s="1" t="s">
        <v>464</v>
      </c>
      <c r="D371" s="2">
        <v>409</v>
      </c>
      <c r="E371" s="2">
        <v>862</v>
      </c>
      <c r="F371" s="2">
        <f t="shared" si="15"/>
        <v>1271</v>
      </c>
      <c r="G371" s="3">
        <f t="shared" si="16"/>
        <v>0.32179386309992131</v>
      </c>
      <c r="H371" s="3">
        <f t="shared" si="17"/>
        <v>0.67820613690007869</v>
      </c>
      <c r="I371" s="1" t="s">
        <v>129</v>
      </c>
    </row>
    <row r="372" spans="1:9" x14ac:dyDescent="0.2">
      <c r="A372" s="1" t="s">
        <v>83</v>
      </c>
      <c r="B372" s="1" t="s">
        <v>115</v>
      </c>
      <c r="C372" s="1" t="s">
        <v>465</v>
      </c>
      <c r="D372" s="2">
        <v>369</v>
      </c>
      <c r="E372" s="2">
        <v>747</v>
      </c>
      <c r="F372" s="2">
        <f t="shared" si="15"/>
        <v>1116</v>
      </c>
      <c r="G372" s="3">
        <f t="shared" si="16"/>
        <v>0.33064516129032256</v>
      </c>
      <c r="H372" s="3">
        <f t="shared" si="17"/>
        <v>0.66935483870967738</v>
      </c>
      <c r="I372" s="1" t="s">
        <v>129</v>
      </c>
    </row>
    <row r="373" spans="1:9" x14ac:dyDescent="0.2">
      <c r="A373" s="1" t="s">
        <v>83</v>
      </c>
      <c r="B373" s="1" t="s">
        <v>116</v>
      </c>
      <c r="C373" s="1" t="s">
        <v>116</v>
      </c>
      <c r="D373" s="2">
        <v>208</v>
      </c>
      <c r="E373" s="2">
        <v>230</v>
      </c>
      <c r="F373" s="2">
        <f t="shared" si="15"/>
        <v>438</v>
      </c>
      <c r="G373" s="3">
        <f t="shared" si="16"/>
        <v>0.47488584474885842</v>
      </c>
      <c r="H373" s="3">
        <f t="shared" si="17"/>
        <v>0.52511415525114158</v>
      </c>
      <c r="I373" s="1" t="s">
        <v>129</v>
      </c>
    </row>
    <row r="374" spans="1:9" x14ac:dyDescent="0.2">
      <c r="A374" s="1" t="s">
        <v>83</v>
      </c>
      <c r="B374" s="1" t="s">
        <v>117</v>
      </c>
      <c r="C374" s="1" t="s">
        <v>466</v>
      </c>
      <c r="D374" s="2">
        <v>409</v>
      </c>
      <c r="E374" s="2">
        <v>576</v>
      </c>
      <c r="F374" s="2">
        <f t="shared" si="15"/>
        <v>985</v>
      </c>
      <c r="G374" s="3">
        <f t="shared" si="16"/>
        <v>0.4152284263959391</v>
      </c>
      <c r="H374" s="3">
        <f t="shared" si="17"/>
        <v>0.58477157360406096</v>
      </c>
      <c r="I374" s="1" t="s">
        <v>129</v>
      </c>
    </row>
    <row r="375" spans="1:9" x14ac:dyDescent="0.2">
      <c r="A375" s="1" t="s">
        <v>83</v>
      </c>
      <c r="B375" s="1" t="s">
        <v>117</v>
      </c>
      <c r="C375" s="1" t="s">
        <v>467</v>
      </c>
      <c r="D375" s="2">
        <v>345</v>
      </c>
      <c r="E375" s="2">
        <v>534</v>
      </c>
      <c r="F375" s="2">
        <f t="shared" si="15"/>
        <v>879</v>
      </c>
      <c r="G375" s="3">
        <f t="shared" si="16"/>
        <v>0.39249146757679182</v>
      </c>
      <c r="H375" s="3">
        <f t="shared" si="17"/>
        <v>0.60750853242320824</v>
      </c>
      <c r="I375" s="1" t="s">
        <v>129</v>
      </c>
    </row>
    <row r="376" spans="1:9" x14ac:dyDescent="0.2">
      <c r="A376" s="1" t="s">
        <v>83</v>
      </c>
      <c r="B376" s="1" t="s">
        <v>117</v>
      </c>
      <c r="C376" s="1" t="s">
        <v>468</v>
      </c>
      <c r="D376" s="2">
        <v>458</v>
      </c>
      <c r="E376" s="2">
        <v>461</v>
      </c>
      <c r="F376" s="2">
        <f t="shared" si="15"/>
        <v>919</v>
      </c>
      <c r="G376" s="3">
        <f t="shared" si="16"/>
        <v>0.49836779107725787</v>
      </c>
      <c r="H376" s="3">
        <f t="shared" si="17"/>
        <v>0.50163220892274207</v>
      </c>
      <c r="I376" s="1" t="s">
        <v>129</v>
      </c>
    </row>
    <row r="377" spans="1:9" x14ac:dyDescent="0.2">
      <c r="A377" s="1" t="s">
        <v>83</v>
      </c>
      <c r="B377" s="1" t="s">
        <v>117</v>
      </c>
      <c r="C377" s="1" t="s">
        <v>469</v>
      </c>
      <c r="D377" s="2">
        <v>237</v>
      </c>
      <c r="E377" s="2">
        <v>346</v>
      </c>
      <c r="F377" s="2">
        <f t="shared" si="15"/>
        <v>583</v>
      </c>
      <c r="G377" s="3">
        <f t="shared" si="16"/>
        <v>0.40651801029159518</v>
      </c>
      <c r="H377" s="3">
        <f t="shared" si="17"/>
        <v>0.59348198970840482</v>
      </c>
      <c r="I377" s="1" t="s">
        <v>129</v>
      </c>
    </row>
    <row r="378" spans="1:9" x14ac:dyDescent="0.2">
      <c r="A378" s="1" t="s">
        <v>83</v>
      </c>
      <c r="B378" s="1" t="s">
        <v>118</v>
      </c>
      <c r="C378" s="1" t="s">
        <v>470</v>
      </c>
      <c r="D378" s="2">
        <v>437</v>
      </c>
      <c r="E378" s="2">
        <v>323</v>
      </c>
      <c r="F378" s="2">
        <f t="shared" si="15"/>
        <v>760</v>
      </c>
      <c r="G378" s="3">
        <f t="shared" si="16"/>
        <v>0.57499999999999996</v>
      </c>
      <c r="H378" s="3">
        <f t="shared" si="17"/>
        <v>0.42499999999999999</v>
      </c>
      <c r="I378" s="1" t="s">
        <v>129</v>
      </c>
    </row>
    <row r="379" spans="1:9" x14ac:dyDescent="0.2">
      <c r="A379" s="1" t="s">
        <v>83</v>
      </c>
      <c r="B379" s="1" t="s">
        <v>118</v>
      </c>
      <c r="C379" s="1" t="s">
        <v>471</v>
      </c>
      <c r="D379" s="2">
        <v>346</v>
      </c>
      <c r="E379" s="2">
        <v>281</v>
      </c>
      <c r="F379" s="2">
        <f t="shared" si="15"/>
        <v>627</v>
      </c>
      <c r="G379" s="3">
        <f t="shared" si="16"/>
        <v>0.55183413078149923</v>
      </c>
      <c r="H379" s="3">
        <f t="shared" si="17"/>
        <v>0.44816586921850082</v>
      </c>
      <c r="I379" s="1" t="s">
        <v>129</v>
      </c>
    </row>
    <row r="380" spans="1:9" x14ac:dyDescent="0.2">
      <c r="A380" s="1" t="s">
        <v>83</v>
      </c>
      <c r="B380" s="1" t="s">
        <v>118</v>
      </c>
      <c r="C380" s="1" t="s">
        <v>472</v>
      </c>
      <c r="D380" s="2">
        <v>499</v>
      </c>
      <c r="E380" s="2">
        <v>464</v>
      </c>
      <c r="F380" s="2">
        <f t="shared" si="15"/>
        <v>963</v>
      </c>
      <c r="G380" s="3">
        <f t="shared" si="16"/>
        <v>0.51817237798546212</v>
      </c>
      <c r="H380" s="3">
        <f t="shared" si="17"/>
        <v>0.48182762201453788</v>
      </c>
      <c r="I380" s="1" t="s">
        <v>129</v>
      </c>
    </row>
    <row r="381" spans="1:9" x14ac:dyDescent="0.2">
      <c r="A381" s="1" t="s">
        <v>83</v>
      </c>
      <c r="B381" s="1" t="s">
        <v>119</v>
      </c>
      <c r="C381" s="1" t="s">
        <v>473</v>
      </c>
      <c r="D381" s="2">
        <v>493</v>
      </c>
      <c r="E381" s="2">
        <v>653</v>
      </c>
      <c r="F381" s="2">
        <f t="shared" si="15"/>
        <v>1146</v>
      </c>
      <c r="G381" s="3">
        <f t="shared" si="16"/>
        <v>0.43019197207678883</v>
      </c>
      <c r="H381" s="3">
        <f t="shared" si="17"/>
        <v>0.56980802792321117</v>
      </c>
      <c r="I381" s="1" t="s">
        <v>129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workbookViewId="0"/>
  </sheetViews>
  <sheetFormatPr baseColWidth="10" defaultColWidth="8.83203125" defaultRowHeight="15" x14ac:dyDescent="0.2"/>
  <cols>
    <col min="1" max="1" width="8" customWidth="1"/>
    <col min="2" max="2" width="95" customWidth="1"/>
    <col min="3" max="3" width="26" customWidth="1"/>
    <col min="4" max="4" width="15" customWidth="1"/>
    <col min="5" max="5" width="26" customWidth="1"/>
    <col min="6" max="6" width="30" customWidth="1"/>
  </cols>
  <sheetData>
    <row r="1" spans="1:6" x14ac:dyDescent="0.2">
      <c r="A1" s="1" t="s">
        <v>474</v>
      </c>
    </row>
    <row r="2" spans="1:6" x14ac:dyDescent="0.2">
      <c r="A2" s="1" t="s">
        <v>475</v>
      </c>
    </row>
    <row r="3" spans="1:6" x14ac:dyDescent="0.2">
      <c r="A3" s="1" t="s">
        <v>476</v>
      </c>
    </row>
    <row r="5" spans="1:6" x14ac:dyDescent="0.2">
      <c r="A5" s="1" t="s">
        <v>477</v>
      </c>
      <c r="B5" s="1" t="s">
        <v>478</v>
      </c>
      <c r="C5" s="1" t="s">
        <v>479</v>
      </c>
      <c r="D5" s="1" t="s">
        <v>480</v>
      </c>
      <c r="E5" s="1" t="s">
        <v>481</v>
      </c>
      <c r="F5" s="1" t="s">
        <v>482</v>
      </c>
    </row>
    <row r="6" spans="1:6" x14ac:dyDescent="0.2">
      <c r="A6" s="1">
        <v>1</v>
      </c>
      <c r="B6" s="1" t="s">
        <v>483</v>
      </c>
      <c r="C6" s="1" t="s">
        <v>484</v>
      </c>
      <c r="D6" s="4">
        <v>0.9957831227784103</v>
      </c>
      <c r="E6" s="4">
        <v>0.45697444316811808</v>
      </c>
      <c r="F6" s="5">
        <v>13.718</v>
      </c>
    </row>
    <row r="7" spans="1:6" x14ac:dyDescent="0.2">
      <c r="A7" s="1">
        <v>2</v>
      </c>
      <c r="B7" s="1" t="s">
        <v>485</v>
      </c>
      <c r="C7" s="1" t="s">
        <v>486</v>
      </c>
      <c r="D7" s="4">
        <v>3.4368538590700201E-3</v>
      </c>
      <c r="E7" s="4">
        <v>0.44257856762254122</v>
      </c>
      <c r="F7" s="5">
        <v>4.7300000000000002E-2</v>
      </c>
    </row>
    <row r="8" spans="1:6" x14ac:dyDescent="0.2">
      <c r="A8" s="1">
        <v>3</v>
      </c>
      <c r="B8" s="1" t="s">
        <v>487</v>
      </c>
      <c r="C8" s="1" t="s">
        <v>488</v>
      </c>
      <c r="D8" s="4">
        <v>7.8002336251969961E-4</v>
      </c>
      <c r="E8" s="4">
        <v>0.1004469892093407</v>
      </c>
      <c r="F8" s="5">
        <v>1.0699999999999999E-2</v>
      </c>
    </row>
    <row r="9" spans="1:6" x14ac:dyDescent="0.2">
      <c r="A9" s="1">
        <v>4</v>
      </c>
      <c r="B9" s="1" t="s">
        <v>489</v>
      </c>
      <c r="C9" s="1" t="s">
        <v>486</v>
      </c>
      <c r="D9" s="4">
        <v>0</v>
      </c>
      <c r="E9" s="4">
        <v>0</v>
      </c>
      <c r="F9" s="5">
        <v>0</v>
      </c>
    </row>
    <row r="10" spans="1:6" x14ac:dyDescent="0.2">
      <c r="A10" s="1">
        <v>5</v>
      </c>
      <c r="B10" s="1" t="s">
        <v>490</v>
      </c>
      <c r="C10" s="1" t="s">
        <v>486</v>
      </c>
      <c r="D10" s="4">
        <v>0</v>
      </c>
      <c r="E10" s="4">
        <v>0</v>
      </c>
      <c r="F10" s="5">
        <v>-6.9999999999999999E-4</v>
      </c>
    </row>
    <row r="11" spans="1:6" x14ac:dyDescent="0.2">
      <c r="A11" s="1">
        <v>6</v>
      </c>
      <c r="B11" s="1" t="s">
        <v>491</v>
      </c>
      <c r="C11" s="1" t="s">
        <v>486</v>
      </c>
      <c r="D11" s="4">
        <v>0</v>
      </c>
      <c r="E11" s="4">
        <v>0</v>
      </c>
      <c r="F11" s="5">
        <v>-1E-3</v>
      </c>
    </row>
    <row r="12" spans="1:6" x14ac:dyDescent="0.2">
      <c r="A12" s="1">
        <v>7</v>
      </c>
      <c r="B12" s="1" t="s">
        <v>492</v>
      </c>
      <c r="C12" s="1" t="s">
        <v>484</v>
      </c>
      <c r="D12" s="4">
        <v>0</v>
      </c>
      <c r="E12" s="4">
        <v>0</v>
      </c>
      <c r="F12" s="5">
        <v>-1.1000000000000001E-3</v>
      </c>
    </row>
    <row r="13" spans="1:6" x14ac:dyDescent="0.2">
      <c r="A13" s="1">
        <v>8</v>
      </c>
      <c r="B13" s="1" t="s">
        <v>493</v>
      </c>
      <c r="C13" s="1" t="s">
        <v>488</v>
      </c>
      <c r="D13" s="4">
        <v>0</v>
      </c>
      <c r="E13" s="4">
        <v>0</v>
      </c>
      <c r="F13" s="5">
        <v>-1.5E-3</v>
      </c>
    </row>
    <row r="14" spans="1:6" x14ac:dyDescent="0.2">
      <c r="A14" s="1">
        <v>9</v>
      </c>
      <c r="B14" s="1" t="s">
        <v>494</v>
      </c>
      <c r="C14" s="1" t="s">
        <v>484</v>
      </c>
      <c r="D14" s="4">
        <v>0</v>
      </c>
      <c r="E14" s="4">
        <v>0</v>
      </c>
      <c r="F14" s="5">
        <v>-1.9E-3</v>
      </c>
    </row>
    <row r="15" spans="1:6" x14ac:dyDescent="0.2">
      <c r="A15" s="1">
        <v>10</v>
      </c>
      <c r="B15" s="1" t="s">
        <v>495</v>
      </c>
      <c r="C15" s="1" t="s">
        <v>484</v>
      </c>
      <c r="D15" s="4">
        <v>0</v>
      </c>
      <c r="E15" s="4">
        <v>0</v>
      </c>
      <c r="F15" s="5">
        <v>-4.3E-3</v>
      </c>
    </row>
    <row r="16" spans="1:6" x14ac:dyDescent="0.2">
      <c r="A16" s="1">
        <v>11</v>
      </c>
      <c r="B16" s="1" t="s">
        <v>496</v>
      </c>
      <c r="C16" s="1" t="s">
        <v>488</v>
      </c>
      <c r="D16" s="4">
        <v>0</v>
      </c>
      <c r="E16" s="4">
        <v>0</v>
      </c>
      <c r="F16" s="5">
        <v>-5.1999999999999998E-3</v>
      </c>
    </row>
    <row r="17" spans="1:6" x14ac:dyDescent="0.2">
      <c r="A17" s="1">
        <v>12</v>
      </c>
      <c r="B17" s="1" t="s">
        <v>497</v>
      </c>
      <c r="C17" s="1" t="s">
        <v>484</v>
      </c>
      <c r="D17" s="4">
        <v>0</v>
      </c>
      <c r="E17" s="4">
        <v>0</v>
      </c>
      <c r="F17" s="5">
        <v>-5.4999999999999997E-3</v>
      </c>
    </row>
    <row r="18" spans="1:6" x14ac:dyDescent="0.2">
      <c r="A18" s="1">
        <v>13</v>
      </c>
      <c r="B18" s="1" t="s">
        <v>498</v>
      </c>
      <c r="C18" s="1" t="s">
        <v>488</v>
      </c>
      <c r="D18" s="4">
        <v>0</v>
      </c>
      <c r="E18" s="4">
        <v>0</v>
      </c>
      <c r="F18" s="5">
        <v>-5.5999999999999999E-3</v>
      </c>
    </row>
    <row r="19" spans="1:6" x14ac:dyDescent="0.2">
      <c r="A19" s="1">
        <v>14</v>
      </c>
      <c r="B19" s="1" t="s">
        <v>499</v>
      </c>
      <c r="C19" s="1" t="s">
        <v>488</v>
      </c>
      <c r="D19" s="4">
        <v>0</v>
      </c>
      <c r="E19" s="4">
        <v>0</v>
      </c>
      <c r="F19" s="5">
        <v>-6.6E-3</v>
      </c>
    </row>
    <row r="20" spans="1:6" x14ac:dyDescent="0.2">
      <c r="A20" s="1">
        <v>15</v>
      </c>
      <c r="B20" s="1" t="s">
        <v>500</v>
      </c>
      <c r="C20" s="1" t="s">
        <v>488</v>
      </c>
      <c r="D20" s="4">
        <v>0</v>
      </c>
      <c r="E20" s="4">
        <v>0</v>
      </c>
      <c r="F20" s="5">
        <v>-6.7999999999999996E-3</v>
      </c>
    </row>
    <row r="21" spans="1:6" x14ac:dyDescent="0.2">
      <c r="A21" s="1">
        <v>16</v>
      </c>
      <c r="B21" s="1" t="s">
        <v>501</v>
      </c>
      <c r="C21" s="1" t="s">
        <v>488</v>
      </c>
      <c r="D21" s="4">
        <v>0</v>
      </c>
      <c r="E21" s="4">
        <v>0</v>
      </c>
      <c r="F21" s="5">
        <v>-7.9000000000000008E-3</v>
      </c>
    </row>
    <row r="22" spans="1:6" x14ac:dyDescent="0.2">
      <c r="A22" s="1">
        <v>17</v>
      </c>
      <c r="B22" s="1" t="s">
        <v>502</v>
      </c>
      <c r="C22" s="1" t="s">
        <v>484</v>
      </c>
      <c r="D22" s="4">
        <v>0</v>
      </c>
      <c r="E22" s="4">
        <v>0</v>
      </c>
      <c r="F22" s="5">
        <v>-8.9999999999999993E-3</v>
      </c>
    </row>
    <row r="23" spans="1:6" x14ac:dyDescent="0.2">
      <c r="A23" s="1">
        <v>18</v>
      </c>
      <c r="B23" s="1" t="s">
        <v>503</v>
      </c>
      <c r="C23" s="1" t="s">
        <v>484</v>
      </c>
      <c r="D23" s="4">
        <v>0</v>
      </c>
      <c r="E23" s="4">
        <v>0</v>
      </c>
      <c r="F23" s="5">
        <v>-9.4000000000000004E-3</v>
      </c>
    </row>
    <row r="24" spans="1:6" x14ac:dyDescent="0.2">
      <c r="A24" s="1">
        <v>19</v>
      </c>
      <c r="B24" s="1" t="s">
        <v>504</v>
      </c>
      <c r="C24" s="1" t="s">
        <v>488</v>
      </c>
      <c r="D24" s="4">
        <v>0</v>
      </c>
      <c r="E24" s="4">
        <v>0</v>
      </c>
      <c r="F24" s="5">
        <v>-9.7999999999999997E-3</v>
      </c>
    </row>
    <row r="25" spans="1:6" x14ac:dyDescent="0.2">
      <c r="A25" s="1">
        <v>20</v>
      </c>
      <c r="B25" s="1" t="s">
        <v>505</v>
      </c>
      <c r="C25" s="1" t="s">
        <v>486</v>
      </c>
      <c r="D25" s="4">
        <v>0</v>
      </c>
      <c r="E25" s="4">
        <v>0</v>
      </c>
      <c r="F25" s="5">
        <v>-1.2500000000000001E-2</v>
      </c>
    </row>
    <row r="26" spans="1:6" x14ac:dyDescent="0.2">
      <c r="A26" s="1">
        <v>21</v>
      </c>
      <c r="B26" s="1" t="s">
        <v>506</v>
      </c>
      <c r="C26" s="1" t="s">
        <v>488</v>
      </c>
      <c r="D26" s="4">
        <v>0</v>
      </c>
      <c r="E26" s="4">
        <v>0</v>
      </c>
      <c r="F26" s="5">
        <v>-1.26E-2</v>
      </c>
    </row>
    <row r="27" spans="1:6" x14ac:dyDescent="0.2">
      <c r="A27" s="1">
        <v>22</v>
      </c>
      <c r="B27" s="1" t="s">
        <v>507</v>
      </c>
      <c r="C27" s="1" t="s">
        <v>486</v>
      </c>
      <c r="D27" s="4">
        <v>0</v>
      </c>
      <c r="E27" s="4">
        <v>0</v>
      </c>
      <c r="F27" s="5">
        <v>-3.1E-2</v>
      </c>
    </row>
    <row r="28" spans="1:6" x14ac:dyDescent="0.2">
      <c r="B28" s="1" t="s">
        <v>508</v>
      </c>
      <c r="D28" s="4">
        <v>1</v>
      </c>
      <c r="E28" s="4">
        <v>1</v>
      </c>
    </row>
    <row r="30" spans="1:6" x14ac:dyDescent="0.2">
      <c r="B30" s="1" t="s">
        <v>479</v>
      </c>
      <c r="D30" s="1" t="s">
        <v>480</v>
      </c>
      <c r="E30" s="1" t="s">
        <v>481</v>
      </c>
    </row>
    <row r="31" spans="1:6" x14ac:dyDescent="0.2">
      <c r="B31" s="1" t="s">
        <v>484</v>
      </c>
      <c r="D31" s="4">
        <v>0.9957831227784103</v>
      </c>
      <c r="E31" s="4">
        <v>0.45697444316811808</v>
      </c>
    </row>
    <row r="32" spans="1:6" x14ac:dyDescent="0.2">
      <c r="B32" s="1" t="s">
        <v>486</v>
      </c>
      <c r="D32" s="4">
        <v>3.4368538590700201E-3</v>
      </c>
      <c r="E32" s="4">
        <v>0.44257856762254122</v>
      </c>
    </row>
    <row r="33" spans="2:5" x14ac:dyDescent="0.2">
      <c r="B33" s="1" t="s">
        <v>488</v>
      </c>
      <c r="D33" s="4">
        <v>7.8002336251969961E-4</v>
      </c>
      <c r="E33" s="4">
        <v>0.1004469892093407</v>
      </c>
    </row>
    <row r="35" spans="2:5" x14ac:dyDescent="0.2">
      <c r="B35" s="1" t="s">
        <v>509</v>
      </c>
    </row>
    <row r="36" spans="2:5" x14ac:dyDescent="0.2">
      <c r="B36" s="1" t="s">
        <v>510</v>
      </c>
    </row>
    <row r="38" spans="2:5" x14ac:dyDescent="0.2">
      <c r="B38" s="1" t="s">
        <v>511</v>
      </c>
    </row>
    <row r="39" spans="2:5" x14ac:dyDescent="0.2">
      <c r="B39" s="1" t="s">
        <v>512</v>
      </c>
    </row>
    <row r="40" spans="2:5" x14ac:dyDescent="0.2">
      <c r="B40" s="1" t="s">
        <v>513</v>
      </c>
    </row>
    <row r="41" spans="2:5" x14ac:dyDescent="0.2">
      <c r="B41" s="1" t="s">
        <v>514</v>
      </c>
    </row>
    <row r="42" spans="2:5" x14ac:dyDescent="0.2">
      <c r="B42" s="1" t="s">
        <v>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"/>
  <sheetViews>
    <sheetView workbookViewId="0"/>
  </sheetViews>
  <sheetFormatPr baseColWidth="10" defaultColWidth="8.83203125" defaultRowHeight="15" x14ac:dyDescent="0.2"/>
  <cols>
    <col min="1" max="1" width="14" customWidth="1"/>
    <col min="2" max="2" width="28" customWidth="1"/>
    <col min="3" max="3" width="14" customWidth="1"/>
    <col min="4" max="4" width="16" customWidth="1"/>
    <col min="6" max="6" width="12" customWidth="1"/>
    <col min="7" max="7" width="13" customWidth="1"/>
    <col min="8" max="8" width="15" customWidth="1"/>
    <col min="9" max="9" width="26" customWidth="1"/>
    <col min="10" max="10" width="14" customWidth="1"/>
    <col min="11" max="11" width="16" customWidth="1"/>
    <col min="12" max="12" width="14" customWidth="1"/>
    <col min="13" max="13" width="13" customWidth="1"/>
    <col min="14" max="14" width="20" customWidth="1"/>
  </cols>
  <sheetData>
    <row r="1" spans="1:14" x14ac:dyDescent="0.2">
      <c r="A1" s="7" t="s">
        <v>516</v>
      </c>
      <c r="B1" s="8"/>
      <c r="C1" s="8"/>
      <c r="D1" s="8"/>
      <c r="E1" s="8"/>
      <c r="F1" s="8"/>
      <c r="G1" s="8"/>
      <c r="H1" s="8"/>
      <c r="I1" s="8"/>
    </row>
    <row r="2" spans="1:14" x14ac:dyDescent="0.2">
      <c r="A2" s="1" t="s">
        <v>517</v>
      </c>
      <c r="B2" s="1"/>
      <c r="C2" s="1"/>
      <c r="D2" s="1"/>
      <c r="E2" s="1"/>
      <c r="F2" s="1"/>
      <c r="G2" s="1"/>
      <c r="H2" s="1"/>
      <c r="I2" s="1"/>
    </row>
    <row r="3" spans="1:14" x14ac:dyDescent="0.2">
      <c r="A3" s="7" t="s">
        <v>518</v>
      </c>
      <c r="B3" s="8"/>
      <c r="C3" s="8"/>
      <c r="D3" s="8"/>
      <c r="E3" s="8"/>
      <c r="F3" s="8"/>
      <c r="G3" s="8"/>
      <c r="H3" s="8"/>
      <c r="I3" s="8"/>
    </row>
    <row r="4" spans="1:14" x14ac:dyDescent="0.2">
      <c r="A4" s="1" t="s">
        <v>3</v>
      </c>
      <c r="B4" s="1" t="s">
        <v>4</v>
      </c>
      <c r="C4" s="1" t="s">
        <v>5</v>
      </c>
      <c r="D4" s="1" t="s">
        <v>519</v>
      </c>
      <c r="E4" s="1" t="s">
        <v>7</v>
      </c>
      <c r="F4" s="1" t="s">
        <v>8</v>
      </c>
      <c r="G4" s="1" t="s">
        <v>9</v>
      </c>
      <c r="H4" s="1" t="s">
        <v>10</v>
      </c>
      <c r="I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</row>
    <row r="6" spans="1:14" x14ac:dyDescent="0.2">
      <c r="A6" s="7" t="s">
        <v>520</v>
      </c>
      <c r="B6" s="8"/>
      <c r="C6" s="8"/>
      <c r="D6" s="8"/>
      <c r="E6" s="8"/>
      <c r="F6" s="8"/>
      <c r="G6" s="8"/>
      <c r="H6" s="8"/>
      <c r="I6" s="8"/>
    </row>
    <row r="7" spans="1:14" x14ac:dyDescent="0.2">
      <c r="A7" s="1" t="s">
        <v>12</v>
      </c>
      <c r="B7" s="1"/>
      <c r="C7" s="1" t="s">
        <v>521</v>
      </c>
      <c r="D7" s="1" t="s">
        <v>14</v>
      </c>
      <c r="E7" s="1" t="s">
        <v>15</v>
      </c>
      <c r="F7" s="1" t="s">
        <v>16</v>
      </c>
      <c r="G7" s="1" t="s">
        <v>522</v>
      </c>
      <c r="H7" s="1" t="s">
        <v>18</v>
      </c>
      <c r="I7" s="1" t="s">
        <v>19</v>
      </c>
      <c r="J7" s="1" t="s">
        <v>523</v>
      </c>
      <c r="K7" s="1" t="s">
        <v>524</v>
      </c>
      <c r="L7" s="1" t="s">
        <v>525</v>
      </c>
      <c r="M7" s="1" t="s">
        <v>526</v>
      </c>
      <c r="N7" s="1" t="s">
        <v>527</v>
      </c>
    </row>
    <row r="8" spans="1:14" x14ac:dyDescent="0.2">
      <c r="A8" s="1" t="s">
        <v>20</v>
      </c>
      <c r="B8" s="1" t="s">
        <v>21</v>
      </c>
      <c r="C8" s="2">
        <f>SUM(C12:C100)</f>
        <v>192508</v>
      </c>
      <c r="D8" s="2">
        <f>SUM(D12:D100)</f>
        <v>208868</v>
      </c>
      <c r="E8" s="2">
        <f>SUM(E12:E100)</f>
        <v>0</v>
      </c>
      <c r="F8" s="2">
        <f>C8+D8+E8</f>
        <v>401376</v>
      </c>
      <c r="G8" s="3">
        <f>IF(F8=0,"",C8/F8)</f>
        <v>0.47962010683249623</v>
      </c>
      <c r="H8" s="3">
        <f>IF(F8=0,"",D8/F8)</f>
        <v>0.52037989316750377</v>
      </c>
      <c r="I8" s="1" t="s">
        <v>528</v>
      </c>
      <c r="J8" s="2">
        <f>SUM(J12:J100)</f>
        <v>199626</v>
      </c>
      <c r="K8" s="2">
        <f>SUM(K12:K100)</f>
        <v>203688</v>
      </c>
      <c r="L8" s="2">
        <f>J8+K8</f>
        <v>403314</v>
      </c>
      <c r="M8" s="3">
        <f>IF(L8=0,"",J8/L8)</f>
        <v>0.49496422142548979</v>
      </c>
      <c r="N8" s="6">
        <f>IF(L8=0,"",(G8-M8)*100)</f>
        <v>-1.5344114592993563</v>
      </c>
    </row>
    <row r="9" spans="1:14" x14ac:dyDescent="0.2">
      <c r="A9" s="7" t="s">
        <v>529</v>
      </c>
      <c r="B9" s="8"/>
      <c r="C9" s="8"/>
      <c r="D9" s="8"/>
      <c r="E9" s="8"/>
      <c r="F9" s="8"/>
      <c r="G9" s="8"/>
      <c r="H9" s="8"/>
      <c r="I9" s="8"/>
    </row>
    <row r="10" spans="1:14" x14ac:dyDescent="0.2">
      <c r="A10" s="7" t="s">
        <v>24</v>
      </c>
      <c r="B10" s="8"/>
      <c r="C10" s="8"/>
      <c r="D10" s="8"/>
      <c r="E10" s="8"/>
      <c r="F10" s="8"/>
      <c r="G10" s="8"/>
      <c r="H10" s="8"/>
      <c r="I10" s="8"/>
    </row>
    <row r="11" spans="1:14" ht="31.5" customHeight="1" x14ac:dyDescent="0.2">
      <c r="A11" s="1" t="s">
        <v>25</v>
      </c>
      <c r="B11" s="1" t="s">
        <v>26</v>
      </c>
      <c r="C11" s="1" t="s">
        <v>521</v>
      </c>
      <c r="D11" s="1" t="s">
        <v>14</v>
      </c>
      <c r="E11" s="1" t="s">
        <v>15</v>
      </c>
      <c r="F11" s="1" t="s">
        <v>16</v>
      </c>
      <c r="G11" s="1" t="s">
        <v>522</v>
      </c>
      <c r="H11" s="1" t="s">
        <v>18</v>
      </c>
      <c r="I11" s="1" t="s">
        <v>27</v>
      </c>
      <c r="J11" s="1" t="s">
        <v>523</v>
      </c>
      <c r="K11" s="1" t="s">
        <v>524</v>
      </c>
      <c r="L11" s="1" t="s">
        <v>525</v>
      </c>
      <c r="M11" s="1" t="s">
        <v>526</v>
      </c>
      <c r="N11" s="1" t="s">
        <v>527</v>
      </c>
    </row>
    <row r="12" spans="1:14" x14ac:dyDescent="0.2">
      <c r="A12" s="1" t="s">
        <v>28</v>
      </c>
      <c r="B12" s="1" t="s">
        <v>29</v>
      </c>
      <c r="C12" s="2">
        <v>137</v>
      </c>
      <c r="D12" s="2">
        <v>300</v>
      </c>
      <c r="E12" s="2"/>
      <c r="F12" s="2">
        <v>437</v>
      </c>
      <c r="G12" s="3">
        <v>0.31350114416475972</v>
      </c>
      <c r="H12" s="3">
        <v>0.68649885583524028</v>
      </c>
      <c r="I12" s="1" t="s">
        <v>30</v>
      </c>
      <c r="J12" s="2">
        <v>181</v>
      </c>
      <c r="K12" s="2">
        <v>285</v>
      </c>
      <c r="L12" s="2">
        <v>466</v>
      </c>
      <c r="M12" s="3">
        <v>0.388412017167382</v>
      </c>
      <c r="N12" s="6">
        <v>-7.49</v>
      </c>
    </row>
    <row r="13" spans="1:14" x14ac:dyDescent="0.2">
      <c r="A13" s="1" t="s">
        <v>28</v>
      </c>
      <c r="B13" s="1" t="s">
        <v>31</v>
      </c>
      <c r="C13" s="2">
        <v>93</v>
      </c>
      <c r="D13" s="2">
        <v>311</v>
      </c>
      <c r="E13" s="2"/>
      <c r="F13" s="2">
        <v>404</v>
      </c>
      <c r="G13" s="3">
        <v>0.23019801980198021</v>
      </c>
      <c r="H13" s="3">
        <v>0.76980198019801982</v>
      </c>
      <c r="I13" s="1" t="s">
        <v>30</v>
      </c>
      <c r="J13" s="2">
        <v>118</v>
      </c>
      <c r="K13" s="2">
        <v>300</v>
      </c>
      <c r="L13" s="2">
        <v>418</v>
      </c>
      <c r="M13" s="3">
        <v>0.28229665071770332</v>
      </c>
      <c r="N13" s="6">
        <v>-5.21</v>
      </c>
    </row>
    <row r="14" spans="1:14" x14ac:dyDescent="0.2">
      <c r="A14" s="1" t="s">
        <v>28</v>
      </c>
      <c r="B14" s="1" t="s">
        <v>32</v>
      </c>
      <c r="C14" s="2">
        <v>134</v>
      </c>
      <c r="D14" s="2">
        <v>269</v>
      </c>
      <c r="E14" s="2"/>
      <c r="F14" s="2">
        <v>403</v>
      </c>
      <c r="G14" s="3">
        <v>0.33250620347394538</v>
      </c>
      <c r="H14" s="3">
        <v>0.66749379652605456</v>
      </c>
      <c r="I14" s="1" t="s">
        <v>30</v>
      </c>
      <c r="J14" s="2">
        <v>144</v>
      </c>
      <c r="K14" s="2">
        <v>310</v>
      </c>
      <c r="L14" s="2">
        <v>454</v>
      </c>
      <c r="M14" s="3">
        <v>0.31718061674008807</v>
      </c>
      <c r="N14" s="6">
        <v>1.53</v>
      </c>
    </row>
    <row r="15" spans="1:14" x14ac:dyDescent="0.2">
      <c r="A15" s="1" t="s">
        <v>28</v>
      </c>
      <c r="B15" s="1" t="s">
        <v>33</v>
      </c>
      <c r="C15" s="2">
        <v>395</v>
      </c>
      <c r="D15" s="2">
        <v>1181</v>
      </c>
      <c r="E15" s="2"/>
      <c r="F15" s="2">
        <v>1576</v>
      </c>
      <c r="G15" s="3">
        <v>0.25063451776649748</v>
      </c>
      <c r="H15" s="3">
        <v>0.74936548223350252</v>
      </c>
      <c r="I15" s="1" t="s">
        <v>30</v>
      </c>
      <c r="J15" s="2">
        <v>438</v>
      </c>
      <c r="K15" s="2">
        <v>1253</v>
      </c>
      <c r="L15" s="2">
        <v>1691</v>
      </c>
      <c r="M15" s="3">
        <v>0.25901833234772331</v>
      </c>
      <c r="N15" s="6">
        <v>-0.84</v>
      </c>
    </row>
    <row r="16" spans="1:14" x14ac:dyDescent="0.2">
      <c r="A16" s="1" t="s">
        <v>28</v>
      </c>
      <c r="B16" s="1" t="s">
        <v>34</v>
      </c>
      <c r="C16" s="2">
        <v>35</v>
      </c>
      <c r="D16" s="2">
        <v>77</v>
      </c>
      <c r="E16" s="2"/>
      <c r="F16" s="2">
        <v>112</v>
      </c>
      <c r="G16" s="3">
        <v>0.3125</v>
      </c>
      <c r="H16" s="3">
        <v>0.6875</v>
      </c>
      <c r="I16" s="1" t="s">
        <v>30</v>
      </c>
      <c r="J16" s="2">
        <v>38</v>
      </c>
      <c r="K16" s="2">
        <v>78</v>
      </c>
      <c r="L16" s="2">
        <v>116</v>
      </c>
      <c r="M16" s="3">
        <v>0.32758620689655171</v>
      </c>
      <c r="N16" s="6">
        <v>-1.51</v>
      </c>
    </row>
    <row r="17" spans="1:14" x14ac:dyDescent="0.2">
      <c r="A17" s="1" t="s">
        <v>28</v>
      </c>
      <c r="B17" s="1" t="s">
        <v>35</v>
      </c>
      <c r="C17" s="2">
        <v>617</v>
      </c>
      <c r="D17" s="2">
        <v>1816</v>
      </c>
      <c r="E17" s="2"/>
      <c r="F17" s="2">
        <v>2433</v>
      </c>
      <c r="G17" s="3">
        <v>0.25359638306617338</v>
      </c>
      <c r="H17" s="3">
        <v>0.74640361693382651</v>
      </c>
      <c r="I17" s="1" t="s">
        <v>30</v>
      </c>
      <c r="J17" s="2">
        <v>708</v>
      </c>
      <c r="K17" s="2">
        <v>1846</v>
      </c>
      <c r="L17" s="2">
        <v>2554</v>
      </c>
      <c r="M17" s="3">
        <v>0.27721221613155828</v>
      </c>
      <c r="N17" s="6">
        <v>-2.36</v>
      </c>
    </row>
    <row r="18" spans="1:14" x14ac:dyDescent="0.2">
      <c r="A18" s="1" t="s">
        <v>28</v>
      </c>
      <c r="B18" s="1" t="s">
        <v>36</v>
      </c>
      <c r="C18" s="2">
        <v>1007</v>
      </c>
      <c r="D18" s="2">
        <v>1418</v>
      </c>
      <c r="E18" s="2"/>
      <c r="F18" s="2">
        <v>2425</v>
      </c>
      <c r="G18" s="3">
        <v>0.41525773195876292</v>
      </c>
      <c r="H18" s="3">
        <v>0.58474226804123708</v>
      </c>
      <c r="I18" s="1" t="s">
        <v>30</v>
      </c>
      <c r="J18" s="2">
        <v>1104</v>
      </c>
      <c r="K18" s="2">
        <v>1481</v>
      </c>
      <c r="L18" s="2">
        <v>2585</v>
      </c>
      <c r="M18" s="3">
        <v>0.42707930367504843</v>
      </c>
      <c r="N18" s="6">
        <v>-1.18</v>
      </c>
    </row>
    <row r="19" spans="1:14" x14ac:dyDescent="0.2">
      <c r="A19" s="1" t="s">
        <v>28</v>
      </c>
      <c r="B19" s="1" t="s">
        <v>37</v>
      </c>
      <c r="C19" s="2">
        <v>298</v>
      </c>
      <c r="D19" s="2">
        <v>738</v>
      </c>
      <c r="E19" s="2"/>
      <c r="F19" s="2">
        <v>1036</v>
      </c>
      <c r="G19" s="3">
        <v>0.28764478764478763</v>
      </c>
      <c r="H19" s="3">
        <v>0.71235521235521237</v>
      </c>
      <c r="I19" s="1" t="s">
        <v>30</v>
      </c>
      <c r="J19" s="2">
        <v>351</v>
      </c>
      <c r="K19" s="2">
        <v>697</v>
      </c>
      <c r="L19" s="2">
        <v>1048</v>
      </c>
      <c r="M19" s="3">
        <v>0.33492366412213742</v>
      </c>
      <c r="N19" s="6">
        <v>-4.7300000000000004</v>
      </c>
    </row>
    <row r="20" spans="1:14" x14ac:dyDescent="0.2">
      <c r="A20" s="1" t="s">
        <v>28</v>
      </c>
      <c r="B20" s="1" t="s">
        <v>38</v>
      </c>
      <c r="C20" s="2">
        <v>547</v>
      </c>
      <c r="D20" s="2">
        <v>861</v>
      </c>
      <c r="E20" s="2"/>
      <c r="F20" s="2">
        <v>1408</v>
      </c>
      <c r="G20" s="3">
        <v>0.38849431818181818</v>
      </c>
      <c r="H20" s="3">
        <v>0.61150568181818177</v>
      </c>
      <c r="I20" s="1" t="s">
        <v>30</v>
      </c>
      <c r="J20" s="2">
        <v>575</v>
      </c>
      <c r="K20" s="2">
        <v>880</v>
      </c>
      <c r="L20" s="2">
        <v>1455</v>
      </c>
      <c r="M20" s="3">
        <v>0.3951890034364261</v>
      </c>
      <c r="N20" s="6">
        <v>-0.67</v>
      </c>
    </row>
    <row r="21" spans="1:14" x14ac:dyDescent="0.2">
      <c r="A21" s="1" t="s">
        <v>28</v>
      </c>
      <c r="B21" s="1" t="s">
        <v>39</v>
      </c>
      <c r="C21" s="2">
        <v>37</v>
      </c>
      <c r="D21" s="2">
        <v>101</v>
      </c>
      <c r="E21" s="2"/>
      <c r="F21" s="2">
        <v>138</v>
      </c>
      <c r="G21" s="3">
        <v>0.26811594202898548</v>
      </c>
      <c r="H21" s="3">
        <v>0.73188405797101452</v>
      </c>
      <c r="I21" s="1" t="s">
        <v>30</v>
      </c>
      <c r="J21" s="2">
        <v>38</v>
      </c>
      <c r="K21" s="2">
        <v>107</v>
      </c>
      <c r="L21" s="2">
        <v>145</v>
      </c>
      <c r="M21" s="3">
        <v>0.2620689655172414</v>
      </c>
      <c r="N21" s="6">
        <v>0.6</v>
      </c>
    </row>
    <row r="22" spans="1:14" x14ac:dyDescent="0.2">
      <c r="A22" s="1" t="s">
        <v>28</v>
      </c>
      <c r="B22" s="1" t="s">
        <v>40</v>
      </c>
      <c r="C22" s="2">
        <v>50</v>
      </c>
      <c r="D22" s="2">
        <v>214</v>
      </c>
      <c r="E22" s="2"/>
      <c r="F22" s="2">
        <v>264</v>
      </c>
      <c r="G22" s="3">
        <v>0.18939393939393939</v>
      </c>
      <c r="H22" s="3">
        <v>0.81060606060606055</v>
      </c>
      <c r="I22" s="1" t="s">
        <v>30</v>
      </c>
      <c r="J22" s="2">
        <v>58</v>
      </c>
      <c r="K22" s="2">
        <v>216</v>
      </c>
      <c r="L22" s="2">
        <v>274</v>
      </c>
      <c r="M22" s="3">
        <v>0.21167883211678831</v>
      </c>
      <c r="N22" s="6">
        <v>-2.23</v>
      </c>
    </row>
    <row r="23" spans="1:14" x14ac:dyDescent="0.2">
      <c r="A23" s="1" t="s">
        <v>28</v>
      </c>
      <c r="B23" s="1" t="s">
        <v>41</v>
      </c>
      <c r="C23" s="2">
        <v>906</v>
      </c>
      <c r="D23" s="2">
        <v>1358</v>
      </c>
      <c r="E23" s="2"/>
      <c r="F23" s="2">
        <v>2264</v>
      </c>
      <c r="G23" s="3">
        <v>0.40017667844522969</v>
      </c>
      <c r="H23" s="3">
        <v>0.59982332155477036</v>
      </c>
      <c r="I23" s="1" t="s">
        <v>30</v>
      </c>
      <c r="J23" s="2">
        <v>944</v>
      </c>
      <c r="K23" s="2">
        <v>1486</v>
      </c>
      <c r="L23" s="2">
        <v>2430</v>
      </c>
      <c r="M23" s="3">
        <v>0.38847736625514401</v>
      </c>
      <c r="N23" s="6">
        <v>1.17</v>
      </c>
    </row>
    <row r="24" spans="1:14" x14ac:dyDescent="0.2">
      <c r="A24" s="1" t="s">
        <v>28</v>
      </c>
      <c r="B24" s="1" t="s">
        <v>42</v>
      </c>
      <c r="C24" s="2">
        <v>459</v>
      </c>
      <c r="D24" s="2">
        <v>1222</v>
      </c>
      <c r="E24" s="2"/>
      <c r="F24" s="2">
        <v>1681</v>
      </c>
      <c r="G24" s="3">
        <v>0.27305175490779299</v>
      </c>
      <c r="H24" s="3">
        <v>0.72694824509220701</v>
      </c>
      <c r="I24" s="1" t="s">
        <v>30</v>
      </c>
      <c r="J24" s="2">
        <v>515</v>
      </c>
      <c r="K24" s="2">
        <v>1293</v>
      </c>
      <c r="L24" s="2">
        <v>1808</v>
      </c>
      <c r="M24" s="3">
        <v>0.28484513274336282</v>
      </c>
      <c r="N24" s="6">
        <v>-1.18</v>
      </c>
    </row>
    <row r="25" spans="1:14" x14ac:dyDescent="0.2">
      <c r="A25" s="1" t="s">
        <v>28</v>
      </c>
      <c r="B25" s="1" t="s">
        <v>43</v>
      </c>
      <c r="C25" s="2">
        <v>588</v>
      </c>
      <c r="D25" s="2">
        <v>1600</v>
      </c>
      <c r="E25" s="2"/>
      <c r="F25" s="2">
        <v>2188</v>
      </c>
      <c r="G25" s="3">
        <v>0.26873857404021939</v>
      </c>
      <c r="H25" s="3">
        <v>0.73126142595978061</v>
      </c>
      <c r="I25" s="1" t="s">
        <v>30</v>
      </c>
      <c r="J25" s="2">
        <v>694</v>
      </c>
      <c r="K25" s="2">
        <v>1695</v>
      </c>
      <c r="L25" s="2">
        <v>2389</v>
      </c>
      <c r="M25" s="3">
        <v>0.2904981163666806</v>
      </c>
      <c r="N25" s="6">
        <v>-2.1800000000000002</v>
      </c>
    </row>
    <row r="26" spans="1:14" x14ac:dyDescent="0.2">
      <c r="A26" s="1" t="s">
        <v>28</v>
      </c>
      <c r="B26" s="1" t="s">
        <v>44</v>
      </c>
      <c r="C26" s="2">
        <v>548</v>
      </c>
      <c r="D26" s="2">
        <v>908</v>
      </c>
      <c r="E26" s="2"/>
      <c r="F26" s="2">
        <v>1456</v>
      </c>
      <c r="G26" s="3">
        <v>0.37637362637362642</v>
      </c>
      <c r="H26" s="3">
        <v>0.62362637362637363</v>
      </c>
      <c r="I26" s="1" t="s">
        <v>30</v>
      </c>
      <c r="J26" s="2">
        <v>601</v>
      </c>
      <c r="K26" s="2">
        <v>955</v>
      </c>
      <c r="L26" s="2">
        <v>1556</v>
      </c>
      <c r="M26" s="3">
        <v>0.38624678663239081</v>
      </c>
      <c r="N26" s="6">
        <v>-0.99</v>
      </c>
    </row>
    <row r="27" spans="1:14" x14ac:dyDescent="0.2">
      <c r="A27" s="1" t="s">
        <v>28</v>
      </c>
      <c r="B27" s="1" t="s">
        <v>45</v>
      </c>
      <c r="C27" s="2">
        <v>90</v>
      </c>
      <c r="D27" s="2">
        <v>504</v>
      </c>
      <c r="E27" s="2"/>
      <c r="F27" s="2">
        <v>594</v>
      </c>
      <c r="G27" s="3">
        <v>0.15151515151515149</v>
      </c>
      <c r="H27" s="3">
        <v>0.84848484848484851</v>
      </c>
      <c r="I27" s="1" t="s">
        <v>30</v>
      </c>
      <c r="J27" s="2">
        <v>134</v>
      </c>
      <c r="K27" s="2">
        <v>505</v>
      </c>
      <c r="L27" s="2">
        <v>639</v>
      </c>
      <c r="M27" s="3">
        <v>0.20970266040688579</v>
      </c>
      <c r="N27" s="6">
        <v>-5.82</v>
      </c>
    </row>
    <row r="28" spans="1:14" x14ac:dyDescent="0.2">
      <c r="A28" s="1" t="s">
        <v>28</v>
      </c>
      <c r="B28" s="1" t="s">
        <v>46</v>
      </c>
      <c r="C28" s="2">
        <v>903</v>
      </c>
      <c r="D28" s="2">
        <v>1657</v>
      </c>
      <c r="E28" s="2"/>
      <c r="F28" s="2">
        <v>2560</v>
      </c>
      <c r="G28" s="3">
        <v>0.35273437499999999</v>
      </c>
      <c r="H28" s="3">
        <v>0.64726562499999996</v>
      </c>
      <c r="I28" s="1" t="s">
        <v>30</v>
      </c>
      <c r="J28" s="2">
        <v>981</v>
      </c>
      <c r="K28" s="2">
        <v>1740</v>
      </c>
      <c r="L28" s="2">
        <v>2721</v>
      </c>
      <c r="M28" s="3">
        <v>0.36052921719955899</v>
      </c>
      <c r="N28" s="6">
        <v>-0.78</v>
      </c>
    </row>
    <row r="29" spans="1:14" x14ac:dyDescent="0.2">
      <c r="A29" s="1" t="s">
        <v>28</v>
      </c>
      <c r="B29" s="1" t="s">
        <v>47</v>
      </c>
      <c r="C29" s="2">
        <v>52</v>
      </c>
      <c r="D29" s="2">
        <v>163</v>
      </c>
      <c r="E29" s="2"/>
      <c r="F29" s="2">
        <v>215</v>
      </c>
      <c r="G29" s="3">
        <v>0.24186046511627909</v>
      </c>
      <c r="H29" s="3">
        <v>0.75813953488372088</v>
      </c>
      <c r="I29" s="1" t="s">
        <v>30</v>
      </c>
      <c r="J29" s="2">
        <v>74</v>
      </c>
      <c r="K29" s="2">
        <v>162</v>
      </c>
      <c r="L29" s="2">
        <v>236</v>
      </c>
      <c r="M29" s="3">
        <v>0.3135593220338983</v>
      </c>
      <c r="N29" s="6">
        <v>-7.17</v>
      </c>
    </row>
    <row r="30" spans="1:14" x14ac:dyDescent="0.2">
      <c r="A30" s="1" t="s">
        <v>28</v>
      </c>
      <c r="B30" s="1" t="s">
        <v>48</v>
      </c>
      <c r="C30" s="2">
        <v>1672</v>
      </c>
      <c r="D30" s="2">
        <v>3560</v>
      </c>
      <c r="E30" s="2"/>
      <c r="F30" s="2">
        <v>5232</v>
      </c>
      <c r="G30" s="3">
        <v>0.31957186544342508</v>
      </c>
      <c r="H30" s="3">
        <v>0.68042813455657492</v>
      </c>
      <c r="I30" s="1" t="s">
        <v>30</v>
      </c>
      <c r="J30" s="2">
        <v>2047</v>
      </c>
      <c r="K30" s="2">
        <v>3702</v>
      </c>
      <c r="L30" s="2">
        <v>5749</v>
      </c>
      <c r="M30" s="3">
        <v>0.35606192381283702</v>
      </c>
      <c r="N30" s="6">
        <v>-3.65</v>
      </c>
    </row>
    <row r="31" spans="1:14" x14ac:dyDescent="0.2">
      <c r="A31" s="1" t="s">
        <v>28</v>
      </c>
      <c r="B31" s="1" t="s">
        <v>49</v>
      </c>
      <c r="C31" s="2">
        <v>635</v>
      </c>
      <c r="D31" s="2">
        <v>904</v>
      </c>
      <c r="E31" s="2"/>
      <c r="F31" s="2">
        <v>1539</v>
      </c>
      <c r="G31" s="3">
        <v>0.41260558804418451</v>
      </c>
      <c r="H31" s="3">
        <v>0.58739441195581543</v>
      </c>
      <c r="I31" s="1" t="s">
        <v>30</v>
      </c>
      <c r="J31" s="2">
        <v>660</v>
      </c>
      <c r="K31" s="2">
        <v>913</v>
      </c>
      <c r="L31" s="2">
        <v>1573</v>
      </c>
      <c r="M31" s="3">
        <v>0.41958041958041958</v>
      </c>
      <c r="N31" s="6">
        <v>-0.7</v>
      </c>
    </row>
    <row r="32" spans="1:14" x14ac:dyDescent="0.2">
      <c r="A32" s="1" t="s">
        <v>28</v>
      </c>
      <c r="B32" s="1" t="s">
        <v>50</v>
      </c>
      <c r="C32" s="2">
        <v>679</v>
      </c>
      <c r="D32" s="2">
        <v>1966</v>
      </c>
      <c r="E32" s="2"/>
      <c r="F32" s="2">
        <v>2645</v>
      </c>
      <c r="G32" s="3">
        <v>0.25671077504725898</v>
      </c>
      <c r="H32" s="3">
        <v>0.74328922495274097</v>
      </c>
      <c r="I32" s="1" t="s">
        <v>30</v>
      </c>
      <c r="J32" s="2">
        <v>802</v>
      </c>
      <c r="K32" s="2">
        <v>1955</v>
      </c>
      <c r="L32" s="2">
        <v>2757</v>
      </c>
      <c r="M32" s="3">
        <v>0.29089590134203852</v>
      </c>
      <c r="N32" s="6">
        <v>-3.42</v>
      </c>
    </row>
    <row r="33" spans="1:14" x14ac:dyDescent="0.2">
      <c r="A33" s="1" t="s">
        <v>28</v>
      </c>
      <c r="B33" s="1" t="s">
        <v>51</v>
      </c>
      <c r="C33" s="2">
        <v>280</v>
      </c>
      <c r="D33" s="2">
        <v>908</v>
      </c>
      <c r="E33" s="2"/>
      <c r="F33" s="2">
        <v>1188</v>
      </c>
      <c r="G33" s="3">
        <v>0.2356902356902357</v>
      </c>
      <c r="H33" s="3">
        <v>0.76430976430976427</v>
      </c>
      <c r="I33" s="1" t="s">
        <v>30</v>
      </c>
      <c r="J33" s="2">
        <v>351</v>
      </c>
      <c r="K33" s="2">
        <v>849</v>
      </c>
      <c r="L33" s="2">
        <v>1200</v>
      </c>
      <c r="M33" s="3">
        <v>0.29249999999999998</v>
      </c>
      <c r="N33" s="6">
        <v>-5.68</v>
      </c>
    </row>
    <row r="34" spans="1:14" x14ac:dyDescent="0.2">
      <c r="A34" s="1" t="s">
        <v>28</v>
      </c>
      <c r="B34" s="1" t="s">
        <v>52</v>
      </c>
      <c r="C34" s="2">
        <v>61</v>
      </c>
      <c r="D34" s="2">
        <v>83</v>
      </c>
      <c r="E34" s="2"/>
      <c r="F34" s="2">
        <v>144</v>
      </c>
      <c r="G34" s="3">
        <v>0.4236111111111111</v>
      </c>
      <c r="H34" s="3">
        <v>0.57638888888888884</v>
      </c>
      <c r="I34" s="1" t="s">
        <v>30</v>
      </c>
      <c r="J34" s="2">
        <v>58</v>
      </c>
      <c r="K34" s="2">
        <v>105</v>
      </c>
      <c r="L34" s="2">
        <v>163</v>
      </c>
      <c r="M34" s="3">
        <v>0.35582822085889571</v>
      </c>
      <c r="N34" s="6">
        <v>6.78</v>
      </c>
    </row>
    <row r="35" spans="1:14" x14ac:dyDescent="0.2">
      <c r="A35" s="1" t="s">
        <v>53</v>
      </c>
      <c r="B35" s="1" t="s">
        <v>54</v>
      </c>
      <c r="C35" s="2">
        <v>632</v>
      </c>
      <c r="D35" s="2">
        <v>782</v>
      </c>
      <c r="E35" s="2"/>
      <c r="F35" s="2">
        <v>1414</v>
      </c>
      <c r="G35" s="3">
        <v>0.44695898161244701</v>
      </c>
      <c r="H35" s="3">
        <v>0.55304101838755304</v>
      </c>
      <c r="I35" s="1" t="s">
        <v>30</v>
      </c>
      <c r="J35" s="2">
        <v>601</v>
      </c>
      <c r="K35" s="2">
        <v>766</v>
      </c>
      <c r="L35" s="2">
        <v>1367</v>
      </c>
      <c r="M35" s="3">
        <v>0.43964886613021209</v>
      </c>
      <c r="N35" s="6">
        <v>0.73</v>
      </c>
    </row>
    <row r="36" spans="1:14" x14ac:dyDescent="0.2">
      <c r="A36" s="1" t="s">
        <v>53</v>
      </c>
      <c r="B36" s="1" t="s">
        <v>55</v>
      </c>
      <c r="C36" s="2">
        <v>26829</v>
      </c>
      <c r="D36" s="2">
        <v>14855</v>
      </c>
      <c r="E36" s="2"/>
      <c r="F36" s="2">
        <v>41684</v>
      </c>
      <c r="G36" s="3">
        <v>0.64362825064773055</v>
      </c>
      <c r="H36" s="3">
        <v>0.35637174935226951</v>
      </c>
      <c r="I36" s="1" t="s">
        <v>30</v>
      </c>
      <c r="J36" s="2">
        <v>26568</v>
      </c>
      <c r="K36" s="2">
        <v>14583</v>
      </c>
      <c r="L36" s="2">
        <v>41151</v>
      </c>
      <c r="M36" s="3">
        <v>0.64562222060217245</v>
      </c>
      <c r="N36" s="6">
        <v>-0.2</v>
      </c>
    </row>
    <row r="37" spans="1:14" x14ac:dyDescent="0.2">
      <c r="A37" s="1" t="s">
        <v>53</v>
      </c>
      <c r="B37" s="1" t="s">
        <v>56</v>
      </c>
      <c r="C37" s="2">
        <v>6556</v>
      </c>
      <c r="D37" s="2">
        <v>4083</v>
      </c>
      <c r="E37" s="2"/>
      <c r="F37" s="2">
        <v>10639</v>
      </c>
      <c r="G37" s="3">
        <v>0.61622332926026879</v>
      </c>
      <c r="H37" s="3">
        <v>0.38377667073973121</v>
      </c>
      <c r="I37" s="1" t="s">
        <v>30</v>
      </c>
      <c r="J37" s="2">
        <v>6612</v>
      </c>
      <c r="K37" s="2">
        <v>3834</v>
      </c>
      <c r="L37" s="2">
        <v>10446</v>
      </c>
      <c r="M37" s="3">
        <v>0.63296955772544516</v>
      </c>
      <c r="N37" s="6">
        <v>-1.67</v>
      </c>
    </row>
    <row r="38" spans="1:14" x14ac:dyDescent="0.2">
      <c r="A38" s="1" t="s">
        <v>53</v>
      </c>
      <c r="B38" s="1" t="s">
        <v>57</v>
      </c>
      <c r="C38" s="2">
        <v>1527</v>
      </c>
      <c r="D38" s="2">
        <v>1559</v>
      </c>
      <c r="E38" s="2"/>
      <c r="F38" s="2">
        <v>3086</v>
      </c>
      <c r="G38" s="3">
        <v>0.49481529488010367</v>
      </c>
      <c r="H38" s="3">
        <v>0.50518470511989633</v>
      </c>
      <c r="I38" s="1" t="s">
        <v>30</v>
      </c>
      <c r="J38" s="2">
        <v>1560</v>
      </c>
      <c r="K38" s="2">
        <v>1491</v>
      </c>
      <c r="L38" s="2">
        <v>3051</v>
      </c>
      <c r="M38" s="3">
        <v>0.51130776794493604</v>
      </c>
      <c r="N38" s="6">
        <v>-1.65</v>
      </c>
    </row>
    <row r="39" spans="1:14" x14ac:dyDescent="0.2">
      <c r="A39" s="1" t="s">
        <v>53</v>
      </c>
      <c r="B39" s="1" t="s">
        <v>58</v>
      </c>
      <c r="C39" s="2">
        <v>741</v>
      </c>
      <c r="D39" s="2">
        <v>830</v>
      </c>
      <c r="E39" s="2"/>
      <c r="F39" s="2">
        <v>1571</v>
      </c>
      <c r="G39" s="3">
        <v>0.47167409293443668</v>
      </c>
      <c r="H39" s="3">
        <v>0.52832590706556337</v>
      </c>
      <c r="I39" s="1" t="s">
        <v>30</v>
      </c>
      <c r="J39" s="2">
        <v>735</v>
      </c>
      <c r="K39" s="2">
        <v>804</v>
      </c>
      <c r="L39" s="2">
        <v>1539</v>
      </c>
      <c r="M39" s="3">
        <v>0.47758284600389861</v>
      </c>
      <c r="N39" s="6">
        <v>-0.59</v>
      </c>
    </row>
    <row r="40" spans="1:14" x14ac:dyDescent="0.2">
      <c r="A40" s="1" t="s">
        <v>53</v>
      </c>
      <c r="B40" s="1" t="s">
        <v>59</v>
      </c>
      <c r="C40" s="2">
        <v>905</v>
      </c>
      <c r="D40" s="2">
        <v>932</v>
      </c>
      <c r="E40" s="2"/>
      <c r="F40" s="2">
        <v>1837</v>
      </c>
      <c r="G40" s="3">
        <v>0.49265106151333699</v>
      </c>
      <c r="H40" s="3">
        <v>0.50734893848666307</v>
      </c>
      <c r="I40" s="1" t="s">
        <v>30</v>
      </c>
      <c r="J40" s="2">
        <v>899</v>
      </c>
      <c r="K40" s="2">
        <v>898</v>
      </c>
      <c r="L40" s="2">
        <v>1797</v>
      </c>
      <c r="M40" s="3">
        <v>0.50027824151363387</v>
      </c>
      <c r="N40" s="6">
        <v>-0.76</v>
      </c>
    </row>
    <row r="41" spans="1:14" x14ac:dyDescent="0.2">
      <c r="A41" s="1" t="s">
        <v>53</v>
      </c>
      <c r="B41" s="1" t="s">
        <v>60</v>
      </c>
      <c r="C41" s="2">
        <v>3541</v>
      </c>
      <c r="D41" s="2">
        <v>3317</v>
      </c>
      <c r="E41" s="2"/>
      <c r="F41" s="2">
        <v>6858</v>
      </c>
      <c r="G41" s="3">
        <v>0.51633129192184313</v>
      </c>
      <c r="H41" s="3">
        <v>0.48366870807815687</v>
      </c>
      <c r="I41" s="1" t="s">
        <v>30</v>
      </c>
      <c r="J41" s="2">
        <v>3663</v>
      </c>
      <c r="K41" s="2">
        <v>3236</v>
      </c>
      <c r="L41" s="2">
        <v>6899</v>
      </c>
      <c r="M41" s="3">
        <v>0.53094651398753445</v>
      </c>
      <c r="N41" s="6">
        <v>-1.46</v>
      </c>
    </row>
    <row r="42" spans="1:14" x14ac:dyDescent="0.2">
      <c r="A42" s="1" t="s">
        <v>53</v>
      </c>
      <c r="B42" s="1" t="s">
        <v>61</v>
      </c>
      <c r="C42" s="2">
        <v>1499</v>
      </c>
      <c r="D42" s="2">
        <v>843</v>
      </c>
      <c r="E42" s="2"/>
      <c r="F42" s="2">
        <v>2342</v>
      </c>
      <c r="G42" s="3">
        <v>0.64005123825789922</v>
      </c>
      <c r="H42" s="3">
        <v>0.35994876174210078</v>
      </c>
      <c r="I42" s="1" t="s">
        <v>30</v>
      </c>
      <c r="J42" s="2">
        <v>1433</v>
      </c>
      <c r="K42" s="2">
        <v>793</v>
      </c>
      <c r="L42" s="2">
        <v>2226</v>
      </c>
      <c r="M42" s="3">
        <v>0.64375561545372861</v>
      </c>
      <c r="N42" s="6">
        <v>-0.37</v>
      </c>
    </row>
    <row r="43" spans="1:14" x14ac:dyDescent="0.2">
      <c r="A43" s="1" t="s">
        <v>53</v>
      </c>
      <c r="B43" s="1" t="s">
        <v>62</v>
      </c>
      <c r="C43" s="2">
        <v>374</v>
      </c>
      <c r="D43" s="2">
        <v>365</v>
      </c>
      <c r="E43" s="2"/>
      <c r="F43" s="2">
        <v>739</v>
      </c>
      <c r="G43" s="3">
        <v>0.50608930987821377</v>
      </c>
      <c r="H43" s="3">
        <v>0.49391069012178618</v>
      </c>
      <c r="I43" s="1" t="s">
        <v>30</v>
      </c>
      <c r="J43" s="2">
        <v>379</v>
      </c>
      <c r="K43" s="2">
        <v>330</v>
      </c>
      <c r="L43" s="2">
        <v>709</v>
      </c>
      <c r="M43" s="3">
        <v>0.5345557122708039</v>
      </c>
      <c r="N43" s="6">
        <v>-2.85</v>
      </c>
    </row>
    <row r="44" spans="1:14" x14ac:dyDescent="0.2">
      <c r="A44" s="1" t="s">
        <v>53</v>
      </c>
      <c r="B44" s="1" t="s">
        <v>63</v>
      </c>
      <c r="C44" s="2">
        <v>606</v>
      </c>
      <c r="D44" s="2">
        <v>1448</v>
      </c>
      <c r="E44" s="2"/>
      <c r="F44" s="2">
        <v>2054</v>
      </c>
      <c r="G44" s="3">
        <v>0.29503407984420638</v>
      </c>
      <c r="H44" s="3">
        <v>0.70496592015579362</v>
      </c>
      <c r="I44" s="1" t="s">
        <v>30</v>
      </c>
      <c r="J44" s="2">
        <v>654</v>
      </c>
      <c r="K44" s="2">
        <v>1439</v>
      </c>
      <c r="L44" s="2">
        <v>2093</v>
      </c>
      <c r="M44" s="3">
        <v>0.3124701385570951</v>
      </c>
      <c r="N44" s="6">
        <v>-1.74</v>
      </c>
    </row>
    <row r="45" spans="1:14" x14ac:dyDescent="0.2">
      <c r="A45" s="1" t="s">
        <v>53</v>
      </c>
      <c r="B45" s="1" t="s">
        <v>64</v>
      </c>
      <c r="C45" s="2">
        <v>9945</v>
      </c>
      <c r="D45" s="2">
        <v>10490</v>
      </c>
      <c r="E45" s="2"/>
      <c r="F45" s="2">
        <v>20435</v>
      </c>
      <c r="G45" s="3">
        <v>0.486665035478346</v>
      </c>
      <c r="H45" s="3">
        <v>0.51333496452165406</v>
      </c>
      <c r="I45" s="1" t="s">
        <v>30</v>
      </c>
      <c r="J45" s="2">
        <v>10021</v>
      </c>
      <c r="K45" s="2">
        <v>10199</v>
      </c>
      <c r="L45" s="2">
        <v>20220</v>
      </c>
      <c r="M45" s="3">
        <v>0.49559841740850641</v>
      </c>
      <c r="N45" s="6">
        <v>-0.89</v>
      </c>
    </row>
    <row r="46" spans="1:14" x14ac:dyDescent="0.2">
      <c r="A46" s="1" t="s">
        <v>53</v>
      </c>
      <c r="B46" s="1" t="s">
        <v>65</v>
      </c>
      <c r="C46" s="2">
        <v>925</v>
      </c>
      <c r="D46" s="2">
        <v>1676</v>
      </c>
      <c r="E46" s="2"/>
      <c r="F46" s="2">
        <v>2601</v>
      </c>
      <c r="G46" s="3">
        <v>0.35563244905805458</v>
      </c>
      <c r="H46" s="3">
        <v>0.64436755094194542</v>
      </c>
      <c r="I46" s="1" t="s">
        <v>30</v>
      </c>
      <c r="J46" s="2">
        <v>985</v>
      </c>
      <c r="K46" s="2">
        <v>1586</v>
      </c>
      <c r="L46" s="2">
        <v>2571</v>
      </c>
      <c r="M46" s="3">
        <v>0.38311940879035389</v>
      </c>
      <c r="N46" s="6">
        <v>-2.75</v>
      </c>
    </row>
    <row r="47" spans="1:14" x14ac:dyDescent="0.2">
      <c r="A47" s="1" t="s">
        <v>53</v>
      </c>
      <c r="B47" s="1" t="s">
        <v>66</v>
      </c>
      <c r="C47" s="2">
        <v>529</v>
      </c>
      <c r="D47" s="2">
        <v>1035</v>
      </c>
      <c r="E47" s="2"/>
      <c r="F47" s="2">
        <v>1564</v>
      </c>
      <c r="G47" s="3">
        <v>0.33823529411764708</v>
      </c>
      <c r="H47" s="3">
        <v>0.66176470588235292</v>
      </c>
      <c r="I47" s="1" t="s">
        <v>30</v>
      </c>
      <c r="J47" s="2">
        <v>543</v>
      </c>
      <c r="K47" s="2">
        <v>990</v>
      </c>
      <c r="L47" s="2">
        <v>1533</v>
      </c>
      <c r="M47" s="3">
        <v>0.3542074363992172</v>
      </c>
      <c r="N47" s="6">
        <v>-1.6</v>
      </c>
    </row>
    <row r="48" spans="1:14" x14ac:dyDescent="0.2">
      <c r="A48" s="1" t="s">
        <v>53</v>
      </c>
      <c r="B48" s="1" t="s">
        <v>67</v>
      </c>
      <c r="C48" s="2">
        <v>802</v>
      </c>
      <c r="D48" s="2">
        <v>1897</v>
      </c>
      <c r="E48" s="2"/>
      <c r="F48" s="2">
        <v>2699</v>
      </c>
      <c r="G48" s="3">
        <v>0.29714709151537599</v>
      </c>
      <c r="H48" s="3">
        <v>0.7028529084846239</v>
      </c>
      <c r="I48" s="1" t="s">
        <v>30</v>
      </c>
      <c r="J48" s="2">
        <v>850</v>
      </c>
      <c r="K48" s="2">
        <v>1856</v>
      </c>
      <c r="L48" s="2">
        <v>2706</v>
      </c>
      <c r="M48" s="3">
        <v>0.31411677753141171</v>
      </c>
      <c r="N48" s="6">
        <v>-1.7</v>
      </c>
    </row>
    <row r="49" spans="1:14" x14ac:dyDescent="0.2">
      <c r="A49" s="1" t="s">
        <v>53</v>
      </c>
      <c r="B49" s="1" t="s">
        <v>68</v>
      </c>
      <c r="C49" s="2">
        <v>975</v>
      </c>
      <c r="D49" s="2">
        <v>919</v>
      </c>
      <c r="E49" s="2"/>
      <c r="F49" s="2">
        <v>1894</v>
      </c>
      <c r="G49" s="3">
        <v>0.51478352692713836</v>
      </c>
      <c r="H49" s="3">
        <v>0.48521647307286159</v>
      </c>
      <c r="I49" s="1" t="s">
        <v>30</v>
      </c>
      <c r="J49" s="2">
        <v>980</v>
      </c>
      <c r="K49" s="2">
        <v>872</v>
      </c>
      <c r="L49" s="2">
        <v>1852</v>
      </c>
      <c r="M49" s="3">
        <v>0.52915766738660908</v>
      </c>
      <c r="N49" s="6">
        <v>-1.44</v>
      </c>
    </row>
    <row r="50" spans="1:14" x14ac:dyDescent="0.2">
      <c r="A50" s="1" t="s">
        <v>53</v>
      </c>
      <c r="B50" s="1" t="s">
        <v>69</v>
      </c>
      <c r="C50" s="2">
        <v>3875</v>
      </c>
      <c r="D50" s="2">
        <v>6161</v>
      </c>
      <c r="E50" s="2"/>
      <c r="F50" s="2">
        <v>10036</v>
      </c>
      <c r="G50" s="3">
        <v>0.38611000398565171</v>
      </c>
      <c r="H50" s="3">
        <v>0.61388999601434835</v>
      </c>
      <c r="I50" s="1" t="s">
        <v>30</v>
      </c>
      <c r="J50" s="2">
        <v>4022</v>
      </c>
      <c r="K50" s="2">
        <v>5915</v>
      </c>
      <c r="L50" s="2">
        <v>9937</v>
      </c>
      <c r="M50" s="3">
        <v>0.40474992452450442</v>
      </c>
      <c r="N50" s="6">
        <v>-1.86</v>
      </c>
    </row>
    <row r="51" spans="1:14" x14ac:dyDescent="0.2">
      <c r="A51" s="1" t="s">
        <v>53</v>
      </c>
      <c r="B51" s="1" t="s">
        <v>70</v>
      </c>
      <c r="C51" s="2">
        <v>3844</v>
      </c>
      <c r="D51" s="2">
        <v>4322</v>
      </c>
      <c r="E51" s="2"/>
      <c r="F51" s="2">
        <v>8166</v>
      </c>
      <c r="G51" s="3">
        <v>0.47073230467793292</v>
      </c>
      <c r="H51" s="3">
        <v>0.52926769532206708</v>
      </c>
      <c r="I51" s="1" t="s">
        <v>30</v>
      </c>
      <c r="J51" s="2">
        <v>4010</v>
      </c>
      <c r="K51" s="2">
        <v>4104</v>
      </c>
      <c r="L51" s="2">
        <v>8114</v>
      </c>
      <c r="M51" s="3">
        <v>0.49420754251910282</v>
      </c>
      <c r="N51" s="6">
        <v>-2.35</v>
      </c>
    </row>
    <row r="52" spans="1:14" x14ac:dyDescent="0.2">
      <c r="A52" s="1" t="s">
        <v>53</v>
      </c>
      <c r="B52" s="1" t="s">
        <v>71</v>
      </c>
      <c r="C52" s="2">
        <v>842</v>
      </c>
      <c r="D52" s="2">
        <v>1156</v>
      </c>
      <c r="E52" s="2"/>
      <c r="F52" s="2">
        <v>1998</v>
      </c>
      <c r="G52" s="3">
        <v>0.42142142142142142</v>
      </c>
      <c r="H52" s="3">
        <v>0.57857857857857853</v>
      </c>
      <c r="I52" s="1" t="s">
        <v>30</v>
      </c>
      <c r="J52" s="2">
        <v>800</v>
      </c>
      <c r="K52" s="2">
        <v>1156</v>
      </c>
      <c r="L52" s="2">
        <v>1956</v>
      </c>
      <c r="M52" s="3">
        <v>0.40899795501022501</v>
      </c>
      <c r="N52" s="6">
        <v>1.24</v>
      </c>
    </row>
    <row r="53" spans="1:14" x14ac:dyDescent="0.2">
      <c r="A53" s="1" t="s">
        <v>53</v>
      </c>
      <c r="B53" s="1" t="s">
        <v>72</v>
      </c>
      <c r="C53" s="2">
        <v>6909</v>
      </c>
      <c r="D53" s="2">
        <v>6289</v>
      </c>
      <c r="E53" s="2"/>
      <c r="F53" s="2">
        <v>13198</v>
      </c>
      <c r="G53" s="3">
        <v>0.52348840733444457</v>
      </c>
      <c r="H53" s="3">
        <v>0.47651159266555537</v>
      </c>
      <c r="I53" s="1" t="s">
        <v>30</v>
      </c>
      <c r="J53" s="2">
        <v>7019</v>
      </c>
      <c r="K53" s="2">
        <v>6110</v>
      </c>
      <c r="L53" s="2">
        <v>13129</v>
      </c>
      <c r="M53" s="3">
        <v>0.53461802117449919</v>
      </c>
      <c r="N53" s="6">
        <v>-1.1100000000000001</v>
      </c>
    </row>
    <row r="54" spans="1:14" x14ac:dyDescent="0.2">
      <c r="A54" s="1" t="s">
        <v>53</v>
      </c>
      <c r="B54" s="1" t="s">
        <v>73</v>
      </c>
      <c r="C54" s="2">
        <v>7859</v>
      </c>
      <c r="D54" s="2">
        <v>8101</v>
      </c>
      <c r="E54" s="2"/>
      <c r="F54" s="2">
        <v>15960</v>
      </c>
      <c r="G54" s="3">
        <v>0.49241854636591481</v>
      </c>
      <c r="H54" s="3">
        <v>0.50758145363408524</v>
      </c>
      <c r="I54" s="1" t="s">
        <v>30</v>
      </c>
      <c r="J54" s="2">
        <v>8020</v>
      </c>
      <c r="K54" s="2">
        <v>7607</v>
      </c>
      <c r="L54" s="2">
        <v>15627</v>
      </c>
      <c r="M54" s="3">
        <v>0.51321430856850325</v>
      </c>
      <c r="N54" s="6">
        <v>-2.08</v>
      </c>
    </row>
    <row r="55" spans="1:14" x14ac:dyDescent="0.2">
      <c r="A55" s="1" t="s">
        <v>53</v>
      </c>
      <c r="B55" s="1" t="s">
        <v>74</v>
      </c>
      <c r="C55" s="2">
        <v>2277</v>
      </c>
      <c r="D55" s="2">
        <v>3177</v>
      </c>
      <c r="E55" s="2"/>
      <c r="F55" s="2">
        <v>5454</v>
      </c>
      <c r="G55" s="3">
        <v>0.41749174917491749</v>
      </c>
      <c r="H55" s="3">
        <v>0.58250825082508251</v>
      </c>
      <c r="I55" s="1" t="s">
        <v>30</v>
      </c>
      <c r="J55" s="2">
        <v>2380</v>
      </c>
      <c r="K55" s="2">
        <v>3135</v>
      </c>
      <c r="L55" s="2">
        <v>5515</v>
      </c>
      <c r="M55" s="3">
        <v>0.4315503173164098</v>
      </c>
      <c r="N55" s="6">
        <v>-1.41</v>
      </c>
    </row>
    <row r="56" spans="1:14" x14ac:dyDescent="0.2">
      <c r="A56" s="1" t="s">
        <v>53</v>
      </c>
      <c r="B56" s="1" t="s">
        <v>75</v>
      </c>
      <c r="C56" s="2">
        <v>5197</v>
      </c>
      <c r="D56" s="2">
        <v>5989</v>
      </c>
      <c r="E56" s="2"/>
      <c r="F56" s="2">
        <v>11186</v>
      </c>
      <c r="G56" s="3">
        <v>0.46459860539960668</v>
      </c>
      <c r="H56" s="3">
        <v>0.53540139460039338</v>
      </c>
      <c r="I56" s="1" t="s">
        <v>30</v>
      </c>
      <c r="J56" s="2">
        <v>5462</v>
      </c>
      <c r="K56" s="2">
        <v>5740</v>
      </c>
      <c r="L56" s="2">
        <v>11202</v>
      </c>
      <c r="M56" s="3">
        <v>0.48759150151758612</v>
      </c>
      <c r="N56" s="6">
        <v>-2.2999999999999998</v>
      </c>
    </row>
    <row r="57" spans="1:14" x14ac:dyDescent="0.2">
      <c r="A57" s="1" t="s">
        <v>53</v>
      </c>
      <c r="B57" s="1" t="s">
        <v>76</v>
      </c>
      <c r="C57" s="2">
        <v>1234</v>
      </c>
      <c r="D57" s="2">
        <v>2699</v>
      </c>
      <c r="E57" s="2"/>
      <c r="F57" s="2">
        <v>3933</v>
      </c>
      <c r="G57" s="3">
        <v>0.31375540300025428</v>
      </c>
      <c r="H57" s="3">
        <v>0.68624459699974572</v>
      </c>
      <c r="I57" s="1" t="s">
        <v>30</v>
      </c>
      <c r="J57" s="2">
        <v>1266</v>
      </c>
      <c r="K57" s="2">
        <v>2669</v>
      </c>
      <c r="L57" s="2">
        <v>3935</v>
      </c>
      <c r="M57" s="3">
        <v>0.32172808132147401</v>
      </c>
      <c r="N57" s="6">
        <v>-0.8</v>
      </c>
    </row>
    <row r="58" spans="1:14" x14ac:dyDescent="0.2">
      <c r="A58" s="1" t="s">
        <v>53</v>
      </c>
      <c r="B58" s="1" t="s">
        <v>77</v>
      </c>
      <c r="C58" s="2">
        <v>1111</v>
      </c>
      <c r="D58" s="2">
        <v>2267</v>
      </c>
      <c r="E58" s="2"/>
      <c r="F58" s="2">
        <v>3378</v>
      </c>
      <c r="G58" s="3">
        <v>0.32889283599763169</v>
      </c>
      <c r="H58" s="3">
        <v>0.67110716400236825</v>
      </c>
      <c r="I58" s="1" t="s">
        <v>30</v>
      </c>
      <c r="J58" s="2">
        <v>1172</v>
      </c>
      <c r="K58" s="2">
        <v>2201</v>
      </c>
      <c r="L58" s="2">
        <v>3373</v>
      </c>
      <c r="M58" s="3">
        <v>0.34746516454195081</v>
      </c>
      <c r="N58" s="6">
        <v>-1.86</v>
      </c>
    </row>
    <row r="59" spans="1:14" x14ac:dyDescent="0.2">
      <c r="A59" s="1" t="s">
        <v>53</v>
      </c>
      <c r="B59" s="1" t="s">
        <v>78</v>
      </c>
      <c r="C59" s="2">
        <v>7196</v>
      </c>
      <c r="D59" s="2">
        <v>7285</v>
      </c>
      <c r="E59" s="2"/>
      <c r="F59" s="2">
        <v>14481</v>
      </c>
      <c r="G59" s="3">
        <v>0.49692700780332849</v>
      </c>
      <c r="H59" s="3">
        <v>0.50307299219667145</v>
      </c>
      <c r="I59" s="1" t="s">
        <v>30</v>
      </c>
      <c r="J59" s="2">
        <v>7383</v>
      </c>
      <c r="K59" s="2">
        <v>7036</v>
      </c>
      <c r="L59" s="2">
        <v>14419</v>
      </c>
      <c r="M59" s="3">
        <v>0.51203273458630971</v>
      </c>
      <c r="N59" s="6">
        <v>-1.51</v>
      </c>
    </row>
    <row r="60" spans="1:14" x14ac:dyDescent="0.2">
      <c r="A60" s="1" t="s">
        <v>79</v>
      </c>
      <c r="B60" s="1" t="s">
        <v>80</v>
      </c>
      <c r="C60" s="2">
        <v>1238</v>
      </c>
      <c r="D60" s="2">
        <v>2931</v>
      </c>
      <c r="E60" s="2"/>
      <c r="F60" s="2">
        <v>4169</v>
      </c>
      <c r="G60" s="3">
        <v>0.29695370592468218</v>
      </c>
      <c r="H60" s="3">
        <v>0.70304629407531782</v>
      </c>
      <c r="I60" s="1" t="s">
        <v>30</v>
      </c>
      <c r="J60" s="2">
        <v>1414</v>
      </c>
      <c r="K60" s="2">
        <v>2894</v>
      </c>
      <c r="L60" s="2">
        <v>4308</v>
      </c>
      <c r="M60" s="3">
        <v>0.32822655524605387</v>
      </c>
      <c r="N60" s="6">
        <v>-3.13</v>
      </c>
    </row>
    <row r="61" spans="1:14" x14ac:dyDescent="0.2">
      <c r="A61" s="1" t="s">
        <v>79</v>
      </c>
      <c r="B61" s="1" t="s">
        <v>81</v>
      </c>
      <c r="C61" s="2">
        <v>401</v>
      </c>
      <c r="D61" s="2">
        <v>1143</v>
      </c>
      <c r="E61" s="2"/>
      <c r="F61" s="2">
        <v>1544</v>
      </c>
      <c r="G61" s="3">
        <v>0.25971502590673567</v>
      </c>
      <c r="H61" s="3">
        <v>0.74028497409326421</v>
      </c>
      <c r="I61" s="1" t="s">
        <v>30</v>
      </c>
      <c r="J61" s="2">
        <v>471</v>
      </c>
      <c r="K61" s="2">
        <v>1124</v>
      </c>
      <c r="L61" s="2">
        <v>1595</v>
      </c>
      <c r="M61" s="3">
        <v>0.29529780564263319</v>
      </c>
      <c r="N61" s="6">
        <v>-3.56</v>
      </c>
    </row>
    <row r="62" spans="1:14" x14ac:dyDescent="0.2">
      <c r="A62" s="1" t="s">
        <v>79</v>
      </c>
      <c r="B62" s="1" t="s">
        <v>82</v>
      </c>
      <c r="C62" s="2">
        <v>479</v>
      </c>
      <c r="D62" s="2">
        <v>1090</v>
      </c>
      <c r="E62" s="2"/>
      <c r="F62" s="2">
        <v>1569</v>
      </c>
      <c r="G62" s="3">
        <v>0.30528999362651371</v>
      </c>
      <c r="H62" s="3">
        <v>0.69471000637348634</v>
      </c>
      <c r="I62" s="1" t="s">
        <v>30</v>
      </c>
      <c r="J62" s="2">
        <v>521</v>
      </c>
      <c r="K62" s="2">
        <v>997</v>
      </c>
      <c r="L62" s="2">
        <v>1518</v>
      </c>
      <c r="M62" s="3">
        <v>0.3432147562582345</v>
      </c>
      <c r="N62" s="6">
        <v>-3.79</v>
      </c>
    </row>
    <row r="63" spans="1:14" x14ac:dyDescent="0.2">
      <c r="A63" s="1" t="s">
        <v>83</v>
      </c>
      <c r="B63" s="1" t="s">
        <v>84</v>
      </c>
      <c r="C63" s="2">
        <v>1420</v>
      </c>
      <c r="D63" s="2">
        <v>2044</v>
      </c>
      <c r="E63" s="2"/>
      <c r="F63" s="2">
        <v>3464</v>
      </c>
      <c r="G63" s="3">
        <v>0.40993071593533492</v>
      </c>
      <c r="H63" s="3">
        <v>0.59006928406466508</v>
      </c>
      <c r="I63" s="1" t="s">
        <v>30</v>
      </c>
      <c r="J63" s="2">
        <v>1511</v>
      </c>
      <c r="K63" s="2">
        <v>2018</v>
      </c>
      <c r="L63" s="2">
        <v>3529</v>
      </c>
      <c r="M63" s="3">
        <v>0.42816661943893453</v>
      </c>
      <c r="N63" s="6">
        <v>-1.82</v>
      </c>
    </row>
    <row r="64" spans="1:14" x14ac:dyDescent="0.2">
      <c r="A64" s="1" t="s">
        <v>83</v>
      </c>
      <c r="B64" s="1" t="s">
        <v>85</v>
      </c>
      <c r="C64" s="2">
        <v>966</v>
      </c>
      <c r="D64" s="2">
        <v>1370</v>
      </c>
      <c r="E64" s="2"/>
      <c r="F64" s="2">
        <v>2336</v>
      </c>
      <c r="G64" s="3">
        <v>0.41352739726027399</v>
      </c>
      <c r="H64" s="3">
        <v>0.58647260273972601</v>
      </c>
      <c r="I64" s="1" t="s">
        <v>30</v>
      </c>
      <c r="J64" s="2">
        <v>959</v>
      </c>
      <c r="K64" s="2">
        <v>1364</v>
      </c>
      <c r="L64" s="2">
        <v>2323</v>
      </c>
      <c r="M64" s="3">
        <v>0.4128282393456737</v>
      </c>
      <c r="N64" s="6">
        <v>7.0000000000000007E-2</v>
      </c>
    </row>
    <row r="65" spans="1:14" x14ac:dyDescent="0.2">
      <c r="A65" s="1" t="s">
        <v>83</v>
      </c>
      <c r="B65" s="1" t="s">
        <v>86</v>
      </c>
      <c r="C65" s="2">
        <v>580</v>
      </c>
      <c r="D65" s="2">
        <v>789</v>
      </c>
      <c r="E65" s="2"/>
      <c r="F65" s="2">
        <v>1369</v>
      </c>
      <c r="G65" s="3">
        <v>0.42366691015339658</v>
      </c>
      <c r="H65" s="3">
        <v>0.57633308984660336</v>
      </c>
      <c r="I65" s="1" t="s">
        <v>30</v>
      </c>
      <c r="J65" s="2">
        <v>623</v>
      </c>
      <c r="K65" s="2">
        <v>726</v>
      </c>
      <c r="L65" s="2">
        <v>1349</v>
      </c>
      <c r="M65" s="3">
        <v>0.46182357301704968</v>
      </c>
      <c r="N65" s="6">
        <v>-3.82</v>
      </c>
    </row>
    <row r="66" spans="1:14" x14ac:dyDescent="0.2">
      <c r="A66" s="1" t="s">
        <v>83</v>
      </c>
      <c r="B66" s="1" t="s">
        <v>56</v>
      </c>
      <c r="C66" s="2">
        <v>16956</v>
      </c>
      <c r="D66" s="2">
        <v>8625</v>
      </c>
      <c r="E66" s="2"/>
      <c r="F66" s="2">
        <v>25581</v>
      </c>
      <c r="G66" s="3">
        <v>0.66283569836988387</v>
      </c>
      <c r="H66" s="3">
        <v>0.33716430163011613</v>
      </c>
      <c r="I66" s="1" t="s">
        <v>30</v>
      </c>
      <c r="J66" s="2">
        <v>17416</v>
      </c>
      <c r="K66" s="2">
        <v>8640</v>
      </c>
      <c r="L66" s="2">
        <v>26056</v>
      </c>
      <c r="M66" s="3">
        <v>0.66840650905741483</v>
      </c>
      <c r="N66" s="6">
        <v>-0.56000000000000005</v>
      </c>
    </row>
    <row r="67" spans="1:14" x14ac:dyDescent="0.2">
      <c r="A67" s="1" t="s">
        <v>83</v>
      </c>
      <c r="B67" s="1" t="s">
        <v>87</v>
      </c>
      <c r="C67" s="2">
        <v>8026</v>
      </c>
      <c r="D67" s="2">
        <v>7907</v>
      </c>
      <c r="E67" s="2"/>
      <c r="F67" s="2">
        <v>15933</v>
      </c>
      <c r="G67" s="3">
        <v>0.50373438774869772</v>
      </c>
      <c r="H67" s="3">
        <v>0.49626561225130228</v>
      </c>
      <c r="I67" s="1" t="s">
        <v>30</v>
      </c>
      <c r="J67" s="2">
        <v>8595</v>
      </c>
      <c r="K67" s="2">
        <v>7440</v>
      </c>
      <c r="L67" s="2">
        <v>16035</v>
      </c>
      <c r="M67" s="3">
        <v>0.53601496725912068</v>
      </c>
      <c r="N67" s="6">
        <v>-3.23</v>
      </c>
    </row>
    <row r="68" spans="1:14" x14ac:dyDescent="0.2">
      <c r="A68" s="1" t="s">
        <v>83</v>
      </c>
      <c r="B68" s="1" t="s">
        <v>88</v>
      </c>
      <c r="C68" s="2">
        <v>2008</v>
      </c>
      <c r="D68" s="2">
        <v>3608</v>
      </c>
      <c r="E68" s="2"/>
      <c r="F68" s="2">
        <v>5616</v>
      </c>
      <c r="G68" s="3">
        <v>0.35754985754985757</v>
      </c>
      <c r="H68" s="3">
        <v>0.64245014245014243</v>
      </c>
      <c r="I68" s="1" t="s">
        <v>30</v>
      </c>
      <c r="J68" s="2">
        <v>2169</v>
      </c>
      <c r="K68" s="2">
        <v>3459</v>
      </c>
      <c r="L68" s="2">
        <v>5628</v>
      </c>
      <c r="M68" s="3">
        <v>0.3853944562899787</v>
      </c>
      <c r="N68" s="6">
        <v>-2.78</v>
      </c>
    </row>
    <row r="69" spans="1:14" x14ac:dyDescent="0.2">
      <c r="A69" s="1" t="s">
        <v>83</v>
      </c>
      <c r="B69" s="1" t="s">
        <v>89</v>
      </c>
      <c r="C69" s="2">
        <v>39</v>
      </c>
      <c r="D69" s="2">
        <v>82</v>
      </c>
      <c r="E69" s="2"/>
      <c r="F69" s="2">
        <v>121</v>
      </c>
      <c r="G69" s="3">
        <v>0.32231404958677679</v>
      </c>
      <c r="H69" s="3">
        <v>0.6776859504132231</v>
      </c>
      <c r="I69" s="1" t="s">
        <v>30</v>
      </c>
      <c r="J69" s="2">
        <v>40</v>
      </c>
      <c r="K69" s="2">
        <v>83</v>
      </c>
      <c r="L69" s="2">
        <v>123</v>
      </c>
      <c r="M69" s="3">
        <v>0.32520325203252032</v>
      </c>
      <c r="N69" s="6">
        <v>-0.28999999999999998</v>
      </c>
    </row>
    <row r="70" spans="1:14" x14ac:dyDescent="0.2">
      <c r="A70" s="1" t="s">
        <v>83</v>
      </c>
      <c r="B70" s="1" t="s">
        <v>90</v>
      </c>
      <c r="C70" s="2">
        <v>1365</v>
      </c>
      <c r="D70" s="2">
        <v>2003</v>
      </c>
      <c r="E70" s="2"/>
      <c r="F70" s="2">
        <v>3368</v>
      </c>
      <c r="G70" s="3">
        <v>0.40528503562945373</v>
      </c>
      <c r="H70" s="3">
        <v>0.59471496437054627</v>
      </c>
      <c r="I70" s="1" t="s">
        <v>30</v>
      </c>
      <c r="J70" s="2">
        <v>1484</v>
      </c>
      <c r="K70" s="2">
        <v>1959</v>
      </c>
      <c r="L70" s="2">
        <v>3443</v>
      </c>
      <c r="M70" s="3">
        <v>0.43101945977345341</v>
      </c>
      <c r="N70" s="6">
        <v>-2.57</v>
      </c>
    </row>
    <row r="71" spans="1:14" x14ac:dyDescent="0.2">
      <c r="A71" s="1" t="s">
        <v>83</v>
      </c>
      <c r="B71" s="1" t="s">
        <v>91</v>
      </c>
      <c r="C71" s="2">
        <v>183</v>
      </c>
      <c r="D71" s="2">
        <v>328</v>
      </c>
      <c r="E71" s="2"/>
      <c r="F71" s="2">
        <v>511</v>
      </c>
      <c r="G71" s="3">
        <v>0.35812133072407037</v>
      </c>
      <c r="H71" s="3">
        <v>0.64187866927592951</v>
      </c>
      <c r="I71" s="1" t="s">
        <v>30</v>
      </c>
      <c r="J71" s="2">
        <v>217</v>
      </c>
      <c r="K71" s="2">
        <v>309</v>
      </c>
      <c r="L71" s="2">
        <v>526</v>
      </c>
      <c r="M71" s="3">
        <v>0.41254752851711018</v>
      </c>
      <c r="N71" s="6">
        <v>-5.44</v>
      </c>
    </row>
    <row r="72" spans="1:14" x14ac:dyDescent="0.2">
      <c r="A72" s="1" t="s">
        <v>83</v>
      </c>
      <c r="B72" s="1" t="s">
        <v>92</v>
      </c>
      <c r="C72" s="2">
        <v>7378</v>
      </c>
      <c r="D72" s="2">
        <v>3152</v>
      </c>
      <c r="E72" s="2"/>
      <c r="F72" s="2">
        <v>10530</v>
      </c>
      <c r="G72" s="3">
        <v>0.70066476733143401</v>
      </c>
      <c r="H72" s="3">
        <v>0.29933523266856599</v>
      </c>
      <c r="I72" s="1" t="s">
        <v>30</v>
      </c>
      <c r="J72" s="2">
        <v>7604</v>
      </c>
      <c r="K72" s="2">
        <v>3303</v>
      </c>
      <c r="L72" s="2">
        <v>10907</v>
      </c>
      <c r="M72" s="3">
        <v>0.69716695700009168</v>
      </c>
      <c r="N72" s="6">
        <v>0.35</v>
      </c>
    </row>
    <row r="73" spans="1:14" x14ac:dyDescent="0.2">
      <c r="A73" s="1" t="s">
        <v>83</v>
      </c>
      <c r="B73" s="1" t="s">
        <v>93</v>
      </c>
      <c r="C73" s="2">
        <v>5028</v>
      </c>
      <c r="D73" s="2">
        <v>5251</v>
      </c>
      <c r="E73" s="2"/>
      <c r="F73" s="2">
        <v>10279</v>
      </c>
      <c r="G73" s="3">
        <v>0.48915264130752018</v>
      </c>
      <c r="H73" s="3">
        <v>0.51084735869247977</v>
      </c>
      <c r="I73" s="1" t="s">
        <v>30</v>
      </c>
      <c r="J73" s="2">
        <v>5358</v>
      </c>
      <c r="K73" s="2">
        <v>5027</v>
      </c>
      <c r="L73" s="2">
        <v>10385</v>
      </c>
      <c r="M73" s="3">
        <v>0.51593644679826678</v>
      </c>
      <c r="N73" s="6">
        <v>-2.68</v>
      </c>
    </row>
    <row r="74" spans="1:14" x14ac:dyDescent="0.2">
      <c r="A74" s="1" t="s">
        <v>83</v>
      </c>
      <c r="B74" s="1" t="s">
        <v>94</v>
      </c>
      <c r="C74" s="2">
        <v>683</v>
      </c>
      <c r="D74" s="2">
        <v>581</v>
      </c>
      <c r="E74" s="2"/>
      <c r="F74" s="2">
        <v>1264</v>
      </c>
      <c r="G74" s="3">
        <v>0.54034810126582278</v>
      </c>
      <c r="H74" s="3">
        <v>0.45965189873417722</v>
      </c>
      <c r="I74" s="1" t="s">
        <v>30</v>
      </c>
      <c r="J74" s="2">
        <v>714</v>
      </c>
      <c r="K74" s="2">
        <v>484</v>
      </c>
      <c r="L74" s="2">
        <v>1198</v>
      </c>
      <c r="M74" s="3">
        <v>0.59599332220367274</v>
      </c>
      <c r="N74" s="6">
        <v>-5.56</v>
      </c>
    </row>
    <row r="75" spans="1:14" x14ac:dyDescent="0.2">
      <c r="A75" s="1" t="s">
        <v>83</v>
      </c>
      <c r="B75" s="1" t="s">
        <v>95</v>
      </c>
      <c r="C75" s="2">
        <v>95</v>
      </c>
      <c r="D75" s="2">
        <v>109</v>
      </c>
      <c r="E75" s="2"/>
      <c r="F75" s="2">
        <v>204</v>
      </c>
      <c r="G75" s="3">
        <v>0.46568627450980388</v>
      </c>
      <c r="H75" s="3">
        <v>0.53431372549019607</v>
      </c>
      <c r="I75" s="1" t="s">
        <v>30</v>
      </c>
      <c r="J75" s="2">
        <v>109</v>
      </c>
      <c r="K75" s="2">
        <v>97</v>
      </c>
      <c r="L75" s="2">
        <v>206</v>
      </c>
      <c r="M75" s="3">
        <v>0.529126213592233</v>
      </c>
      <c r="N75" s="6">
        <v>-6.34</v>
      </c>
    </row>
    <row r="76" spans="1:14" x14ac:dyDescent="0.2">
      <c r="A76" s="1" t="s">
        <v>83</v>
      </c>
      <c r="B76" s="1" t="s">
        <v>62</v>
      </c>
      <c r="C76" s="2">
        <v>4091</v>
      </c>
      <c r="D76" s="2">
        <v>3858</v>
      </c>
      <c r="E76" s="2"/>
      <c r="F76" s="2">
        <v>7949</v>
      </c>
      <c r="G76" s="3">
        <v>0.51465593156371869</v>
      </c>
      <c r="H76" s="3">
        <v>0.48534406843628131</v>
      </c>
      <c r="I76" s="1" t="s">
        <v>30</v>
      </c>
      <c r="J76" s="2">
        <v>4341</v>
      </c>
      <c r="K76" s="2">
        <v>3620</v>
      </c>
      <c r="L76" s="2">
        <v>7961</v>
      </c>
      <c r="M76" s="3">
        <v>0.5452832558723778</v>
      </c>
      <c r="N76" s="6">
        <v>-3.06</v>
      </c>
    </row>
    <row r="77" spans="1:14" x14ac:dyDescent="0.2">
      <c r="A77" s="1" t="s">
        <v>83</v>
      </c>
      <c r="B77" s="1" t="s">
        <v>96</v>
      </c>
      <c r="C77" s="2">
        <v>1662</v>
      </c>
      <c r="D77" s="2">
        <v>1696</v>
      </c>
      <c r="E77" s="2"/>
      <c r="F77" s="2">
        <v>3358</v>
      </c>
      <c r="G77" s="3">
        <v>0.49493746277546158</v>
      </c>
      <c r="H77" s="3">
        <v>0.50506253722453842</v>
      </c>
      <c r="I77" s="1" t="s">
        <v>30</v>
      </c>
      <c r="J77" s="2">
        <v>1726</v>
      </c>
      <c r="K77" s="2">
        <v>1685</v>
      </c>
      <c r="L77" s="2">
        <v>3411</v>
      </c>
      <c r="M77" s="3">
        <v>0.50600996775139251</v>
      </c>
      <c r="N77" s="6">
        <v>-1.1100000000000001</v>
      </c>
    </row>
    <row r="78" spans="1:14" x14ac:dyDescent="0.2">
      <c r="A78" s="1" t="s">
        <v>83</v>
      </c>
      <c r="B78" s="1" t="s">
        <v>97</v>
      </c>
      <c r="C78" s="2">
        <v>2085</v>
      </c>
      <c r="D78" s="2">
        <v>4565</v>
      </c>
      <c r="E78" s="2"/>
      <c r="F78" s="2">
        <v>6650</v>
      </c>
      <c r="G78" s="3">
        <v>0.31353383458646622</v>
      </c>
      <c r="H78" s="3">
        <v>0.68646616541353378</v>
      </c>
      <c r="I78" s="1" t="s">
        <v>30</v>
      </c>
      <c r="J78" s="2">
        <v>2244</v>
      </c>
      <c r="K78" s="2">
        <v>4439</v>
      </c>
      <c r="L78" s="2">
        <v>6683</v>
      </c>
      <c r="M78" s="3">
        <v>0.3357773455035164</v>
      </c>
      <c r="N78" s="6">
        <v>-2.2200000000000002</v>
      </c>
    </row>
    <row r="79" spans="1:14" x14ac:dyDescent="0.2">
      <c r="A79" s="1" t="s">
        <v>83</v>
      </c>
      <c r="B79" s="1" t="s">
        <v>98</v>
      </c>
      <c r="C79" s="2">
        <v>575</v>
      </c>
      <c r="D79" s="2">
        <v>1217</v>
      </c>
      <c r="E79" s="2"/>
      <c r="F79" s="2">
        <v>1792</v>
      </c>
      <c r="G79" s="3">
        <v>0.3208705357142857</v>
      </c>
      <c r="H79" s="3">
        <v>0.6791294642857143</v>
      </c>
      <c r="I79" s="1" t="s">
        <v>30</v>
      </c>
      <c r="J79" s="2">
        <v>625</v>
      </c>
      <c r="K79" s="2">
        <v>1214</v>
      </c>
      <c r="L79" s="2">
        <v>1839</v>
      </c>
      <c r="M79" s="3">
        <v>0.33985861881457308</v>
      </c>
      <c r="N79" s="6">
        <v>-1.9</v>
      </c>
    </row>
    <row r="80" spans="1:14" x14ac:dyDescent="0.2">
      <c r="A80" s="1" t="s">
        <v>83</v>
      </c>
      <c r="B80" s="1" t="s">
        <v>99</v>
      </c>
      <c r="C80" s="2">
        <v>1872</v>
      </c>
      <c r="D80" s="2">
        <v>2682</v>
      </c>
      <c r="E80" s="2"/>
      <c r="F80" s="2">
        <v>4554</v>
      </c>
      <c r="G80" s="3">
        <v>0.41106719367588929</v>
      </c>
      <c r="H80" s="3">
        <v>0.58893280632411071</v>
      </c>
      <c r="I80" s="1" t="s">
        <v>30</v>
      </c>
      <c r="J80" s="2">
        <v>2047</v>
      </c>
      <c r="K80" s="2">
        <v>2499</v>
      </c>
      <c r="L80" s="2">
        <v>4546</v>
      </c>
      <c r="M80" s="3">
        <v>0.45028596568411788</v>
      </c>
      <c r="N80" s="6">
        <v>-3.92</v>
      </c>
    </row>
    <row r="81" spans="1:14" x14ac:dyDescent="0.2">
      <c r="A81" s="1" t="s">
        <v>83</v>
      </c>
      <c r="B81" s="1" t="s">
        <v>100</v>
      </c>
      <c r="C81" s="2">
        <v>3265</v>
      </c>
      <c r="D81" s="2">
        <v>3958</v>
      </c>
      <c r="E81" s="2"/>
      <c r="F81" s="2">
        <v>7223</v>
      </c>
      <c r="G81" s="3">
        <v>0.45202824311228018</v>
      </c>
      <c r="H81" s="3">
        <v>0.54797175688771982</v>
      </c>
      <c r="I81" s="1" t="s">
        <v>30</v>
      </c>
      <c r="J81" s="2">
        <v>3457</v>
      </c>
      <c r="K81" s="2">
        <v>3805</v>
      </c>
      <c r="L81" s="2">
        <v>7262</v>
      </c>
      <c r="M81" s="3">
        <v>0.47603965849628199</v>
      </c>
      <c r="N81" s="6">
        <v>-2.4</v>
      </c>
    </row>
    <row r="82" spans="1:14" x14ac:dyDescent="0.2">
      <c r="A82" s="1" t="s">
        <v>83</v>
      </c>
      <c r="B82" s="1" t="s">
        <v>101</v>
      </c>
      <c r="C82" s="2">
        <v>1852</v>
      </c>
      <c r="D82" s="2">
        <v>4095</v>
      </c>
      <c r="E82" s="2"/>
      <c r="F82" s="2">
        <v>5947</v>
      </c>
      <c r="G82" s="3">
        <v>0.31141752143938117</v>
      </c>
      <c r="H82" s="3">
        <v>0.68858247856061883</v>
      </c>
      <c r="I82" s="1" t="s">
        <v>30</v>
      </c>
      <c r="J82" s="2">
        <v>2006</v>
      </c>
      <c r="K82" s="2">
        <v>4057</v>
      </c>
      <c r="L82" s="2">
        <v>6063</v>
      </c>
      <c r="M82" s="3">
        <v>0.33085931057232387</v>
      </c>
      <c r="N82" s="6">
        <v>-1.94</v>
      </c>
    </row>
    <row r="83" spans="1:14" x14ac:dyDescent="0.2">
      <c r="A83" s="1" t="s">
        <v>83</v>
      </c>
      <c r="B83" s="1" t="s">
        <v>102</v>
      </c>
      <c r="C83" s="2">
        <v>1519</v>
      </c>
      <c r="D83" s="2">
        <v>1648</v>
      </c>
      <c r="E83" s="2"/>
      <c r="F83" s="2">
        <v>3167</v>
      </c>
      <c r="G83" s="3">
        <v>0.47963372276602462</v>
      </c>
      <c r="H83" s="3">
        <v>0.52036627723397533</v>
      </c>
      <c r="I83" s="1" t="s">
        <v>30</v>
      </c>
      <c r="J83" s="2">
        <v>1596</v>
      </c>
      <c r="K83" s="2">
        <v>1664</v>
      </c>
      <c r="L83" s="2">
        <v>3260</v>
      </c>
      <c r="M83" s="3">
        <v>0.48957055214723932</v>
      </c>
      <c r="N83" s="6">
        <v>-0.99</v>
      </c>
    </row>
    <row r="84" spans="1:14" x14ac:dyDescent="0.2">
      <c r="A84" s="1" t="s">
        <v>83</v>
      </c>
      <c r="B84" s="1" t="s">
        <v>103</v>
      </c>
      <c r="C84" s="2">
        <v>829</v>
      </c>
      <c r="D84" s="2">
        <v>946</v>
      </c>
      <c r="E84" s="2"/>
      <c r="F84" s="2">
        <v>1775</v>
      </c>
      <c r="G84" s="3">
        <v>0.46704225352112683</v>
      </c>
      <c r="H84" s="3">
        <v>0.53295774647887328</v>
      </c>
      <c r="I84" s="1" t="s">
        <v>30</v>
      </c>
      <c r="J84" s="2">
        <v>847</v>
      </c>
      <c r="K84" s="2">
        <v>889</v>
      </c>
      <c r="L84" s="2">
        <v>1736</v>
      </c>
      <c r="M84" s="3">
        <v>0.48790322580645162</v>
      </c>
      <c r="N84" s="6">
        <v>-2.09</v>
      </c>
    </row>
    <row r="85" spans="1:14" x14ac:dyDescent="0.2">
      <c r="A85" s="1" t="s">
        <v>83</v>
      </c>
      <c r="B85" s="1" t="s">
        <v>104</v>
      </c>
      <c r="C85" s="2">
        <v>2643</v>
      </c>
      <c r="D85" s="2">
        <v>3062</v>
      </c>
      <c r="E85" s="2"/>
      <c r="F85" s="2">
        <v>5705</v>
      </c>
      <c r="G85" s="3">
        <v>0.46327782646801052</v>
      </c>
      <c r="H85" s="3">
        <v>0.53672217353198948</v>
      </c>
      <c r="I85" s="1" t="s">
        <v>30</v>
      </c>
      <c r="J85" s="2">
        <v>2573</v>
      </c>
      <c r="K85" s="2">
        <v>3023</v>
      </c>
      <c r="L85" s="2">
        <v>5596</v>
      </c>
      <c r="M85" s="3">
        <v>0.45979270907791281</v>
      </c>
      <c r="N85" s="6">
        <v>0.35</v>
      </c>
    </row>
    <row r="86" spans="1:14" x14ac:dyDescent="0.2">
      <c r="A86" s="1" t="s">
        <v>83</v>
      </c>
      <c r="B86" s="1" t="s">
        <v>105</v>
      </c>
      <c r="C86" s="2">
        <v>6744</v>
      </c>
      <c r="D86" s="2">
        <v>7050</v>
      </c>
      <c r="E86" s="2"/>
      <c r="F86" s="2">
        <v>13794</v>
      </c>
      <c r="G86" s="3">
        <v>0.48890822096563719</v>
      </c>
      <c r="H86" s="3">
        <v>0.51109177903436276</v>
      </c>
      <c r="I86" s="1" t="s">
        <v>30</v>
      </c>
      <c r="J86" s="2">
        <v>6974</v>
      </c>
      <c r="K86" s="2">
        <v>6736</v>
      </c>
      <c r="L86" s="2">
        <v>13710</v>
      </c>
      <c r="M86" s="3">
        <v>0.50867979576951128</v>
      </c>
      <c r="N86" s="6">
        <v>-1.98</v>
      </c>
    </row>
    <row r="87" spans="1:14" x14ac:dyDescent="0.2">
      <c r="A87" s="1" t="s">
        <v>83</v>
      </c>
      <c r="B87" s="1" t="s">
        <v>106</v>
      </c>
      <c r="C87" s="2">
        <v>668</v>
      </c>
      <c r="D87" s="2">
        <v>1178</v>
      </c>
      <c r="E87" s="2"/>
      <c r="F87" s="2">
        <v>1846</v>
      </c>
      <c r="G87" s="3">
        <v>0.36186348862405199</v>
      </c>
      <c r="H87" s="3">
        <v>0.63813651137594796</v>
      </c>
      <c r="I87" s="1" t="s">
        <v>30</v>
      </c>
      <c r="J87" s="2">
        <v>703</v>
      </c>
      <c r="K87" s="2">
        <v>1180</v>
      </c>
      <c r="L87" s="2">
        <v>1883</v>
      </c>
      <c r="M87" s="3">
        <v>0.37334041423260761</v>
      </c>
      <c r="N87" s="6">
        <v>-1.1499999999999999</v>
      </c>
    </row>
    <row r="88" spans="1:14" x14ac:dyDescent="0.2">
      <c r="A88" s="1" t="s">
        <v>83</v>
      </c>
      <c r="B88" s="1" t="s">
        <v>107</v>
      </c>
      <c r="C88" s="2">
        <v>1216</v>
      </c>
      <c r="D88" s="2">
        <v>2734</v>
      </c>
      <c r="E88" s="2"/>
      <c r="F88" s="2">
        <v>3950</v>
      </c>
      <c r="G88" s="3">
        <v>0.30784810126582279</v>
      </c>
      <c r="H88" s="3">
        <v>0.69215189873417726</v>
      </c>
      <c r="I88" s="1" t="s">
        <v>30</v>
      </c>
      <c r="J88" s="2">
        <v>1361</v>
      </c>
      <c r="K88" s="2">
        <v>2561</v>
      </c>
      <c r="L88" s="2">
        <v>3922</v>
      </c>
      <c r="M88" s="3">
        <v>0.34701682814890361</v>
      </c>
      <c r="N88" s="6">
        <v>-3.92</v>
      </c>
    </row>
    <row r="89" spans="1:14" x14ac:dyDescent="0.2">
      <c r="A89" s="1" t="s">
        <v>83</v>
      </c>
      <c r="B89" s="1" t="s">
        <v>108</v>
      </c>
      <c r="C89" s="2">
        <v>73</v>
      </c>
      <c r="D89" s="2">
        <v>176</v>
      </c>
      <c r="E89" s="2"/>
      <c r="F89" s="2">
        <v>249</v>
      </c>
      <c r="G89" s="3">
        <v>0.29317269076305219</v>
      </c>
      <c r="H89" s="3">
        <v>0.70682730923694781</v>
      </c>
      <c r="I89" s="1" t="s">
        <v>30</v>
      </c>
      <c r="J89" s="2">
        <v>92</v>
      </c>
      <c r="K89" s="2">
        <v>167</v>
      </c>
      <c r="L89" s="2">
        <v>259</v>
      </c>
      <c r="M89" s="3">
        <v>0.35521235521235522</v>
      </c>
      <c r="N89" s="6">
        <v>-6.2</v>
      </c>
    </row>
    <row r="90" spans="1:14" x14ac:dyDescent="0.2">
      <c r="A90" s="1" t="s">
        <v>83</v>
      </c>
      <c r="B90" s="1" t="s">
        <v>109</v>
      </c>
      <c r="C90" s="2">
        <v>328</v>
      </c>
      <c r="D90" s="2">
        <v>604</v>
      </c>
      <c r="E90" s="2"/>
      <c r="F90" s="2">
        <v>932</v>
      </c>
      <c r="G90" s="3">
        <v>0.35193133047210301</v>
      </c>
      <c r="H90" s="3">
        <v>0.64806866952789699</v>
      </c>
      <c r="I90" s="1" t="s">
        <v>30</v>
      </c>
      <c r="J90" s="2">
        <v>335</v>
      </c>
      <c r="K90" s="2">
        <v>581</v>
      </c>
      <c r="L90" s="2">
        <v>916</v>
      </c>
      <c r="M90" s="3">
        <v>0.36572052401746719</v>
      </c>
      <c r="N90" s="6">
        <v>-1.38</v>
      </c>
    </row>
    <row r="91" spans="1:14" x14ac:dyDescent="0.2">
      <c r="A91" s="1" t="s">
        <v>83</v>
      </c>
      <c r="B91" s="1" t="s">
        <v>110</v>
      </c>
      <c r="C91" s="2">
        <v>193</v>
      </c>
      <c r="D91" s="2">
        <v>321</v>
      </c>
      <c r="E91" s="2"/>
      <c r="F91" s="2">
        <v>514</v>
      </c>
      <c r="G91" s="3">
        <v>0.3754863813229572</v>
      </c>
      <c r="H91" s="3">
        <v>0.6245136186770428</v>
      </c>
      <c r="I91" s="1" t="s">
        <v>30</v>
      </c>
      <c r="J91" s="2">
        <v>210</v>
      </c>
      <c r="K91" s="2">
        <v>309</v>
      </c>
      <c r="L91" s="2">
        <v>519</v>
      </c>
      <c r="M91" s="3">
        <v>0.40462427745664742</v>
      </c>
      <c r="N91" s="6">
        <v>-2.91</v>
      </c>
    </row>
    <row r="92" spans="1:14" x14ac:dyDescent="0.2">
      <c r="A92" s="1" t="s">
        <v>83</v>
      </c>
      <c r="B92" s="1" t="s">
        <v>111</v>
      </c>
      <c r="C92" s="2">
        <v>310</v>
      </c>
      <c r="D92" s="2">
        <v>462</v>
      </c>
      <c r="E92" s="2"/>
      <c r="F92" s="2">
        <v>772</v>
      </c>
      <c r="G92" s="3">
        <v>0.4015544041450777</v>
      </c>
      <c r="H92" s="3">
        <v>0.5984455958549223</v>
      </c>
      <c r="I92" s="1" t="s">
        <v>30</v>
      </c>
      <c r="J92" s="2">
        <v>331</v>
      </c>
      <c r="K92" s="2">
        <v>458</v>
      </c>
      <c r="L92" s="2">
        <v>789</v>
      </c>
      <c r="M92" s="3">
        <v>0.41951837769328271</v>
      </c>
      <c r="N92" s="6">
        <v>-1.8</v>
      </c>
    </row>
    <row r="93" spans="1:14" x14ac:dyDescent="0.2">
      <c r="A93" s="1" t="s">
        <v>83</v>
      </c>
      <c r="B93" s="1" t="s">
        <v>112</v>
      </c>
      <c r="C93" s="2">
        <v>1117</v>
      </c>
      <c r="D93" s="2">
        <v>2741</v>
      </c>
      <c r="E93" s="2"/>
      <c r="F93" s="2">
        <v>3858</v>
      </c>
      <c r="G93" s="3">
        <v>0.28952825298081908</v>
      </c>
      <c r="H93" s="3">
        <v>0.71047174701918092</v>
      </c>
      <c r="I93" s="1" t="s">
        <v>30</v>
      </c>
      <c r="J93" s="2">
        <v>1242</v>
      </c>
      <c r="K93" s="2">
        <v>2716</v>
      </c>
      <c r="L93" s="2">
        <v>3958</v>
      </c>
      <c r="M93" s="3">
        <v>0.31379484588175849</v>
      </c>
      <c r="N93" s="6">
        <v>-2.4300000000000002</v>
      </c>
    </row>
    <row r="94" spans="1:14" x14ac:dyDescent="0.2">
      <c r="A94" s="1" t="s">
        <v>83</v>
      </c>
      <c r="B94" s="1" t="s">
        <v>113</v>
      </c>
      <c r="C94" s="2">
        <v>1880</v>
      </c>
      <c r="D94" s="2">
        <v>2189</v>
      </c>
      <c r="E94" s="2"/>
      <c r="F94" s="2">
        <v>4069</v>
      </c>
      <c r="G94" s="3">
        <v>0.46202998279675589</v>
      </c>
      <c r="H94" s="3">
        <v>0.537970017203244</v>
      </c>
      <c r="I94" s="1" t="s">
        <v>30</v>
      </c>
      <c r="J94" s="2">
        <v>1964</v>
      </c>
      <c r="K94" s="2">
        <v>2147</v>
      </c>
      <c r="L94" s="2">
        <v>4111</v>
      </c>
      <c r="M94" s="3">
        <v>0.47774264169301872</v>
      </c>
      <c r="N94" s="6">
        <v>-1.57</v>
      </c>
    </row>
    <row r="95" spans="1:14" x14ac:dyDescent="0.2">
      <c r="A95" s="1" t="s">
        <v>83</v>
      </c>
      <c r="B95" s="1" t="s">
        <v>114</v>
      </c>
      <c r="C95" s="2">
        <v>405</v>
      </c>
      <c r="D95" s="2">
        <v>656</v>
      </c>
      <c r="E95" s="2"/>
      <c r="F95" s="2">
        <v>1061</v>
      </c>
      <c r="G95" s="3">
        <v>0.38171536286522151</v>
      </c>
      <c r="H95" s="3">
        <v>0.61828463713477855</v>
      </c>
      <c r="I95" s="1" t="s">
        <v>30</v>
      </c>
      <c r="J95" s="2">
        <v>416</v>
      </c>
      <c r="K95" s="2">
        <v>658</v>
      </c>
      <c r="L95" s="2">
        <v>1074</v>
      </c>
      <c r="M95" s="3">
        <v>0.38733705772811922</v>
      </c>
      <c r="N95" s="6">
        <v>-0.56000000000000005</v>
      </c>
    </row>
    <row r="96" spans="1:14" x14ac:dyDescent="0.2">
      <c r="A96" s="1" t="s">
        <v>83</v>
      </c>
      <c r="B96" s="1" t="s">
        <v>115</v>
      </c>
      <c r="C96" s="2">
        <v>967</v>
      </c>
      <c r="D96" s="2">
        <v>2109</v>
      </c>
      <c r="E96" s="2"/>
      <c r="F96" s="2">
        <v>3076</v>
      </c>
      <c r="G96" s="3">
        <v>0.31436931079323799</v>
      </c>
      <c r="H96" s="3">
        <v>0.68563068920676207</v>
      </c>
      <c r="I96" s="1" t="s">
        <v>30</v>
      </c>
      <c r="J96" s="2">
        <v>1041</v>
      </c>
      <c r="K96" s="2">
        <v>2088</v>
      </c>
      <c r="L96" s="2">
        <v>3129</v>
      </c>
      <c r="M96" s="3">
        <v>0.33269415148609782</v>
      </c>
      <c r="N96" s="6">
        <v>-1.83</v>
      </c>
    </row>
    <row r="97" spans="1:14" x14ac:dyDescent="0.2">
      <c r="A97" s="1" t="s">
        <v>83</v>
      </c>
      <c r="B97" s="1" t="s">
        <v>116</v>
      </c>
      <c r="C97" s="2">
        <v>273</v>
      </c>
      <c r="D97" s="2">
        <v>334</v>
      </c>
      <c r="E97" s="2"/>
      <c r="F97" s="2">
        <v>607</v>
      </c>
      <c r="G97" s="3">
        <v>0.44975288303130151</v>
      </c>
      <c r="H97" s="3">
        <v>0.55024711696869855</v>
      </c>
      <c r="I97" s="1" t="s">
        <v>30</v>
      </c>
      <c r="J97" s="2">
        <v>281</v>
      </c>
      <c r="K97" s="2">
        <v>310</v>
      </c>
      <c r="L97" s="2">
        <v>591</v>
      </c>
      <c r="M97" s="3">
        <v>0.47546531302876482</v>
      </c>
      <c r="N97" s="6">
        <v>-2.57</v>
      </c>
    </row>
    <row r="98" spans="1:14" x14ac:dyDescent="0.2">
      <c r="A98" s="1" t="s">
        <v>83</v>
      </c>
      <c r="B98" s="1" t="s">
        <v>117</v>
      </c>
      <c r="C98" s="2">
        <v>1686</v>
      </c>
      <c r="D98" s="2">
        <v>2503</v>
      </c>
      <c r="E98" s="2"/>
      <c r="F98" s="2">
        <v>4189</v>
      </c>
      <c r="G98" s="3">
        <v>0.40248269276677012</v>
      </c>
      <c r="H98" s="3">
        <v>0.59751730723322993</v>
      </c>
      <c r="I98" s="1" t="s">
        <v>30</v>
      </c>
      <c r="J98" s="2">
        <v>1847</v>
      </c>
      <c r="K98" s="2">
        <v>2401</v>
      </c>
      <c r="L98" s="2">
        <v>4248</v>
      </c>
      <c r="M98" s="3">
        <v>0.43479284369114879</v>
      </c>
      <c r="N98" s="6">
        <v>-3.23</v>
      </c>
    </row>
    <row r="99" spans="1:14" x14ac:dyDescent="0.2">
      <c r="A99" s="1" t="s">
        <v>83</v>
      </c>
      <c r="B99" s="1" t="s">
        <v>118</v>
      </c>
      <c r="C99" s="2">
        <v>1825</v>
      </c>
      <c r="D99" s="2">
        <v>1581</v>
      </c>
      <c r="E99" s="2"/>
      <c r="F99" s="2">
        <v>3406</v>
      </c>
      <c r="G99" s="3">
        <v>0.5358191426893717</v>
      </c>
      <c r="H99" s="3">
        <v>0.4641808573106283</v>
      </c>
      <c r="I99" s="1" t="s">
        <v>30</v>
      </c>
      <c r="J99" s="2">
        <v>1897</v>
      </c>
      <c r="K99" s="2">
        <v>1538</v>
      </c>
      <c r="L99" s="2">
        <v>3435</v>
      </c>
      <c r="M99" s="3">
        <v>0.55225618631732165</v>
      </c>
      <c r="N99" s="6">
        <v>-1.64</v>
      </c>
    </row>
    <row r="100" spans="1:14" x14ac:dyDescent="0.2">
      <c r="A100" s="1" t="s">
        <v>83</v>
      </c>
      <c r="B100" s="1" t="s">
        <v>119</v>
      </c>
      <c r="C100" s="2">
        <v>632</v>
      </c>
      <c r="D100" s="2">
        <v>894</v>
      </c>
      <c r="E100" s="2"/>
      <c r="F100" s="2">
        <v>1526</v>
      </c>
      <c r="G100" s="3">
        <v>0.41415465268676283</v>
      </c>
      <c r="H100" s="3">
        <v>0.58584534731323723</v>
      </c>
      <c r="I100" s="1" t="s">
        <v>30</v>
      </c>
      <c r="J100" s="2">
        <v>634</v>
      </c>
      <c r="K100" s="2">
        <v>856</v>
      </c>
      <c r="L100" s="2">
        <v>1490</v>
      </c>
      <c r="M100" s="3">
        <v>0.42550335570469799</v>
      </c>
      <c r="N100" s="6">
        <v>-1.1299999999999999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1"/>
  <sheetViews>
    <sheetView workbookViewId="0"/>
  </sheetViews>
  <sheetFormatPr baseColWidth="10" defaultColWidth="8.83203125" defaultRowHeight="15" x14ac:dyDescent="0.2"/>
  <cols>
    <col min="1" max="1" width="12" customWidth="1"/>
    <col min="2" max="2" width="26" customWidth="1"/>
    <col min="3" max="3" width="31.5" customWidth="1"/>
    <col min="4" max="4" width="14" customWidth="1"/>
    <col min="5" max="5" width="16" customWidth="1"/>
    <col min="6" max="6" width="12" customWidth="1"/>
    <col min="7" max="7" width="13" customWidth="1"/>
    <col min="8" max="8" width="15" customWidth="1"/>
    <col min="9" max="9" width="37.1640625" customWidth="1"/>
    <col min="10" max="10" width="14" customWidth="1"/>
    <col min="11" max="11" width="16" customWidth="1"/>
    <col min="12" max="12" width="14" customWidth="1"/>
    <col min="13" max="13" width="13" customWidth="1"/>
    <col min="14" max="14" width="20" customWidth="1"/>
  </cols>
  <sheetData>
    <row r="1" spans="1:14" x14ac:dyDescent="0.2">
      <c r="A1" s="7" t="s">
        <v>530</v>
      </c>
      <c r="B1" s="8"/>
      <c r="C1" s="8"/>
      <c r="D1" s="8"/>
      <c r="E1" s="8"/>
      <c r="F1" s="8"/>
      <c r="G1" s="8"/>
      <c r="H1" s="8"/>
      <c r="I1" s="8"/>
    </row>
    <row r="2" spans="1:14" x14ac:dyDescent="0.2">
      <c r="A2" s="1" t="s">
        <v>531</v>
      </c>
      <c r="B2" s="1"/>
      <c r="C2" s="1"/>
      <c r="D2" s="1"/>
      <c r="E2" s="1"/>
      <c r="F2" s="1"/>
      <c r="G2" s="1"/>
      <c r="H2" s="1"/>
      <c r="I2" s="1"/>
    </row>
    <row r="3" spans="1:14" x14ac:dyDescent="0.2">
      <c r="A3" s="7" t="s">
        <v>518</v>
      </c>
      <c r="B3" s="8"/>
      <c r="C3" s="8"/>
      <c r="D3" s="8"/>
      <c r="E3" s="8"/>
      <c r="F3" s="8"/>
      <c r="G3" s="8"/>
      <c r="H3" s="8"/>
      <c r="I3" s="8"/>
    </row>
    <row r="4" spans="1:14" x14ac:dyDescent="0.2">
      <c r="A4" s="1" t="s">
        <v>3</v>
      </c>
      <c r="B4" s="1" t="s">
        <v>4</v>
      </c>
      <c r="C4" s="1" t="s">
        <v>5</v>
      </c>
      <c r="D4" s="1" t="s">
        <v>519</v>
      </c>
      <c r="E4" s="1" t="s">
        <v>7</v>
      </c>
      <c r="F4" s="1" t="s">
        <v>9</v>
      </c>
      <c r="G4" s="1" t="s">
        <v>10</v>
      </c>
      <c r="H4" s="1"/>
      <c r="I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</row>
    <row r="6" spans="1:14" x14ac:dyDescent="0.2">
      <c r="A6" s="7" t="s">
        <v>520</v>
      </c>
      <c r="B6" s="8"/>
      <c r="C6" s="8"/>
      <c r="D6" s="8"/>
      <c r="E6" s="8"/>
      <c r="F6" s="8"/>
      <c r="G6" s="8"/>
      <c r="H6" s="8"/>
      <c r="I6" s="8"/>
    </row>
    <row r="7" spans="1:14" x14ac:dyDescent="0.2">
      <c r="A7" s="1" t="s">
        <v>12</v>
      </c>
      <c r="B7" s="1" t="s">
        <v>123</v>
      </c>
      <c r="C7" s="1" t="s">
        <v>124</v>
      </c>
      <c r="D7" s="1" t="s">
        <v>521</v>
      </c>
      <c r="E7" s="1" t="s">
        <v>14</v>
      </c>
      <c r="F7" s="1" t="s">
        <v>16</v>
      </c>
      <c r="G7" s="1" t="s">
        <v>522</v>
      </c>
      <c r="H7" s="1" t="s">
        <v>18</v>
      </c>
      <c r="I7" s="1" t="s">
        <v>19</v>
      </c>
      <c r="J7" s="1" t="s">
        <v>523</v>
      </c>
      <c r="K7" s="1" t="s">
        <v>524</v>
      </c>
      <c r="L7" s="1" t="s">
        <v>525</v>
      </c>
      <c r="M7" s="1" t="s">
        <v>526</v>
      </c>
      <c r="N7" s="1" t="s">
        <v>527</v>
      </c>
    </row>
    <row r="8" spans="1:14" x14ac:dyDescent="0.2">
      <c r="A8" s="1" t="s">
        <v>20</v>
      </c>
      <c r="B8" s="1" t="s">
        <v>125</v>
      </c>
      <c r="C8" s="1"/>
      <c r="D8" s="2">
        <f>SUM(D12:D381)</f>
        <v>192508</v>
      </c>
      <c r="E8" s="2">
        <f>SUM(E12:E381)</f>
        <v>208868</v>
      </c>
      <c r="F8" s="2">
        <f>D8+E8</f>
        <v>401376</v>
      </c>
      <c r="G8" s="3">
        <f>IF(F8=0,"",D8/F8)</f>
        <v>0.47962010683249623</v>
      </c>
      <c r="H8" s="3">
        <f>IF(F8=0,"",E8/F8)</f>
        <v>0.52037989316750377</v>
      </c>
      <c r="I8" s="1" t="s">
        <v>528</v>
      </c>
      <c r="J8" s="2">
        <f>SUM(J12:J381)</f>
        <v>180335</v>
      </c>
      <c r="K8" s="2">
        <f>SUM(K12:K381)</f>
        <v>184501</v>
      </c>
      <c r="L8" s="2">
        <f>J8+K8</f>
        <v>364836</v>
      </c>
      <c r="M8" s="3">
        <f>IF(L8=0,"",J8/L8)</f>
        <v>0.49429058535890097</v>
      </c>
      <c r="N8" s="6">
        <f>IF(L8=0,"",(G8-M8)*100)</f>
        <v>-1.467047852640474</v>
      </c>
    </row>
    <row r="9" spans="1:14" x14ac:dyDescent="0.2">
      <c r="A9" s="7" t="s">
        <v>529</v>
      </c>
      <c r="B9" s="8"/>
      <c r="C9" s="8"/>
      <c r="D9" s="8"/>
      <c r="E9" s="8"/>
      <c r="F9" s="8"/>
      <c r="G9" s="8"/>
      <c r="H9" s="8"/>
      <c r="I9" s="8"/>
    </row>
    <row r="10" spans="1:14" x14ac:dyDescent="0.2">
      <c r="A10" s="7" t="s">
        <v>127</v>
      </c>
      <c r="B10" s="8"/>
      <c r="C10" s="8"/>
      <c r="D10" s="8"/>
      <c r="E10" s="8"/>
      <c r="F10" s="8"/>
      <c r="G10" s="8"/>
      <c r="H10" s="8"/>
      <c r="I10" s="8"/>
    </row>
    <row r="11" spans="1:14" ht="31.5" customHeight="1" x14ac:dyDescent="0.2">
      <c r="A11" s="1" t="s">
        <v>25</v>
      </c>
      <c r="B11" s="1" t="s">
        <v>26</v>
      </c>
      <c r="C11" s="1" t="s">
        <v>128</v>
      </c>
      <c r="D11" s="1" t="s">
        <v>521</v>
      </c>
      <c r="E11" s="1" t="s">
        <v>14</v>
      </c>
      <c r="F11" s="1" t="s">
        <v>16</v>
      </c>
      <c r="G11" s="1" t="s">
        <v>522</v>
      </c>
      <c r="H11" s="1" t="s">
        <v>18</v>
      </c>
      <c r="I11" s="1" t="s">
        <v>27</v>
      </c>
      <c r="J11" s="1" t="s">
        <v>523</v>
      </c>
      <c r="K11" s="1" t="s">
        <v>524</v>
      </c>
      <c r="L11" s="1" t="s">
        <v>525</v>
      </c>
      <c r="M11" s="1" t="s">
        <v>526</v>
      </c>
      <c r="N11" s="1" t="s">
        <v>527</v>
      </c>
    </row>
    <row r="12" spans="1:14" x14ac:dyDescent="0.2">
      <c r="A12" s="1" t="s">
        <v>28</v>
      </c>
      <c r="B12" s="1" t="s">
        <v>29</v>
      </c>
      <c r="C12" s="1" t="s">
        <v>29</v>
      </c>
      <c r="D12" s="2">
        <v>137</v>
      </c>
      <c r="E12" s="2">
        <v>300</v>
      </c>
      <c r="F12" s="2">
        <f t="shared" ref="F12:F75" si="0">IF(COUNTA(D12:E12)=0,"",SUM(D12:E12))</f>
        <v>437</v>
      </c>
      <c r="G12" s="3">
        <f t="shared" ref="G12:G75" si="1">IF(OR(F12="",F12=0),"",D12/F12)</f>
        <v>0.31350114416475972</v>
      </c>
      <c r="H12" s="3">
        <f t="shared" ref="H12:H75" si="2">IF(OR(F12="",F12=0),"",E12/F12)</f>
        <v>0.68649885583524028</v>
      </c>
      <c r="I12" s="1" t="s">
        <v>532</v>
      </c>
      <c r="J12" s="2">
        <v>181</v>
      </c>
      <c r="K12" s="2">
        <v>284</v>
      </c>
      <c r="L12" s="2">
        <v>465</v>
      </c>
      <c r="M12" s="3">
        <v>0.38924731182795702</v>
      </c>
      <c r="N12" s="6">
        <v>-7.57</v>
      </c>
    </row>
    <row r="13" spans="1:14" x14ac:dyDescent="0.2">
      <c r="A13" s="1" t="s">
        <v>28</v>
      </c>
      <c r="B13" s="1" t="s">
        <v>31</v>
      </c>
      <c r="C13" s="1" t="s">
        <v>31</v>
      </c>
      <c r="D13" s="2">
        <v>93</v>
      </c>
      <c r="E13" s="2">
        <v>311</v>
      </c>
      <c r="F13" s="2">
        <f t="shared" si="0"/>
        <v>404</v>
      </c>
      <c r="G13" s="3">
        <f t="shared" si="1"/>
        <v>0.23019801980198021</v>
      </c>
      <c r="H13" s="3">
        <f t="shared" si="2"/>
        <v>0.76980198019801982</v>
      </c>
      <c r="I13" s="1" t="s">
        <v>532</v>
      </c>
      <c r="J13" s="2">
        <v>118</v>
      </c>
      <c r="K13" s="2">
        <v>298</v>
      </c>
      <c r="L13" s="2">
        <v>416</v>
      </c>
      <c r="M13" s="3">
        <v>0.28365384615384609</v>
      </c>
      <c r="N13" s="6">
        <v>-5.35</v>
      </c>
    </row>
    <row r="14" spans="1:14" x14ac:dyDescent="0.2">
      <c r="A14" s="1" t="s">
        <v>28</v>
      </c>
      <c r="B14" s="1" t="s">
        <v>32</v>
      </c>
      <c r="C14" s="1" t="s">
        <v>32</v>
      </c>
      <c r="D14" s="2">
        <v>134</v>
      </c>
      <c r="E14" s="2">
        <v>269</v>
      </c>
      <c r="F14" s="2">
        <f t="shared" si="0"/>
        <v>403</v>
      </c>
      <c r="G14" s="3">
        <f t="shared" si="1"/>
        <v>0.33250620347394538</v>
      </c>
      <c r="H14" s="3">
        <f t="shared" si="2"/>
        <v>0.66749379652605456</v>
      </c>
      <c r="I14" s="1" t="s">
        <v>532</v>
      </c>
      <c r="J14" s="2">
        <v>143</v>
      </c>
      <c r="K14" s="2">
        <v>309</v>
      </c>
      <c r="L14" s="2">
        <v>452</v>
      </c>
      <c r="M14" s="3">
        <v>0.3163716814159292</v>
      </c>
      <c r="N14" s="6">
        <v>1.61</v>
      </c>
    </row>
    <row r="15" spans="1:14" x14ac:dyDescent="0.2">
      <c r="A15" s="1" t="s">
        <v>28</v>
      </c>
      <c r="B15" s="1" t="s">
        <v>33</v>
      </c>
      <c r="C15" s="1" t="s">
        <v>130</v>
      </c>
      <c r="D15" s="2">
        <v>210</v>
      </c>
      <c r="E15" s="2">
        <v>649</v>
      </c>
      <c r="F15" s="2">
        <f t="shared" si="0"/>
        <v>859</v>
      </c>
      <c r="G15" s="3">
        <f t="shared" si="1"/>
        <v>0.24447031431897556</v>
      </c>
      <c r="H15" s="3">
        <f t="shared" si="2"/>
        <v>0.75552968568102441</v>
      </c>
      <c r="I15" s="1" t="s">
        <v>532</v>
      </c>
      <c r="J15" s="2">
        <v>202</v>
      </c>
      <c r="K15" s="2">
        <v>640</v>
      </c>
      <c r="L15" s="2">
        <v>842</v>
      </c>
      <c r="M15" s="3">
        <v>0.23990498812351541</v>
      </c>
      <c r="N15" s="6">
        <v>0.46</v>
      </c>
    </row>
    <row r="16" spans="1:14" x14ac:dyDescent="0.2">
      <c r="A16" s="1" t="s">
        <v>28</v>
      </c>
      <c r="B16" s="1" t="s">
        <v>33</v>
      </c>
      <c r="C16" s="1" t="s">
        <v>131</v>
      </c>
      <c r="D16" s="2">
        <v>185</v>
      </c>
      <c r="E16" s="2">
        <v>532</v>
      </c>
      <c r="F16" s="2">
        <f t="shared" si="0"/>
        <v>717</v>
      </c>
      <c r="G16" s="3">
        <f t="shared" si="1"/>
        <v>0.25801952580195259</v>
      </c>
      <c r="H16" s="3">
        <f t="shared" si="2"/>
        <v>0.74198047419804747</v>
      </c>
      <c r="I16" s="1" t="s">
        <v>532</v>
      </c>
      <c r="J16" s="2">
        <v>232</v>
      </c>
      <c r="K16" s="2">
        <v>603</v>
      </c>
      <c r="L16" s="2">
        <v>835</v>
      </c>
      <c r="M16" s="3">
        <v>0.27784431137724552</v>
      </c>
      <c r="N16" s="6">
        <v>-1.98</v>
      </c>
    </row>
    <row r="17" spans="1:14" x14ac:dyDescent="0.2">
      <c r="A17" s="1" t="s">
        <v>28</v>
      </c>
      <c r="B17" s="1" t="s">
        <v>34</v>
      </c>
      <c r="C17" s="1" t="s">
        <v>34</v>
      </c>
      <c r="D17" s="2">
        <v>35</v>
      </c>
      <c r="E17" s="2">
        <v>77</v>
      </c>
      <c r="F17" s="2">
        <f t="shared" si="0"/>
        <v>112</v>
      </c>
      <c r="G17" s="3">
        <f t="shared" si="1"/>
        <v>0.3125</v>
      </c>
      <c r="H17" s="3">
        <f t="shared" si="2"/>
        <v>0.6875</v>
      </c>
      <c r="I17" s="1" t="s">
        <v>532</v>
      </c>
      <c r="J17" s="2">
        <v>38</v>
      </c>
      <c r="K17" s="2">
        <v>78</v>
      </c>
      <c r="L17" s="2">
        <v>116</v>
      </c>
      <c r="M17" s="3">
        <v>0.32758620689655171</v>
      </c>
      <c r="N17" s="6">
        <v>-1.51</v>
      </c>
    </row>
    <row r="18" spans="1:14" x14ac:dyDescent="0.2">
      <c r="A18" s="1" t="s">
        <v>28</v>
      </c>
      <c r="B18" s="1" t="s">
        <v>35</v>
      </c>
      <c r="C18" s="1" t="s">
        <v>132</v>
      </c>
      <c r="D18" s="2">
        <v>271</v>
      </c>
      <c r="E18" s="2">
        <v>753</v>
      </c>
      <c r="F18" s="2">
        <f t="shared" si="0"/>
        <v>1024</v>
      </c>
      <c r="G18" s="3">
        <f t="shared" si="1"/>
        <v>0.2646484375</v>
      </c>
      <c r="H18" s="3">
        <f t="shared" si="2"/>
        <v>0.7353515625</v>
      </c>
      <c r="I18" s="1" t="s">
        <v>532</v>
      </c>
      <c r="J18" s="2">
        <v>301</v>
      </c>
      <c r="K18" s="2">
        <v>760</v>
      </c>
      <c r="L18" s="2">
        <v>1061</v>
      </c>
      <c r="M18" s="3">
        <v>0.28369462770970783</v>
      </c>
      <c r="N18" s="6">
        <v>-1.9</v>
      </c>
    </row>
    <row r="19" spans="1:14" x14ac:dyDescent="0.2">
      <c r="A19" s="1" t="s">
        <v>28</v>
      </c>
      <c r="B19" s="1" t="s">
        <v>35</v>
      </c>
      <c r="C19" s="1" t="s">
        <v>133</v>
      </c>
      <c r="D19" s="2">
        <v>150</v>
      </c>
      <c r="E19" s="2">
        <v>428</v>
      </c>
      <c r="F19" s="2">
        <f t="shared" si="0"/>
        <v>578</v>
      </c>
      <c r="G19" s="3">
        <f t="shared" si="1"/>
        <v>0.25951557093425603</v>
      </c>
      <c r="H19" s="3">
        <f t="shared" si="2"/>
        <v>0.74048442906574397</v>
      </c>
      <c r="I19" s="1" t="s">
        <v>532</v>
      </c>
      <c r="J19" s="2">
        <v>164</v>
      </c>
      <c r="K19" s="2">
        <v>450</v>
      </c>
      <c r="L19" s="2">
        <v>614</v>
      </c>
      <c r="M19" s="3">
        <v>0.26710097719869708</v>
      </c>
      <c r="N19" s="6">
        <v>-0.76</v>
      </c>
    </row>
    <row r="20" spans="1:14" x14ac:dyDescent="0.2">
      <c r="A20" s="1" t="s">
        <v>28</v>
      </c>
      <c r="B20" s="1" t="s">
        <v>35</v>
      </c>
      <c r="C20" s="1" t="s">
        <v>134</v>
      </c>
      <c r="D20" s="2">
        <v>196</v>
      </c>
      <c r="E20" s="2">
        <v>635</v>
      </c>
      <c r="F20" s="2">
        <f t="shared" si="0"/>
        <v>831</v>
      </c>
      <c r="G20" s="3">
        <f t="shared" si="1"/>
        <v>0.23586040914560771</v>
      </c>
      <c r="H20" s="3">
        <f t="shared" si="2"/>
        <v>0.76413959085439231</v>
      </c>
      <c r="I20" s="1" t="s">
        <v>532</v>
      </c>
      <c r="J20" s="2">
        <v>235</v>
      </c>
      <c r="K20" s="2">
        <v>626</v>
      </c>
      <c r="L20" s="2">
        <v>861</v>
      </c>
      <c r="M20" s="3">
        <v>0.27293844367015102</v>
      </c>
      <c r="N20" s="6">
        <v>-3.71</v>
      </c>
    </row>
    <row r="21" spans="1:14" x14ac:dyDescent="0.2">
      <c r="A21" s="1" t="s">
        <v>28</v>
      </c>
      <c r="B21" s="1" t="s">
        <v>36</v>
      </c>
      <c r="C21" s="1" t="s">
        <v>135</v>
      </c>
      <c r="D21" s="2">
        <v>211</v>
      </c>
      <c r="E21" s="2">
        <v>292</v>
      </c>
      <c r="F21" s="2">
        <f t="shared" si="0"/>
        <v>503</v>
      </c>
      <c r="G21" s="3">
        <f t="shared" si="1"/>
        <v>0.41948310139165013</v>
      </c>
      <c r="H21" s="3">
        <f t="shared" si="2"/>
        <v>0.58051689860834987</v>
      </c>
      <c r="I21" s="1" t="s">
        <v>532</v>
      </c>
      <c r="J21" s="2">
        <v>229</v>
      </c>
      <c r="K21" s="2">
        <v>297</v>
      </c>
      <c r="L21" s="2">
        <v>526</v>
      </c>
      <c r="M21" s="3">
        <v>0.43536121673003803</v>
      </c>
      <c r="N21" s="6">
        <v>-1.59</v>
      </c>
    </row>
    <row r="22" spans="1:14" x14ac:dyDescent="0.2">
      <c r="A22" s="1" t="s">
        <v>28</v>
      </c>
      <c r="B22" s="1" t="s">
        <v>36</v>
      </c>
      <c r="C22" s="1" t="s">
        <v>136</v>
      </c>
      <c r="D22" s="2">
        <v>151</v>
      </c>
      <c r="E22" s="2">
        <v>211</v>
      </c>
      <c r="F22" s="2">
        <f t="shared" si="0"/>
        <v>362</v>
      </c>
      <c r="G22" s="3">
        <f t="shared" si="1"/>
        <v>0.41712707182320441</v>
      </c>
      <c r="H22" s="3">
        <f t="shared" si="2"/>
        <v>0.58287292817679559</v>
      </c>
      <c r="I22" s="1" t="s">
        <v>532</v>
      </c>
      <c r="J22" s="2">
        <v>163</v>
      </c>
      <c r="K22" s="2">
        <v>226</v>
      </c>
      <c r="L22" s="2">
        <v>389</v>
      </c>
      <c r="M22" s="3">
        <v>0.41902313624678661</v>
      </c>
      <c r="N22" s="6">
        <v>-0.19</v>
      </c>
    </row>
    <row r="23" spans="1:14" x14ac:dyDescent="0.2">
      <c r="A23" s="1" t="s">
        <v>28</v>
      </c>
      <c r="B23" s="1" t="s">
        <v>36</v>
      </c>
      <c r="C23" s="1" t="s">
        <v>137</v>
      </c>
      <c r="D23" s="2">
        <v>252</v>
      </c>
      <c r="E23" s="2">
        <v>478</v>
      </c>
      <c r="F23" s="2">
        <f t="shared" si="0"/>
        <v>730</v>
      </c>
      <c r="G23" s="3">
        <f t="shared" si="1"/>
        <v>0.34520547945205482</v>
      </c>
      <c r="H23" s="3">
        <f t="shared" si="2"/>
        <v>0.65479452054794518</v>
      </c>
      <c r="I23" s="1" t="s">
        <v>532</v>
      </c>
      <c r="J23" s="2">
        <v>286</v>
      </c>
      <c r="K23" s="2">
        <v>464</v>
      </c>
      <c r="L23" s="2">
        <v>750</v>
      </c>
      <c r="M23" s="3">
        <v>0.38133333333333341</v>
      </c>
      <c r="N23" s="6">
        <v>-3.61</v>
      </c>
    </row>
    <row r="24" spans="1:14" x14ac:dyDescent="0.2">
      <c r="A24" s="1" t="s">
        <v>28</v>
      </c>
      <c r="B24" s="1" t="s">
        <v>36</v>
      </c>
      <c r="C24" s="1" t="s">
        <v>138</v>
      </c>
      <c r="D24" s="2">
        <v>126</v>
      </c>
      <c r="E24" s="2">
        <v>117</v>
      </c>
      <c r="F24" s="2">
        <f t="shared" si="0"/>
        <v>243</v>
      </c>
      <c r="G24" s="3">
        <f t="shared" si="1"/>
        <v>0.51851851851851849</v>
      </c>
      <c r="H24" s="3">
        <f t="shared" si="2"/>
        <v>0.48148148148148145</v>
      </c>
      <c r="I24" s="1" t="s">
        <v>532</v>
      </c>
      <c r="J24" s="2">
        <v>138</v>
      </c>
      <c r="K24" s="2">
        <v>134</v>
      </c>
      <c r="L24" s="2">
        <v>272</v>
      </c>
      <c r="M24" s="3">
        <v>0.50735294117647056</v>
      </c>
      <c r="N24" s="6">
        <v>1.1200000000000001</v>
      </c>
    </row>
    <row r="25" spans="1:14" x14ac:dyDescent="0.2">
      <c r="A25" s="1" t="s">
        <v>28</v>
      </c>
      <c r="B25" s="1" t="s">
        <v>36</v>
      </c>
      <c r="C25" s="1" t="s">
        <v>139</v>
      </c>
      <c r="D25" s="2">
        <v>267</v>
      </c>
      <c r="E25" s="2">
        <v>320</v>
      </c>
      <c r="F25" s="2">
        <f t="shared" si="0"/>
        <v>587</v>
      </c>
      <c r="G25" s="3">
        <f t="shared" si="1"/>
        <v>0.45485519591141399</v>
      </c>
      <c r="H25" s="3">
        <f t="shared" si="2"/>
        <v>0.54514480408858601</v>
      </c>
      <c r="I25" s="1" t="s">
        <v>532</v>
      </c>
      <c r="J25" s="2">
        <v>275</v>
      </c>
      <c r="K25" s="2">
        <v>352</v>
      </c>
      <c r="L25" s="2">
        <v>627</v>
      </c>
      <c r="M25" s="3">
        <v>0.43859649122807021</v>
      </c>
      <c r="N25" s="6">
        <v>1.63</v>
      </c>
    </row>
    <row r="26" spans="1:14" x14ac:dyDescent="0.2">
      <c r="A26" s="1" t="s">
        <v>28</v>
      </c>
      <c r="B26" s="1" t="s">
        <v>37</v>
      </c>
      <c r="C26" s="1" t="s">
        <v>140</v>
      </c>
      <c r="D26" s="2">
        <v>88</v>
      </c>
      <c r="E26" s="2">
        <v>196</v>
      </c>
      <c r="F26" s="2">
        <f t="shared" si="0"/>
        <v>284</v>
      </c>
      <c r="G26" s="3">
        <f t="shared" si="1"/>
        <v>0.30985915492957744</v>
      </c>
      <c r="H26" s="3">
        <f t="shared" si="2"/>
        <v>0.6901408450704225</v>
      </c>
      <c r="I26" s="1" t="s">
        <v>532</v>
      </c>
      <c r="J26" s="2">
        <v>120</v>
      </c>
      <c r="K26" s="2">
        <v>202</v>
      </c>
      <c r="L26" s="2">
        <v>322</v>
      </c>
      <c r="M26" s="3">
        <v>0.37267080745341608</v>
      </c>
      <c r="N26" s="6">
        <v>-6.28</v>
      </c>
    </row>
    <row r="27" spans="1:14" x14ac:dyDescent="0.2">
      <c r="A27" s="1" t="s">
        <v>28</v>
      </c>
      <c r="B27" s="1" t="s">
        <v>37</v>
      </c>
      <c r="C27" s="1" t="s">
        <v>141</v>
      </c>
      <c r="D27" s="2">
        <v>210</v>
      </c>
      <c r="E27" s="2">
        <v>542</v>
      </c>
      <c r="F27" s="2">
        <f t="shared" si="0"/>
        <v>752</v>
      </c>
      <c r="G27" s="3">
        <f t="shared" si="1"/>
        <v>0.27925531914893614</v>
      </c>
      <c r="H27" s="3">
        <f t="shared" si="2"/>
        <v>0.7207446808510638</v>
      </c>
      <c r="I27" s="1" t="s">
        <v>532</v>
      </c>
      <c r="J27" s="2">
        <v>227</v>
      </c>
      <c r="K27" s="2">
        <v>484</v>
      </c>
      <c r="L27" s="2">
        <v>711</v>
      </c>
      <c r="M27" s="3">
        <v>0.31926863572433201</v>
      </c>
      <c r="N27" s="6">
        <v>-4</v>
      </c>
    </row>
    <row r="28" spans="1:14" x14ac:dyDescent="0.2">
      <c r="A28" s="1" t="s">
        <v>28</v>
      </c>
      <c r="B28" s="1" t="s">
        <v>38</v>
      </c>
      <c r="C28" s="1" t="s">
        <v>142</v>
      </c>
      <c r="D28" s="2">
        <v>233</v>
      </c>
      <c r="E28" s="2">
        <v>413</v>
      </c>
      <c r="F28" s="2">
        <f t="shared" si="0"/>
        <v>646</v>
      </c>
      <c r="G28" s="3">
        <f t="shared" si="1"/>
        <v>0.36068111455108359</v>
      </c>
      <c r="H28" s="3">
        <f t="shared" si="2"/>
        <v>0.63931888544891646</v>
      </c>
      <c r="I28" s="1" t="s">
        <v>532</v>
      </c>
      <c r="J28" s="2">
        <v>249</v>
      </c>
      <c r="K28" s="2">
        <v>392</v>
      </c>
      <c r="L28" s="2">
        <v>641</v>
      </c>
      <c r="M28" s="3">
        <v>0.38845553822152878</v>
      </c>
      <c r="N28" s="6">
        <v>-2.78</v>
      </c>
    </row>
    <row r="29" spans="1:14" x14ac:dyDescent="0.2">
      <c r="A29" s="1" t="s">
        <v>28</v>
      </c>
      <c r="B29" s="1" t="s">
        <v>38</v>
      </c>
      <c r="C29" s="1" t="s">
        <v>143</v>
      </c>
      <c r="D29" s="2">
        <v>152</v>
      </c>
      <c r="E29" s="2">
        <v>238</v>
      </c>
      <c r="F29" s="2">
        <f t="shared" si="0"/>
        <v>390</v>
      </c>
      <c r="G29" s="3">
        <f t="shared" si="1"/>
        <v>0.38974358974358975</v>
      </c>
      <c r="H29" s="3">
        <f t="shared" si="2"/>
        <v>0.61025641025641031</v>
      </c>
      <c r="I29" s="1" t="s">
        <v>532</v>
      </c>
      <c r="J29" s="2">
        <v>152</v>
      </c>
      <c r="K29" s="2">
        <v>246</v>
      </c>
      <c r="L29" s="2">
        <v>398</v>
      </c>
      <c r="M29" s="3">
        <v>0.38190954773869351</v>
      </c>
      <c r="N29" s="6">
        <v>0.78</v>
      </c>
    </row>
    <row r="30" spans="1:14" x14ac:dyDescent="0.2">
      <c r="A30" s="1" t="s">
        <v>28</v>
      </c>
      <c r="B30" s="1" t="s">
        <v>38</v>
      </c>
      <c r="C30" s="1" t="s">
        <v>144</v>
      </c>
      <c r="D30" s="2">
        <v>162</v>
      </c>
      <c r="E30" s="2">
        <v>210</v>
      </c>
      <c r="F30" s="2">
        <f t="shared" si="0"/>
        <v>372</v>
      </c>
      <c r="G30" s="3">
        <f t="shared" si="1"/>
        <v>0.43548387096774194</v>
      </c>
      <c r="H30" s="3">
        <f t="shared" si="2"/>
        <v>0.56451612903225812</v>
      </c>
      <c r="I30" s="1" t="s">
        <v>532</v>
      </c>
      <c r="J30" s="2">
        <v>165</v>
      </c>
      <c r="K30" s="2">
        <v>237</v>
      </c>
      <c r="L30" s="2">
        <v>402</v>
      </c>
      <c r="M30" s="3">
        <v>0.41044776119402993</v>
      </c>
      <c r="N30" s="6">
        <v>2.5</v>
      </c>
    </row>
    <row r="31" spans="1:14" x14ac:dyDescent="0.2">
      <c r="A31" s="1" t="s">
        <v>28</v>
      </c>
      <c r="B31" s="1" t="s">
        <v>39</v>
      </c>
      <c r="C31" s="1" t="s">
        <v>39</v>
      </c>
      <c r="D31" s="2">
        <v>37</v>
      </c>
      <c r="E31" s="2">
        <v>101</v>
      </c>
      <c r="F31" s="2">
        <f t="shared" si="0"/>
        <v>138</v>
      </c>
      <c r="G31" s="3">
        <f t="shared" si="1"/>
        <v>0.26811594202898553</v>
      </c>
      <c r="H31" s="3">
        <f t="shared" si="2"/>
        <v>0.73188405797101452</v>
      </c>
      <c r="I31" s="1" t="s">
        <v>532</v>
      </c>
      <c r="J31" s="2">
        <v>38</v>
      </c>
      <c r="K31" s="2">
        <v>106</v>
      </c>
      <c r="L31" s="2">
        <v>144</v>
      </c>
      <c r="M31" s="3">
        <v>0.2638888888888889</v>
      </c>
      <c r="N31" s="6">
        <v>0.42</v>
      </c>
    </row>
    <row r="32" spans="1:14" x14ac:dyDescent="0.2">
      <c r="A32" s="1" t="s">
        <v>28</v>
      </c>
      <c r="B32" s="1" t="s">
        <v>40</v>
      </c>
      <c r="C32" s="1" t="s">
        <v>40</v>
      </c>
      <c r="D32" s="2">
        <v>50</v>
      </c>
      <c r="E32" s="2">
        <v>214</v>
      </c>
      <c r="F32" s="2">
        <f t="shared" si="0"/>
        <v>264</v>
      </c>
      <c r="G32" s="3">
        <f t="shared" si="1"/>
        <v>0.18939393939393939</v>
      </c>
      <c r="H32" s="3">
        <f t="shared" si="2"/>
        <v>0.81060606060606055</v>
      </c>
      <c r="I32" s="1" t="s">
        <v>532</v>
      </c>
      <c r="J32" s="2">
        <v>58</v>
      </c>
      <c r="K32" s="2">
        <v>214</v>
      </c>
      <c r="L32" s="2">
        <v>272</v>
      </c>
      <c r="M32" s="3">
        <v>0.21323529411764711</v>
      </c>
      <c r="N32" s="6">
        <v>-2.38</v>
      </c>
    </row>
    <row r="33" spans="1:14" x14ac:dyDescent="0.2">
      <c r="A33" s="1" t="s">
        <v>28</v>
      </c>
      <c r="B33" s="1" t="s">
        <v>41</v>
      </c>
      <c r="C33" s="1" t="s">
        <v>145</v>
      </c>
      <c r="D33" s="2">
        <v>301</v>
      </c>
      <c r="E33" s="2">
        <v>490</v>
      </c>
      <c r="F33" s="2">
        <f t="shared" si="0"/>
        <v>791</v>
      </c>
      <c r="G33" s="3">
        <f t="shared" si="1"/>
        <v>0.38053097345132741</v>
      </c>
      <c r="H33" s="3">
        <f t="shared" si="2"/>
        <v>0.61946902654867253</v>
      </c>
      <c r="I33" s="1" t="s">
        <v>532</v>
      </c>
      <c r="J33" s="2">
        <v>321</v>
      </c>
      <c r="K33" s="2">
        <v>498</v>
      </c>
      <c r="L33" s="2">
        <v>819</v>
      </c>
      <c r="M33" s="3">
        <v>0.39194139194139188</v>
      </c>
      <c r="N33" s="6">
        <v>-1.1399999999999999</v>
      </c>
    </row>
    <row r="34" spans="1:14" x14ac:dyDescent="0.2">
      <c r="A34" s="1" t="s">
        <v>28</v>
      </c>
      <c r="B34" s="1" t="s">
        <v>41</v>
      </c>
      <c r="C34" s="1" t="s">
        <v>146</v>
      </c>
      <c r="D34" s="2">
        <v>306</v>
      </c>
      <c r="E34" s="2">
        <v>410</v>
      </c>
      <c r="F34" s="2">
        <f t="shared" si="0"/>
        <v>716</v>
      </c>
      <c r="G34" s="3">
        <f t="shared" si="1"/>
        <v>0.42737430167597767</v>
      </c>
      <c r="H34" s="3">
        <f t="shared" si="2"/>
        <v>0.57262569832402233</v>
      </c>
      <c r="I34" s="1" t="s">
        <v>532</v>
      </c>
      <c r="J34" s="2">
        <v>288</v>
      </c>
      <c r="K34" s="2">
        <v>448</v>
      </c>
      <c r="L34" s="2">
        <v>736</v>
      </c>
      <c r="M34" s="3">
        <v>0.39130434782608697</v>
      </c>
      <c r="N34" s="6">
        <v>3.61</v>
      </c>
    </row>
    <row r="35" spans="1:14" x14ac:dyDescent="0.2">
      <c r="A35" s="1" t="s">
        <v>28</v>
      </c>
      <c r="B35" s="1" t="s">
        <v>41</v>
      </c>
      <c r="C35" s="1" t="s">
        <v>147</v>
      </c>
      <c r="D35" s="2">
        <v>299</v>
      </c>
      <c r="E35" s="2">
        <v>458</v>
      </c>
      <c r="F35" s="2">
        <f t="shared" si="0"/>
        <v>757</v>
      </c>
      <c r="G35" s="3">
        <f t="shared" si="1"/>
        <v>0.39498018494055481</v>
      </c>
      <c r="H35" s="3">
        <f t="shared" si="2"/>
        <v>0.60501981505944513</v>
      </c>
      <c r="I35" s="1" t="s">
        <v>532</v>
      </c>
      <c r="J35" s="2">
        <v>317</v>
      </c>
      <c r="K35" s="2">
        <v>527</v>
      </c>
      <c r="L35" s="2">
        <v>844</v>
      </c>
      <c r="M35" s="3">
        <v>0.37559241706161139</v>
      </c>
      <c r="N35" s="6">
        <v>1.94</v>
      </c>
    </row>
    <row r="36" spans="1:14" x14ac:dyDescent="0.2">
      <c r="A36" s="1" t="s">
        <v>28</v>
      </c>
      <c r="B36" s="1" t="s">
        <v>42</v>
      </c>
      <c r="C36" s="1" t="s">
        <v>148</v>
      </c>
      <c r="D36" s="2">
        <v>263</v>
      </c>
      <c r="E36" s="2">
        <v>734</v>
      </c>
      <c r="F36" s="2">
        <f t="shared" si="0"/>
        <v>997</v>
      </c>
      <c r="G36" s="3">
        <f t="shared" si="1"/>
        <v>0.26379137412236708</v>
      </c>
      <c r="H36" s="3">
        <f t="shared" si="2"/>
        <v>0.73620862587763292</v>
      </c>
      <c r="I36" s="1" t="s">
        <v>532</v>
      </c>
      <c r="J36" s="2">
        <v>285</v>
      </c>
      <c r="K36" s="2">
        <v>760</v>
      </c>
      <c r="L36" s="2">
        <v>1045</v>
      </c>
      <c r="M36" s="3">
        <v>0.27272727272727271</v>
      </c>
      <c r="N36" s="6">
        <v>-0.89</v>
      </c>
    </row>
    <row r="37" spans="1:14" x14ac:dyDescent="0.2">
      <c r="A37" s="1" t="s">
        <v>28</v>
      </c>
      <c r="B37" s="1" t="s">
        <v>42</v>
      </c>
      <c r="C37" s="1" t="s">
        <v>149</v>
      </c>
      <c r="D37" s="2">
        <v>196</v>
      </c>
      <c r="E37" s="2">
        <v>488</v>
      </c>
      <c r="F37" s="2">
        <f t="shared" si="0"/>
        <v>684</v>
      </c>
      <c r="G37" s="3">
        <f t="shared" si="1"/>
        <v>0.28654970760233917</v>
      </c>
      <c r="H37" s="3">
        <f t="shared" si="2"/>
        <v>0.71345029239766078</v>
      </c>
      <c r="I37" s="1" t="s">
        <v>532</v>
      </c>
      <c r="J37" s="2">
        <v>228</v>
      </c>
      <c r="K37" s="2">
        <v>522</v>
      </c>
      <c r="L37" s="2">
        <v>750</v>
      </c>
      <c r="M37" s="3">
        <v>0.30399999999999999</v>
      </c>
      <c r="N37" s="6">
        <v>-1.75</v>
      </c>
    </row>
    <row r="38" spans="1:14" x14ac:dyDescent="0.2">
      <c r="A38" s="1" t="s">
        <v>28</v>
      </c>
      <c r="B38" s="1" t="s">
        <v>43</v>
      </c>
      <c r="C38" s="1" t="s">
        <v>150</v>
      </c>
      <c r="D38" s="2">
        <v>114</v>
      </c>
      <c r="E38" s="2">
        <v>383</v>
      </c>
      <c r="F38" s="2">
        <f t="shared" si="0"/>
        <v>497</v>
      </c>
      <c r="G38" s="3">
        <f t="shared" si="1"/>
        <v>0.22937625754527163</v>
      </c>
      <c r="H38" s="3">
        <f t="shared" si="2"/>
        <v>0.77062374245472842</v>
      </c>
      <c r="I38" s="1" t="s">
        <v>532</v>
      </c>
      <c r="J38" s="2">
        <v>135</v>
      </c>
      <c r="K38" s="2">
        <v>395</v>
      </c>
      <c r="L38" s="2">
        <v>530</v>
      </c>
      <c r="M38" s="3">
        <v>0.25471698113207553</v>
      </c>
      <c r="N38" s="6">
        <v>-2.5299999999999998</v>
      </c>
    </row>
    <row r="39" spans="1:14" x14ac:dyDescent="0.2">
      <c r="A39" s="1" t="s">
        <v>28</v>
      </c>
      <c r="B39" s="1" t="s">
        <v>43</v>
      </c>
      <c r="C39" s="1" t="s">
        <v>151</v>
      </c>
      <c r="D39" s="2">
        <v>105</v>
      </c>
      <c r="E39" s="2">
        <v>286</v>
      </c>
      <c r="F39" s="2">
        <f t="shared" si="0"/>
        <v>391</v>
      </c>
      <c r="G39" s="3">
        <f t="shared" si="1"/>
        <v>0.26854219948849106</v>
      </c>
      <c r="H39" s="3">
        <f t="shared" si="2"/>
        <v>0.73145780051150899</v>
      </c>
      <c r="I39" s="1" t="s">
        <v>532</v>
      </c>
      <c r="J39" s="2">
        <v>124</v>
      </c>
      <c r="K39" s="2">
        <v>298</v>
      </c>
      <c r="L39" s="2">
        <v>422</v>
      </c>
      <c r="M39" s="3">
        <v>0.29383886255924169</v>
      </c>
      <c r="N39" s="6">
        <v>-2.5299999999999998</v>
      </c>
    </row>
    <row r="40" spans="1:14" x14ac:dyDescent="0.2">
      <c r="A40" s="1" t="s">
        <v>28</v>
      </c>
      <c r="B40" s="1" t="s">
        <v>43</v>
      </c>
      <c r="C40" s="1" t="s">
        <v>152</v>
      </c>
      <c r="D40" s="2">
        <v>369</v>
      </c>
      <c r="E40" s="2">
        <v>931</v>
      </c>
      <c r="F40" s="2">
        <f t="shared" si="0"/>
        <v>1300</v>
      </c>
      <c r="G40" s="3">
        <f t="shared" si="1"/>
        <v>0.28384615384615386</v>
      </c>
      <c r="H40" s="3">
        <f t="shared" si="2"/>
        <v>0.71615384615384614</v>
      </c>
      <c r="I40" s="1" t="s">
        <v>532</v>
      </c>
      <c r="J40" s="2">
        <v>424</v>
      </c>
      <c r="K40" s="2">
        <v>988</v>
      </c>
      <c r="L40" s="2">
        <v>1412</v>
      </c>
      <c r="M40" s="3">
        <v>0.3002832861189802</v>
      </c>
      <c r="N40" s="6">
        <v>-1.64</v>
      </c>
    </row>
    <row r="41" spans="1:14" x14ac:dyDescent="0.2">
      <c r="A41" s="1" t="s">
        <v>28</v>
      </c>
      <c r="B41" s="1" t="s">
        <v>44</v>
      </c>
      <c r="C41" s="1" t="s">
        <v>153</v>
      </c>
      <c r="D41" s="2">
        <v>279</v>
      </c>
      <c r="E41" s="2">
        <v>421</v>
      </c>
      <c r="F41" s="2">
        <f t="shared" si="0"/>
        <v>700</v>
      </c>
      <c r="G41" s="3">
        <f t="shared" si="1"/>
        <v>0.39857142857142858</v>
      </c>
      <c r="H41" s="3">
        <f t="shared" si="2"/>
        <v>0.60142857142857142</v>
      </c>
      <c r="I41" s="1" t="s">
        <v>532</v>
      </c>
      <c r="J41" s="2">
        <v>279</v>
      </c>
      <c r="K41" s="2">
        <v>445</v>
      </c>
      <c r="L41" s="2">
        <v>724</v>
      </c>
      <c r="M41" s="3">
        <v>0.38535911602209938</v>
      </c>
      <c r="N41" s="6">
        <v>1.32</v>
      </c>
    </row>
    <row r="42" spans="1:14" x14ac:dyDescent="0.2">
      <c r="A42" s="1" t="s">
        <v>28</v>
      </c>
      <c r="B42" s="1" t="s">
        <v>44</v>
      </c>
      <c r="C42" s="1" t="s">
        <v>154</v>
      </c>
      <c r="D42" s="2">
        <v>269</v>
      </c>
      <c r="E42" s="2">
        <v>487</v>
      </c>
      <c r="F42" s="2">
        <f t="shared" si="0"/>
        <v>756</v>
      </c>
      <c r="G42" s="3">
        <f t="shared" si="1"/>
        <v>0.35582010582010581</v>
      </c>
      <c r="H42" s="3">
        <f t="shared" si="2"/>
        <v>0.64417989417989419</v>
      </c>
      <c r="I42" s="1" t="s">
        <v>532</v>
      </c>
      <c r="J42" s="2">
        <v>309</v>
      </c>
      <c r="K42" s="2">
        <v>488</v>
      </c>
      <c r="L42" s="2">
        <v>797</v>
      </c>
      <c r="M42" s="3">
        <v>0.38770388958594731</v>
      </c>
      <c r="N42" s="6">
        <v>-3.19</v>
      </c>
    </row>
    <row r="43" spans="1:14" x14ac:dyDescent="0.2">
      <c r="A43" s="1" t="s">
        <v>28</v>
      </c>
      <c r="B43" s="1" t="s">
        <v>45</v>
      </c>
      <c r="C43" s="1" t="s">
        <v>45</v>
      </c>
      <c r="D43" s="2">
        <v>90</v>
      </c>
      <c r="E43" s="2">
        <v>504</v>
      </c>
      <c r="F43" s="2">
        <f t="shared" si="0"/>
        <v>594</v>
      </c>
      <c r="G43" s="3">
        <f t="shared" si="1"/>
        <v>0.15151515151515152</v>
      </c>
      <c r="H43" s="3">
        <f t="shared" si="2"/>
        <v>0.84848484848484851</v>
      </c>
      <c r="I43" s="1" t="s">
        <v>532</v>
      </c>
      <c r="J43" s="2">
        <v>134</v>
      </c>
      <c r="K43" s="2">
        <v>503</v>
      </c>
      <c r="L43" s="2">
        <v>637</v>
      </c>
      <c r="M43" s="3">
        <v>0.21036106750392461</v>
      </c>
      <c r="N43" s="6">
        <v>-5.88</v>
      </c>
    </row>
    <row r="44" spans="1:14" x14ac:dyDescent="0.2">
      <c r="A44" s="1" t="s">
        <v>28</v>
      </c>
      <c r="B44" s="1" t="s">
        <v>46</v>
      </c>
      <c r="C44" s="1" t="s">
        <v>155</v>
      </c>
      <c r="D44" s="2">
        <v>285</v>
      </c>
      <c r="E44" s="2">
        <v>600</v>
      </c>
      <c r="F44" s="2">
        <f t="shared" si="0"/>
        <v>885</v>
      </c>
      <c r="G44" s="3">
        <f t="shared" si="1"/>
        <v>0.32203389830508472</v>
      </c>
      <c r="H44" s="3">
        <f t="shared" si="2"/>
        <v>0.67796610169491522</v>
      </c>
      <c r="I44" s="1" t="s">
        <v>532</v>
      </c>
      <c r="J44" s="2">
        <v>281</v>
      </c>
      <c r="K44" s="2">
        <v>592</v>
      </c>
      <c r="L44" s="2">
        <v>873</v>
      </c>
      <c r="M44" s="3">
        <v>0.3218785796105384</v>
      </c>
      <c r="N44" s="6">
        <v>0.02</v>
      </c>
    </row>
    <row r="45" spans="1:14" x14ac:dyDescent="0.2">
      <c r="A45" s="1" t="s">
        <v>28</v>
      </c>
      <c r="B45" s="1" t="s">
        <v>46</v>
      </c>
      <c r="C45" s="1" t="s">
        <v>156</v>
      </c>
      <c r="D45" s="2">
        <v>485</v>
      </c>
      <c r="E45" s="2">
        <v>777</v>
      </c>
      <c r="F45" s="2">
        <f t="shared" si="0"/>
        <v>1262</v>
      </c>
      <c r="G45" s="3">
        <f t="shared" si="1"/>
        <v>0.38431061806656103</v>
      </c>
      <c r="H45" s="3">
        <f t="shared" si="2"/>
        <v>0.61568938193343903</v>
      </c>
      <c r="I45" s="1" t="s">
        <v>532</v>
      </c>
      <c r="J45" s="2">
        <v>467</v>
      </c>
      <c r="K45" s="2">
        <v>782</v>
      </c>
      <c r="L45" s="2">
        <v>1249</v>
      </c>
      <c r="M45" s="3">
        <v>0.37389911929543629</v>
      </c>
      <c r="N45" s="6">
        <v>1.04</v>
      </c>
    </row>
    <row r="46" spans="1:14" x14ac:dyDescent="0.2">
      <c r="A46" s="1" t="s">
        <v>28</v>
      </c>
      <c r="B46" s="1" t="s">
        <v>46</v>
      </c>
      <c r="C46" s="1" t="s">
        <v>157</v>
      </c>
      <c r="D46" s="2">
        <v>133</v>
      </c>
      <c r="E46" s="2">
        <v>280</v>
      </c>
      <c r="F46" s="2">
        <f t="shared" si="0"/>
        <v>413</v>
      </c>
      <c r="G46" s="3">
        <f t="shared" si="1"/>
        <v>0.32203389830508472</v>
      </c>
      <c r="H46" s="3">
        <f t="shared" si="2"/>
        <v>0.67796610169491522</v>
      </c>
      <c r="I46" s="1" t="s">
        <v>532</v>
      </c>
      <c r="J46" s="2">
        <v>136</v>
      </c>
      <c r="K46" s="2">
        <v>278</v>
      </c>
      <c r="L46" s="2">
        <v>414</v>
      </c>
      <c r="M46" s="3">
        <v>0.32850241545893721</v>
      </c>
      <c r="N46" s="6">
        <v>-0.65</v>
      </c>
    </row>
    <row r="47" spans="1:14" x14ac:dyDescent="0.2">
      <c r="A47" s="1" t="s">
        <v>28</v>
      </c>
      <c r="B47" s="1" t="s">
        <v>47</v>
      </c>
      <c r="C47" s="1" t="s">
        <v>47</v>
      </c>
      <c r="D47" s="2">
        <v>52</v>
      </c>
      <c r="E47" s="2">
        <v>163</v>
      </c>
      <c r="F47" s="2">
        <f t="shared" si="0"/>
        <v>215</v>
      </c>
      <c r="G47" s="3">
        <f t="shared" si="1"/>
        <v>0.24186046511627907</v>
      </c>
      <c r="H47" s="3">
        <f t="shared" si="2"/>
        <v>0.75813953488372088</v>
      </c>
      <c r="I47" s="1" t="s">
        <v>532</v>
      </c>
      <c r="J47" s="2">
        <v>68</v>
      </c>
      <c r="K47" s="2">
        <v>153</v>
      </c>
      <c r="L47" s="2">
        <v>221</v>
      </c>
      <c r="M47" s="3">
        <v>0.30769230769230771</v>
      </c>
      <c r="N47" s="6">
        <v>-6.58</v>
      </c>
    </row>
    <row r="48" spans="1:14" x14ac:dyDescent="0.2">
      <c r="A48" s="1" t="s">
        <v>28</v>
      </c>
      <c r="B48" s="1" t="s">
        <v>48</v>
      </c>
      <c r="C48" s="1" t="s">
        <v>158</v>
      </c>
      <c r="D48" s="2">
        <v>369</v>
      </c>
      <c r="E48" s="2">
        <v>724</v>
      </c>
      <c r="F48" s="2">
        <f t="shared" si="0"/>
        <v>1093</v>
      </c>
      <c r="G48" s="3">
        <f t="shared" si="1"/>
        <v>0.3376029277218664</v>
      </c>
      <c r="H48" s="3">
        <f t="shared" si="2"/>
        <v>0.6623970722781336</v>
      </c>
      <c r="I48" s="1" t="s">
        <v>532</v>
      </c>
      <c r="J48" s="2">
        <v>432</v>
      </c>
      <c r="K48" s="2">
        <v>705</v>
      </c>
      <c r="L48" s="2">
        <v>1137</v>
      </c>
      <c r="M48" s="3">
        <v>0.37994722955145122</v>
      </c>
      <c r="N48" s="6">
        <v>-4.2300000000000004</v>
      </c>
    </row>
    <row r="49" spans="1:14" x14ac:dyDescent="0.2">
      <c r="A49" s="1" t="s">
        <v>28</v>
      </c>
      <c r="B49" s="1" t="s">
        <v>48</v>
      </c>
      <c r="C49" s="1" t="s">
        <v>159</v>
      </c>
      <c r="D49" s="2">
        <v>263</v>
      </c>
      <c r="E49" s="2">
        <v>524</v>
      </c>
      <c r="F49" s="2">
        <f t="shared" si="0"/>
        <v>787</v>
      </c>
      <c r="G49" s="3">
        <f t="shared" si="1"/>
        <v>0.33418043202033038</v>
      </c>
      <c r="H49" s="3">
        <f t="shared" si="2"/>
        <v>0.66581956797966968</v>
      </c>
      <c r="I49" s="1" t="s">
        <v>532</v>
      </c>
      <c r="J49" s="2">
        <v>296</v>
      </c>
      <c r="K49" s="2">
        <v>529</v>
      </c>
      <c r="L49" s="2">
        <v>825</v>
      </c>
      <c r="M49" s="3">
        <v>0.35878787878787882</v>
      </c>
      <c r="N49" s="6">
        <v>-2.46</v>
      </c>
    </row>
    <row r="50" spans="1:14" x14ac:dyDescent="0.2">
      <c r="A50" s="1" t="s">
        <v>28</v>
      </c>
      <c r="B50" s="1" t="s">
        <v>48</v>
      </c>
      <c r="C50" s="1" t="s">
        <v>160</v>
      </c>
      <c r="D50" s="2">
        <v>401</v>
      </c>
      <c r="E50" s="2">
        <v>747</v>
      </c>
      <c r="F50" s="2">
        <f t="shared" si="0"/>
        <v>1148</v>
      </c>
      <c r="G50" s="3">
        <f t="shared" si="1"/>
        <v>0.34930313588850176</v>
      </c>
      <c r="H50" s="3">
        <f t="shared" si="2"/>
        <v>0.6506968641114983</v>
      </c>
      <c r="I50" s="1" t="s">
        <v>532</v>
      </c>
      <c r="J50" s="2">
        <v>460</v>
      </c>
      <c r="K50" s="2">
        <v>791</v>
      </c>
      <c r="L50" s="2">
        <v>1251</v>
      </c>
      <c r="M50" s="3">
        <v>0.36770583533173462</v>
      </c>
      <c r="N50" s="6">
        <v>-1.84</v>
      </c>
    </row>
    <row r="51" spans="1:14" x14ac:dyDescent="0.2">
      <c r="A51" s="1" t="s">
        <v>28</v>
      </c>
      <c r="B51" s="1" t="s">
        <v>48</v>
      </c>
      <c r="C51" s="1" t="s">
        <v>161</v>
      </c>
      <c r="D51" s="2">
        <v>325</v>
      </c>
      <c r="E51" s="2">
        <v>883</v>
      </c>
      <c r="F51" s="2">
        <f t="shared" si="0"/>
        <v>1208</v>
      </c>
      <c r="G51" s="3">
        <f t="shared" si="1"/>
        <v>0.26903973509933776</v>
      </c>
      <c r="H51" s="3">
        <f t="shared" si="2"/>
        <v>0.73096026490066224</v>
      </c>
      <c r="I51" s="1" t="s">
        <v>532</v>
      </c>
      <c r="J51" s="2">
        <v>425</v>
      </c>
      <c r="K51" s="2">
        <v>920</v>
      </c>
      <c r="L51" s="2">
        <v>1345</v>
      </c>
      <c r="M51" s="3">
        <v>0.31598513011152418</v>
      </c>
      <c r="N51" s="6">
        <v>-4.6900000000000004</v>
      </c>
    </row>
    <row r="52" spans="1:14" x14ac:dyDescent="0.2">
      <c r="A52" s="1" t="s">
        <v>28</v>
      </c>
      <c r="B52" s="1" t="s">
        <v>48</v>
      </c>
      <c r="C52" s="1" t="s">
        <v>162</v>
      </c>
      <c r="D52" s="2">
        <v>314</v>
      </c>
      <c r="E52" s="2">
        <v>682</v>
      </c>
      <c r="F52" s="2">
        <f t="shared" si="0"/>
        <v>996</v>
      </c>
      <c r="G52" s="3">
        <f t="shared" si="1"/>
        <v>0.31526104417670681</v>
      </c>
      <c r="H52" s="3">
        <f t="shared" si="2"/>
        <v>0.68473895582329314</v>
      </c>
      <c r="I52" s="1" t="s">
        <v>532</v>
      </c>
      <c r="J52" s="2">
        <v>397</v>
      </c>
      <c r="K52" s="2">
        <v>692</v>
      </c>
      <c r="L52" s="2">
        <v>1089</v>
      </c>
      <c r="M52" s="3">
        <v>0.36455463728191001</v>
      </c>
      <c r="N52" s="6">
        <v>-4.93</v>
      </c>
    </row>
    <row r="53" spans="1:14" x14ac:dyDescent="0.2">
      <c r="A53" s="1" t="s">
        <v>28</v>
      </c>
      <c r="B53" s="1" t="s">
        <v>49</v>
      </c>
      <c r="C53" s="1" t="s">
        <v>163</v>
      </c>
      <c r="D53" s="2">
        <v>159</v>
      </c>
      <c r="E53" s="2">
        <v>206</v>
      </c>
      <c r="F53" s="2">
        <f t="shared" si="0"/>
        <v>365</v>
      </c>
      <c r="G53" s="3">
        <f t="shared" si="1"/>
        <v>0.43561643835616437</v>
      </c>
      <c r="H53" s="3">
        <f t="shared" si="2"/>
        <v>0.56438356164383563</v>
      </c>
      <c r="I53" s="1" t="s">
        <v>532</v>
      </c>
      <c r="J53" s="2">
        <v>175</v>
      </c>
      <c r="K53" s="2">
        <v>212</v>
      </c>
      <c r="L53" s="2">
        <v>387</v>
      </c>
      <c r="M53" s="3">
        <v>0.45219638242894061</v>
      </c>
      <c r="N53" s="6">
        <v>-1.66</v>
      </c>
    </row>
    <row r="54" spans="1:14" x14ac:dyDescent="0.2">
      <c r="A54" s="1" t="s">
        <v>28</v>
      </c>
      <c r="B54" s="1" t="s">
        <v>49</v>
      </c>
      <c r="C54" s="1" t="s">
        <v>164</v>
      </c>
      <c r="D54" s="2">
        <v>187</v>
      </c>
      <c r="E54" s="2">
        <v>205</v>
      </c>
      <c r="F54" s="2">
        <f t="shared" si="0"/>
        <v>392</v>
      </c>
      <c r="G54" s="3">
        <f t="shared" si="1"/>
        <v>0.47704081632653061</v>
      </c>
      <c r="H54" s="3">
        <f t="shared" si="2"/>
        <v>0.52295918367346939</v>
      </c>
      <c r="I54" s="1" t="s">
        <v>532</v>
      </c>
      <c r="J54" s="2">
        <v>184</v>
      </c>
      <c r="K54" s="2">
        <v>208</v>
      </c>
      <c r="L54" s="2">
        <v>392</v>
      </c>
      <c r="M54" s="3">
        <v>0.46938775510204078</v>
      </c>
      <c r="N54" s="6">
        <v>0.77</v>
      </c>
    </row>
    <row r="55" spans="1:14" x14ac:dyDescent="0.2">
      <c r="A55" s="1" t="s">
        <v>28</v>
      </c>
      <c r="B55" s="1" t="s">
        <v>49</v>
      </c>
      <c r="C55" s="1" t="s">
        <v>165</v>
      </c>
      <c r="D55" s="2">
        <v>106</v>
      </c>
      <c r="E55" s="2">
        <v>187</v>
      </c>
      <c r="F55" s="2">
        <f t="shared" si="0"/>
        <v>293</v>
      </c>
      <c r="G55" s="3">
        <f t="shared" si="1"/>
        <v>0.36177474402730375</v>
      </c>
      <c r="H55" s="3">
        <f t="shared" si="2"/>
        <v>0.63822525597269619</v>
      </c>
      <c r="I55" s="1" t="s">
        <v>532</v>
      </c>
      <c r="J55" s="2">
        <v>102</v>
      </c>
      <c r="K55" s="2">
        <v>192</v>
      </c>
      <c r="L55" s="2">
        <v>294</v>
      </c>
      <c r="M55" s="3">
        <v>0.34693877551020408</v>
      </c>
      <c r="N55" s="6">
        <v>1.48</v>
      </c>
    </row>
    <row r="56" spans="1:14" x14ac:dyDescent="0.2">
      <c r="A56" s="1" t="s">
        <v>28</v>
      </c>
      <c r="B56" s="1" t="s">
        <v>49</v>
      </c>
      <c r="C56" s="1" t="s">
        <v>166</v>
      </c>
      <c r="D56" s="2">
        <v>183</v>
      </c>
      <c r="E56" s="2">
        <v>306</v>
      </c>
      <c r="F56" s="2">
        <f t="shared" si="0"/>
        <v>489</v>
      </c>
      <c r="G56" s="3">
        <f t="shared" si="1"/>
        <v>0.37423312883435583</v>
      </c>
      <c r="H56" s="3">
        <f t="shared" si="2"/>
        <v>0.62576687116564422</v>
      </c>
      <c r="I56" s="1" t="s">
        <v>532</v>
      </c>
      <c r="J56" s="2">
        <v>194</v>
      </c>
      <c r="K56" s="2">
        <v>296</v>
      </c>
      <c r="L56" s="2">
        <v>490</v>
      </c>
      <c r="M56" s="3">
        <v>0.39591836734693869</v>
      </c>
      <c r="N56" s="6">
        <v>-2.17</v>
      </c>
    </row>
    <row r="57" spans="1:14" x14ac:dyDescent="0.2">
      <c r="A57" s="1" t="s">
        <v>28</v>
      </c>
      <c r="B57" s="1" t="s">
        <v>50</v>
      </c>
      <c r="C57" s="1" t="s">
        <v>167</v>
      </c>
      <c r="D57" s="2">
        <v>234</v>
      </c>
      <c r="E57" s="2">
        <v>666</v>
      </c>
      <c r="F57" s="2">
        <f t="shared" si="0"/>
        <v>900</v>
      </c>
      <c r="G57" s="3">
        <f t="shared" si="1"/>
        <v>0.26</v>
      </c>
      <c r="H57" s="3">
        <f t="shared" si="2"/>
        <v>0.74</v>
      </c>
      <c r="I57" s="1" t="s">
        <v>532</v>
      </c>
      <c r="J57" s="2">
        <v>298</v>
      </c>
      <c r="K57" s="2">
        <v>649</v>
      </c>
      <c r="L57" s="2">
        <v>947</v>
      </c>
      <c r="M57" s="3">
        <v>0.3146779303062302</v>
      </c>
      <c r="N57" s="6">
        <v>-5.47</v>
      </c>
    </row>
    <row r="58" spans="1:14" x14ac:dyDescent="0.2">
      <c r="A58" s="1" t="s">
        <v>28</v>
      </c>
      <c r="B58" s="1" t="s">
        <v>50</v>
      </c>
      <c r="C58" s="1" t="s">
        <v>168</v>
      </c>
      <c r="D58" s="2">
        <v>228</v>
      </c>
      <c r="E58" s="2">
        <v>696</v>
      </c>
      <c r="F58" s="2">
        <f t="shared" si="0"/>
        <v>924</v>
      </c>
      <c r="G58" s="3">
        <f t="shared" si="1"/>
        <v>0.24675324675324675</v>
      </c>
      <c r="H58" s="3">
        <f t="shared" si="2"/>
        <v>0.75324675324675328</v>
      </c>
      <c r="I58" s="1" t="s">
        <v>532</v>
      </c>
      <c r="J58" s="2">
        <v>253</v>
      </c>
      <c r="K58" s="2">
        <v>710</v>
      </c>
      <c r="L58" s="2">
        <v>963</v>
      </c>
      <c r="M58" s="3">
        <v>0.26272066458982352</v>
      </c>
      <c r="N58" s="6">
        <v>-1.6</v>
      </c>
    </row>
    <row r="59" spans="1:14" x14ac:dyDescent="0.2">
      <c r="A59" s="1" t="s">
        <v>28</v>
      </c>
      <c r="B59" s="1" t="s">
        <v>50</v>
      </c>
      <c r="C59" s="1" t="s">
        <v>169</v>
      </c>
      <c r="D59" s="2">
        <v>217</v>
      </c>
      <c r="E59" s="2">
        <v>604</v>
      </c>
      <c r="F59" s="2">
        <f t="shared" si="0"/>
        <v>821</v>
      </c>
      <c r="G59" s="3">
        <f t="shared" si="1"/>
        <v>0.26431181485992694</v>
      </c>
      <c r="H59" s="3">
        <f t="shared" si="2"/>
        <v>0.73568818514007306</v>
      </c>
      <c r="I59" s="1" t="s">
        <v>532</v>
      </c>
      <c r="J59" s="2">
        <v>238</v>
      </c>
      <c r="K59" s="2">
        <v>586</v>
      </c>
      <c r="L59" s="2">
        <v>824</v>
      </c>
      <c r="M59" s="3">
        <v>0.28883495145631072</v>
      </c>
      <c r="N59" s="6">
        <v>-2.4500000000000002</v>
      </c>
    </row>
    <row r="60" spans="1:14" x14ac:dyDescent="0.2">
      <c r="A60" s="1" t="s">
        <v>28</v>
      </c>
      <c r="B60" s="1" t="s">
        <v>51</v>
      </c>
      <c r="C60" s="1" t="s">
        <v>170</v>
      </c>
      <c r="D60" s="2">
        <v>192</v>
      </c>
      <c r="E60" s="2">
        <v>596</v>
      </c>
      <c r="F60" s="2">
        <f t="shared" si="0"/>
        <v>788</v>
      </c>
      <c r="G60" s="3">
        <f t="shared" si="1"/>
        <v>0.24365482233502539</v>
      </c>
      <c r="H60" s="3">
        <f t="shared" si="2"/>
        <v>0.75634517766497467</v>
      </c>
      <c r="I60" s="1" t="s">
        <v>532</v>
      </c>
      <c r="J60" s="2">
        <v>238</v>
      </c>
      <c r="K60" s="2">
        <v>541</v>
      </c>
      <c r="L60" s="2">
        <v>779</v>
      </c>
      <c r="M60" s="3">
        <v>0.30551989730423618</v>
      </c>
      <c r="N60" s="6">
        <v>-6.19</v>
      </c>
    </row>
    <row r="61" spans="1:14" x14ac:dyDescent="0.2">
      <c r="A61" s="1" t="s">
        <v>28</v>
      </c>
      <c r="B61" s="1" t="s">
        <v>51</v>
      </c>
      <c r="C61" s="1" t="s">
        <v>171</v>
      </c>
      <c r="D61" s="2">
        <v>88</v>
      </c>
      <c r="E61" s="2">
        <v>312</v>
      </c>
      <c r="F61" s="2">
        <f t="shared" si="0"/>
        <v>400</v>
      </c>
      <c r="G61" s="3">
        <f t="shared" si="1"/>
        <v>0.22</v>
      </c>
      <c r="H61" s="3">
        <f t="shared" si="2"/>
        <v>0.78</v>
      </c>
      <c r="I61" s="1" t="s">
        <v>532</v>
      </c>
      <c r="J61" s="2">
        <v>103</v>
      </c>
      <c r="K61" s="2">
        <v>292</v>
      </c>
      <c r="L61" s="2">
        <v>395</v>
      </c>
      <c r="M61" s="3">
        <v>0.26075949367088608</v>
      </c>
      <c r="N61" s="6">
        <v>-4.08</v>
      </c>
    </row>
    <row r="62" spans="1:14" x14ac:dyDescent="0.2">
      <c r="A62" s="1" t="s">
        <v>28</v>
      </c>
      <c r="B62" s="1" t="s">
        <v>52</v>
      </c>
      <c r="C62" s="1" t="s">
        <v>52</v>
      </c>
      <c r="D62" s="2">
        <v>61</v>
      </c>
      <c r="E62" s="2">
        <v>83</v>
      </c>
      <c r="F62" s="2">
        <f t="shared" si="0"/>
        <v>144</v>
      </c>
      <c r="G62" s="3">
        <f t="shared" si="1"/>
        <v>0.4236111111111111</v>
      </c>
      <c r="H62" s="3">
        <f t="shared" si="2"/>
        <v>0.57638888888888884</v>
      </c>
      <c r="I62" s="1" t="s">
        <v>532</v>
      </c>
      <c r="J62" s="2">
        <v>53</v>
      </c>
      <c r="K62" s="2">
        <v>99</v>
      </c>
      <c r="L62" s="2">
        <v>152</v>
      </c>
      <c r="M62" s="3">
        <v>0.34868421052631582</v>
      </c>
      <c r="N62" s="6">
        <v>7.49</v>
      </c>
    </row>
    <row r="63" spans="1:14" x14ac:dyDescent="0.2">
      <c r="A63" s="1" t="s">
        <v>53</v>
      </c>
      <c r="B63" s="1" t="s">
        <v>54</v>
      </c>
      <c r="C63" s="1" t="s">
        <v>54</v>
      </c>
      <c r="D63" s="2">
        <v>632</v>
      </c>
      <c r="E63" s="2">
        <v>782</v>
      </c>
      <c r="F63" s="2">
        <f t="shared" si="0"/>
        <v>1414</v>
      </c>
      <c r="G63" s="3">
        <f t="shared" si="1"/>
        <v>0.44695898161244696</v>
      </c>
      <c r="H63" s="3">
        <f t="shared" si="2"/>
        <v>0.55304101838755304</v>
      </c>
      <c r="I63" s="1" t="s">
        <v>532</v>
      </c>
      <c r="J63" s="2">
        <v>601</v>
      </c>
      <c r="K63" s="2">
        <v>766</v>
      </c>
      <c r="L63" s="2">
        <v>1367</v>
      </c>
      <c r="M63" s="3">
        <v>0.43964886613021209</v>
      </c>
      <c r="N63" s="6">
        <v>0.73</v>
      </c>
    </row>
    <row r="64" spans="1:14" x14ac:dyDescent="0.2">
      <c r="A64" s="1" t="s">
        <v>53</v>
      </c>
      <c r="B64" s="1" t="s">
        <v>55</v>
      </c>
      <c r="C64" s="1" t="s">
        <v>172</v>
      </c>
      <c r="D64" s="2">
        <v>542</v>
      </c>
      <c r="E64" s="2">
        <v>171</v>
      </c>
      <c r="F64" s="2">
        <f t="shared" si="0"/>
        <v>713</v>
      </c>
      <c r="G64" s="3">
        <f t="shared" si="1"/>
        <v>0.76016830294530158</v>
      </c>
      <c r="H64" s="3">
        <f t="shared" si="2"/>
        <v>0.23983169705469845</v>
      </c>
      <c r="I64" s="1" t="s">
        <v>532</v>
      </c>
      <c r="J64" s="2">
        <v>437</v>
      </c>
      <c r="K64" s="2">
        <v>173</v>
      </c>
      <c r="L64" s="2">
        <v>610</v>
      </c>
      <c r="M64" s="3">
        <v>0.71639344262295079</v>
      </c>
      <c r="N64" s="6">
        <v>4.38</v>
      </c>
    </row>
    <row r="65" spans="1:14" x14ac:dyDescent="0.2">
      <c r="A65" s="1" t="s">
        <v>53</v>
      </c>
      <c r="B65" s="1" t="s">
        <v>55</v>
      </c>
      <c r="C65" s="1" t="s">
        <v>173</v>
      </c>
      <c r="D65" s="2">
        <v>365</v>
      </c>
      <c r="E65" s="2">
        <v>164</v>
      </c>
      <c r="F65" s="2">
        <f t="shared" si="0"/>
        <v>529</v>
      </c>
      <c r="G65" s="3">
        <f t="shared" si="1"/>
        <v>0.68998109640831762</v>
      </c>
      <c r="H65" s="3">
        <f t="shared" si="2"/>
        <v>0.31001890359168244</v>
      </c>
      <c r="I65" s="1" t="s">
        <v>532</v>
      </c>
      <c r="J65" s="2">
        <v>328</v>
      </c>
      <c r="K65" s="2">
        <v>173</v>
      </c>
      <c r="L65" s="2">
        <v>501</v>
      </c>
      <c r="M65" s="3">
        <v>0.65469061876247503</v>
      </c>
      <c r="N65" s="6">
        <v>3.53</v>
      </c>
    </row>
    <row r="66" spans="1:14" x14ac:dyDescent="0.2">
      <c r="A66" s="1" t="s">
        <v>53</v>
      </c>
      <c r="B66" s="1" t="s">
        <v>55</v>
      </c>
      <c r="C66" s="1" t="s">
        <v>174</v>
      </c>
      <c r="D66" s="2">
        <v>418</v>
      </c>
      <c r="E66" s="2">
        <v>130</v>
      </c>
      <c r="F66" s="2">
        <f t="shared" si="0"/>
        <v>548</v>
      </c>
      <c r="G66" s="3">
        <f t="shared" si="1"/>
        <v>0.76277372262773724</v>
      </c>
      <c r="H66" s="3">
        <f t="shared" si="2"/>
        <v>0.23722627737226276</v>
      </c>
      <c r="I66" s="1" t="s">
        <v>532</v>
      </c>
      <c r="J66" s="2">
        <v>347</v>
      </c>
      <c r="K66" s="2">
        <v>147</v>
      </c>
      <c r="L66" s="2">
        <v>494</v>
      </c>
      <c r="M66" s="3">
        <v>0.70242914979757087</v>
      </c>
      <c r="N66" s="6">
        <v>6.03</v>
      </c>
    </row>
    <row r="67" spans="1:14" x14ac:dyDescent="0.2">
      <c r="A67" s="1" t="s">
        <v>53</v>
      </c>
      <c r="B67" s="1" t="s">
        <v>55</v>
      </c>
      <c r="C67" s="1" t="s">
        <v>175</v>
      </c>
      <c r="D67" s="2">
        <v>330</v>
      </c>
      <c r="E67" s="2">
        <v>125</v>
      </c>
      <c r="F67" s="2">
        <f t="shared" si="0"/>
        <v>455</v>
      </c>
      <c r="G67" s="3">
        <f t="shared" si="1"/>
        <v>0.72527472527472525</v>
      </c>
      <c r="H67" s="3">
        <f t="shared" si="2"/>
        <v>0.27472527472527475</v>
      </c>
      <c r="I67" s="1" t="s">
        <v>532</v>
      </c>
      <c r="J67" s="2">
        <v>314</v>
      </c>
      <c r="K67" s="2">
        <v>149</v>
      </c>
      <c r="L67" s="2">
        <v>463</v>
      </c>
      <c r="M67" s="3">
        <v>0.67818574514038876</v>
      </c>
      <c r="N67" s="6">
        <v>4.71</v>
      </c>
    </row>
    <row r="68" spans="1:14" x14ac:dyDescent="0.2">
      <c r="A68" s="1" t="s">
        <v>53</v>
      </c>
      <c r="B68" s="1" t="s">
        <v>55</v>
      </c>
      <c r="C68" s="1" t="s">
        <v>176</v>
      </c>
      <c r="D68" s="2">
        <v>405</v>
      </c>
      <c r="E68" s="2">
        <v>148</v>
      </c>
      <c r="F68" s="2">
        <f t="shared" si="0"/>
        <v>553</v>
      </c>
      <c r="G68" s="3">
        <f t="shared" si="1"/>
        <v>0.73236889692585894</v>
      </c>
      <c r="H68" s="3">
        <f t="shared" si="2"/>
        <v>0.26763110307414106</v>
      </c>
      <c r="I68" s="1" t="s">
        <v>532</v>
      </c>
      <c r="J68" s="2">
        <v>364</v>
      </c>
      <c r="K68" s="2">
        <v>137</v>
      </c>
      <c r="L68" s="2">
        <v>501</v>
      </c>
      <c r="M68" s="3">
        <v>0.72654690618762474</v>
      </c>
      <c r="N68" s="6">
        <v>0.57999999999999996</v>
      </c>
    </row>
    <row r="69" spans="1:14" x14ac:dyDescent="0.2">
      <c r="A69" s="1" t="s">
        <v>53</v>
      </c>
      <c r="B69" s="1" t="s">
        <v>55</v>
      </c>
      <c r="C69" s="1" t="s">
        <v>177</v>
      </c>
      <c r="D69" s="2">
        <v>404</v>
      </c>
      <c r="E69" s="2">
        <v>197</v>
      </c>
      <c r="F69" s="2">
        <f t="shared" si="0"/>
        <v>601</v>
      </c>
      <c r="G69" s="3">
        <f t="shared" si="1"/>
        <v>0.67221297836938432</v>
      </c>
      <c r="H69" s="3">
        <f t="shared" si="2"/>
        <v>0.32778702163061563</v>
      </c>
      <c r="I69" s="1" t="s">
        <v>532</v>
      </c>
      <c r="J69" s="2">
        <v>399</v>
      </c>
      <c r="K69" s="2">
        <v>171</v>
      </c>
      <c r="L69" s="2">
        <v>570</v>
      </c>
      <c r="M69" s="3">
        <v>0.7</v>
      </c>
      <c r="N69" s="6">
        <v>-2.78</v>
      </c>
    </row>
    <row r="70" spans="1:14" x14ac:dyDescent="0.2">
      <c r="A70" s="1" t="s">
        <v>53</v>
      </c>
      <c r="B70" s="1" t="s">
        <v>55</v>
      </c>
      <c r="C70" s="1" t="s">
        <v>178</v>
      </c>
      <c r="D70" s="2">
        <v>981</v>
      </c>
      <c r="E70" s="2">
        <v>284</v>
      </c>
      <c r="F70" s="2">
        <f t="shared" si="0"/>
        <v>1265</v>
      </c>
      <c r="G70" s="3">
        <f t="shared" si="1"/>
        <v>0.77549407114624502</v>
      </c>
      <c r="H70" s="3">
        <f t="shared" si="2"/>
        <v>0.22450592885375495</v>
      </c>
      <c r="I70" s="1" t="s">
        <v>532</v>
      </c>
      <c r="J70" s="2">
        <v>1034</v>
      </c>
      <c r="K70" s="2">
        <v>285</v>
      </c>
      <c r="L70" s="2">
        <v>1319</v>
      </c>
      <c r="M70" s="3">
        <v>0.78392721758908268</v>
      </c>
      <c r="N70" s="6">
        <v>-0.84</v>
      </c>
    </row>
    <row r="71" spans="1:14" x14ac:dyDescent="0.2">
      <c r="A71" s="1" t="s">
        <v>53</v>
      </c>
      <c r="B71" s="1" t="s">
        <v>55</v>
      </c>
      <c r="C71" s="1" t="s">
        <v>179</v>
      </c>
      <c r="D71" s="2">
        <v>365</v>
      </c>
      <c r="E71" s="2">
        <v>201</v>
      </c>
      <c r="F71" s="2">
        <f t="shared" si="0"/>
        <v>566</v>
      </c>
      <c r="G71" s="3">
        <f t="shared" si="1"/>
        <v>0.64487632508833925</v>
      </c>
      <c r="H71" s="3">
        <f t="shared" si="2"/>
        <v>0.3551236749116608</v>
      </c>
      <c r="I71" s="1" t="s">
        <v>532</v>
      </c>
      <c r="J71" s="2">
        <v>377</v>
      </c>
      <c r="K71" s="2">
        <v>190</v>
      </c>
      <c r="L71" s="2">
        <v>567</v>
      </c>
      <c r="M71" s="3">
        <v>0.66490299823633159</v>
      </c>
      <c r="N71" s="6">
        <v>-2</v>
      </c>
    </row>
    <row r="72" spans="1:14" x14ac:dyDescent="0.2">
      <c r="A72" s="1" t="s">
        <v>53</v>
      </c>
      <c r="B72" s="1" t="s">
        <v>55</v>
      </c>
      <c r="C72" s="1" t="s">
        <v>180</v>
      </c>
      <c r="D72" s="2">
        <v>545</v>
      </c>
      <c r="E72" s="2">
        <v>434</v>
      </c>
      <c r="F72" s="2">
        <f t="shared" si="0"/>
        <v>979</v>
      </c>
      <c r="G72" s="3">
        <f t="shared" si="1"/>
        <v>0.55669050051072522</v>
      </c>
      <c r="H72" s="3">
        <f t="shared" si="2"/>
        <v>0.44330949948927478</v>
      </c>
      <c r="I72" s="1" t="s">
        <v>532</v>
      </c>
      <c r="J72" s="2">
        <v>619</v>
      </c>
      <c r="K72" s="2">
        <v>400</v>
      </c>
      <c r="L72" s="2">
        <v>1019</v>
      </c>
      <c r="M72" s="3">
        <v>0.60745829244357208</v>
      </c>
      <c r="N72" s="6">
        <v>-5.08</v>
      </c>
    </row>
    <row r="73" spans="1:14" x14ac:dyDescent="0.2">
      <c r="A73" s="1" t="s">
        <v>53</v>
      </c>
      <c r="B73" s="1" t="s">
        <v>55</v>
      </c>
      <c r="C73" s="1" t="s">
        <v>181</v>
      </c>
      <c r="D73" s="2">
        <v>396</v>
      </c>
      <c r="E73" s="2">
        <v>295</v>
      </c>
      <c r="F73" s="2">
        <f t="shared" si="0"/>
        <v>691</v>
      </c>
      <c r="G73" s="3">
        <f t="shared" si="1"/>
        <v>0.573082489146165</v>
      </c>
      <c r="H73" s="3">
        <f t="shared" si="2"/>
        <v>0.426917510853835</v>
      </c>
      <c r="I73" s="1" t="s">
        <v>532</v>
      </c>
      <c r="J73" s="2">
        <v>438</v>
      </c>
      <c r="K73" s="2">
        <v>259</v>
      </c>
      <c r="L73" s="2">
        <v>697</v>
      </c>
      <c r="M73" s="3">
        <v>0.6284074605451937</v>
      </c>
      <c r="N73" s="6">
        <v>-5.53</v>
      </c>
    </row>
    <row r="74" spans="1:14" x14ac:dyDescent="0.2">
      <c r="A74" s="1" t="s">
        <v>53</v>
      </c>
      <c r="B74" s="1" t="s">
        <v>55</v>
      </c>
      <c r="C74" s="1" t="s">
        <v>182</v>
      </c>
      <c r="D74" s="2">
        <v>490</v>
      </c>
      <c r="E74" s="2">
        <v>187</v>
      </c>
      <c r="F74" s="2">
        <f t="shared" si="0"/>
        <v>677</v>
      </c>
      <c r="G74" s="3">
        <f t="shared" si="1"/>
        <v>0.72378138847858198</v>
      </c>
      <c r="H74" s="3">
        <f t="shared" si="2"/>
        <v>0.27621861152141802</v>
      </c>
      <c r="I74" s="1" t="s">
        <v>532</v>
      </c>
      <c r="J74" s="2">
        <v>428</v>
      </c>
      <c r="K74" s="2">
        <v>195</v>
      </c>
      <c r="L74" s="2">
        <v>623</v>
      </c>
      <c r="M74" s="3">
        <v>0.6869983948635634</v>
      </c>
      <c r="N74" s="6">
        <v>3.68</v>
      </c>
    </row>
    <row r="75" spans="1:14" x14ac:dyDescent="0.2">
      <c r="A75" s="1" t="s">
        <v>53</v>
      </c>
      <c r="B75" s="1" t="s">
        <v>55</v>
      </c>
      <c r="C75" s="1" t="s">
        <v>183</v>
      </c>
      <c r="D75" s="2">
        <v>561</v>
      </c>
      <c r="E75" s="2">
        <v>348</v>
      </c>
      <c r="F75" s="2">
        <f t="shared" si="0"/>
        <v>909</v>
      </c>
      <c r="G75" s="3">
        <f t="shared" si="1"/>
        <v>0.61716171617161719</v>
      </c>
      <c r="H75" s="3">
        <f t="shared" si="2"/>
        <v>0.38283828382838286</v>
      </c>
      <c r="I75" s="1" t="s">
        <v>532</v>
      </c>
      <c r="J75" s="2">
        <v>563</v>
      </c>
      <c r="K75" s="2">
        <v>322</v>
      </c>
      <c r="L75" s="2">
        <v>885</v>
      </c>
      <c r="M75" s="3">
        <v>0.63615819209039548</v>
      </c>
      <c r="N75" s="6">
        <v>-1.9</v>
      </c>
    </row>
    <row r="76" spans="1:14" x14ac:dyDescent="0.2">
      <c r="A76" s="1" t="s">
        <v>53</v>
      </c>
      <c r="B76" s="1" t="s">
        <v>55</v>
      </c>
      <c r="C76" s="1" t="s">
        <v>184</v>
      </c>
      <c r="D76" s="2">
        <v>414</v>
      </c>
      <c r="E76" s="2">
        <v>311</v>
      </c>
      <c r="F76" s="2">
        <f t="shared" ref="F76:F139" si="3">IF(COUNTA(D76:E76)=0,"",SUM(D76:E76))</f>
        <v>725</v>
      </c>
      <c r="G76" s="3">
        <f t="shared" ref="G76:G139" si="4">IF(OR(F76="",F76=0),"",D76/F76)</f>
        <v>0.57103448275862068</v>
      </c>
      <c r="H76" s="3">
        <f t="shared" ref="H76:H139" si="5">IF(OR(F76="",F76=0),"",E76/F76)</f>
        <v>0.42896551724137932</v>
      </c>
      <c r="I76" s="1" t="s">
        <v>532</v>
      </c>
      <c r="J76" s="2">
        <v>472</v>
      </c>
      <c r="K76" s="2">
        <v>273</v>
      </c>
      <c r="L76" s="2">
        <v>745</v>
      </c>
      <c r="M76" s="3">
        <v>0.63355704697986581</v>
      </c>
      <c r="N76" s="6">
        <v>-6.25</v>
      </c>
    </row>
    <row r="77" spans="1:14" x14ac:dyDescent="0.2">
      <c r="A77" s="1" t="s">
        <v>53</v>
      </c>
      <c r="B77" s="1" t="s">
        <v>55</v>
      </c>
      <c r="C77" s="1" t="s">
        <v>185</v>
      </c>
      <c r="D77" s="2">
        <v>393</v>
      </c>
      <c r="E77" s="2">
        <v>337</v>
      </c>
      <c r="F77" s="2">
        <f t="shared" si="3"/>
        <v>730</v>
      </c>
      <c r="G77" s="3">
        <f t="shared" si="4"/>
        <v>0.5383561643835616</v>
      </c>
      <c r="H77" s="3">
        <f t="shared" si="5"/>
        <v>0.46164383561643835</v>
      </c>
      <c r="I77" s="1" t="s">
        <v>532</v>
      </c>
      <c r="J77" s="2">
        <v>426</v>
      </c>
      <c r="K77" s="2">
        <v>331</v>
      </c>
      <c r="L77" s="2">
        <v>757</v>
      </c>
      <c r="M77" s="3">
        <v>0.56274768824306476</v>
      </c>
      <c r="N77" s="6">
        <v>-2.44</v>
      </c>
    </row>
    <row r="78" spans="1:14" x14ac:dyDescent="0.2">
      <c r="A78" s="1" t="s">
        <v>53</v>
      </c>
      <c r="B78" s="1" t="s">
        <v>55</v>
      </c>
      <c r="C78" s="1" t="s">
        <v>186</v>
      </c>
      <c r="D78" s="2">
        <v>438</v>
      </c>
      <c r="E78" s="2">
        <v>316</v>
      </c>
      <c r="F78" s="2">
        <f t="shared" si="3"/>
        <v>754</v>
      </c>
      <c r="G78" s="3">
        <f t="shared" si="4"/>
        <v>0.58090185676392569</v>
      </c>
      <c r="H78" s="3">
        <f t="shared" si="5"/>
        <v>0.41909814323607425</v>
      </c>
      <c r="I78" s="1" t="s">
        <v>532</v>
      </c>
      <c r="J78" s="2">
        <v>418</v>
      </c>
      <c r="K78" s="2">
        <v>278</v>
      </c>
      <c r="L78" s="2">
        <v>696</v>
      </c>
      <c r="M78" s="3">
        <v>0.60057471264367812</v>
      </c>
      <c r="N78" s="6">
        <v>-1.97</v>
      </c>
    </row>
    <row r="79" spans="1:14" x14ac:dyDescent="0.2">
      <c r="A79" s="1" t="s">
        <v>53</v>
      </c>
      <c r="B79" s="1" t="s">
        <v>55</v>
      </c>
      <c r="C79" s="1" t="s">
        <v>187</v>
      </c>
      <c r="D79" s="2">
        <v>474</v>
      </c>
      <c r="E79" s="2">
        <v>175</v>
      </c>
      <c r="F79" s="2">
        <f t="shared" si="3"/>
        <v>649</v>
      </c>
      <c r="G79" s="3">
        <f t="shared" si="4"/>
        <v>0.73035439137134051</v>
      </c>
      <c r="H79" s="3">
        <f t="shared" si="5"/>
        <v>0.26964560862865949</v>
      </c>
      <c r="I79" s="1" t="s">
        <v>532</v>
      </c>
      <c r="J79" s="2">
        <v>424</v>
      </c>
      <c r="K79" s="2">
        <v>188</v>
      </c>
      <c r="L79" s="2">
        <v>612</v>
      </c>
      <c r="M79" s="3">
        <v>0.69281045751633985</v>
      </c>
      <c r="N79" s="6">
        <v>3.75</v>
      </c>
    </row>
    <row r="80" spans="1:14" x14ac:dyDescent="0.2">
      <c r="A80" s="1" t="s">
        <v>53</v>
      </c>
      <c r="B80" s="1" t="s">
        <v>55</v>
      </c>
      <c r="C80" s="1" t="s">
        <v>188</v>
      </c>
      <c r="D80" s="2">
        <v>358</v>
      </c>
      <c r="E80" s="2">
        <v>179</v>
      </c>
      <c r="F80" s="2">
        <f t="shared" si="3"/>
        <v>537</v>
      </c>
      <c r="G80" s="3">
        <f t="shared" si="4"/>
        <v>0.66666666666666663</v>
      </c>
      <c r="H80" s="3">
        <f t="shared" si="5"/>
        <v>0.33333333333333331</v>
      </c>
      <c r="I80" s="1" t="s">
        <v>532</v>
      </c>
      <c r="J80" s="2">
        <v>330</v>
      </c>
      <c r="K80" s="2">
        <v>195</v>
      </c>
      <c r="L80" s="2">
        <v>525</v>
      </c>
      <c r="M80" s="3">
        <v>0.62857142857142856</v>
      </c>
      <c r="N80" s="6">
        <v>3.81</v>
      </c>
    </row>
    <row r="81" spans="1:14" x14ac:dyDescent="0.2">
      <c r="A81" s="1" t="s">
        <v>53</v>
      </c>
      <c r="B81" s="1" t="s">
        <v>55</v>
      </c>
      <c r="C81" s="1" t="s">
        <v>189</v>
      </c>
      <c r="D81" s="2">
        <v>433</v>
      </c>
      <c r="E81" s="2">
        <v>252</v>
      </c>
      <c r="F81" s="2">
        <f t="shared" si="3"/>
        <v>685</v>
      </c>
      <c r="G81" s="3">
        <f t="shared" si="4"/>
        <v>0.63211678832116791</v>
      </c>
      <c r="H81" s="3">
        <f t="shared" si="5"/>
        <v>0.36788321167883209</v>
      </c>
      <c r="I81" s="1" t="s">
        <v>532</v>
      </c>
      <c r="J81" s="2">
        <v>441</v>
      </c>
      <c r="K81" s="2">
        <v>232</v>
      </c>
      <c r="L81" s="2">
        <v>673</v>
      </c>
      <c r="M81" s="3">
        <v>0.65527488855869243</v>
      </c>
      <c r="N81" s="6">
        <v>-2.3199999999999998</v>
      </c>
    </row>
    <row r="82" spans="1:14" x14ac:dyDescent="0.2">
      <c r="A82" s="1" t="s">
        <v>53</v>
      </c>
      <c r="B82" s="1" t="s">
        <v>55</v>
      </c>
      <c r="C82" s="1" t="s">
        <v>190</v>
      </c>
      <c r="D82" s="2">
        <v>341</v>
      </c>
      <c r="E82" s="2">
        <v>163</v>
      </c>
      <c r="F82" s="2">
        <f t="shared" si="3"/>
        <v>504</v>
      </c>
      <c r="G82" s="3">
        <f t="shared" si="4"/>
        <v>0.67658730158730163</v>
      </c>
      <c r="H82" s="3">
        <f t="shared" si="5"/>
        <v>0.32341269841269843</v>
      </c>
      <c r="I82" s="1" t="s">
        <v>532</v>
      </c>
      <c r="J82" s="2">
        <v>313</v>
      </c>
      <c r="K82" s="2">
        <v>155</v>
      </c>
      <c r="L82" s="2">
        <v>468</v>
      </c>
      <c r="M82" s="3">
        <v>0.66880341880341876</v>
      </c>
      <c r="N82" s="6">
        <v>0.78</v>
      </c>
    </row>
    <row r="83" spans="1:14" x14ac:dyDescent="0.2">
      <c r="A83" s="1" t="s">
        <v>53</v>
      </c>
      <c r="B83" s="1" t="s">
        <v>55</v>
      </c>
      <c r="C83" s="1" t="s">
        <v>191</v>
      </c>
      <c r="D83" s="2">
        <v>596</v>
      </c>
      <c r="E83" s="2">
        <v>400</v>
      </c>
      <c r="F83" s="2">
        <f t="shared" si="3"/>
        <v>996</v>
      </c>
      <c r="G83" s="3">
        <f t="shared" si="4"/>
        <v>0.59839357429718876</v>
      </c>
      <c r="H83" s="3">
        <f t="shared" si="5"/>
        <v>0.40160642570281124</v>
      </c>
      <c r="I83" s="1" t="s">
        <v>532</v>
      </c>
      <c r="J83" s="2">
        <v>658</v>
      </c>
      <c r="K83" s="2">
        <v>375</v>
      </c>
      <c r="L83" s="2">
        <v>1033</v>
      </c>
      <c r="M83" s="3">
        <v>0.63697967086156826</v>
      </c>
      <c r="N83" s="6">
        <v>-3.86</v>
      </c>
    </row>
    <row r="84" spans="1:14" x14ac:dyDescent="0.2">
      <c r="A84" s="1" t="s">
        <v>53</v>
      </c>
      <c r="B84" s="1" t="s">
        <v>55</v>
      </c>
      <c r="C84" s="1" t="s">
        <v>192</v>
      </c>
      <c r="D84" s="2">
        <v>758</v>
      </c>
      <c r="E84" s="2">
        <v>432</v>
      </c>
      <c r="F84" s="2">
        <f t="shared" si="3"/>
        <v>1190</v>
      </c>
      <c r="G84" s="3">
        <f t="shared" si="4"/>
        <v>0.63697478991596634</v>
      </c>
      <c r="H84" s="3">
        <f t="shared" si="5"/>
        <v>0.3630252100840336</v>
      </c>
      <c r="I84" s="1" t="s">
        <v>532</v>
      </c>
      <c r="J84" s="2">
        <v>693</v>
      </c>
      <c r="K84" s="2">
        <v>389</v>
      </c>
      <c r="L84" s="2">
        <v>1082</v>
      </c>
      <c r="M84" s="3">
        <v>0.64048059149722736</v>
      </c>
      <c r="N84" s="6">
        <v>-0.35</v>
      </c>
    </row>
    <row r="85" spans="1:14" x14ac:dyDescent="0.2">
      <c r="A85" s="1" t="s">
        <v>53</v>
      </c>
      <c r="B85" s="1" t="s">
        <v>55</v>
      </c>
      <c r="C85" s="1" t="s">
        <v>193</v>
      </c>
      <c r="D85" s="2">
        <v>442</v>
      </c>
      <c r="E85" s="2">
        <v>405</v>
      </c>
      <c r="F85" s="2">
        <f t="shared" si="3"/>
        <v>847</v>
      </c>
      <c r="G85" s="3">
        <f t="shared" si="4"/>
        <v>0.52184179456906732</v>
      </c>
      <c r="H85" s="3">
        <f t="shared" si="5"/>
        <v>0.47815820543093268</v>
      </c>
      <c r="I85" s="1" t="s">
        <v>532</v>
      </c>
      <c r="J85" s="2">
        <v>446</v>
      </c>
      <c r="K85" s="2">
        <v>382</v>
      </c>
      <c r="L85" s="2">
        <v>828</v>
      </c>
      <c r="M85" s="3">
        <v>0.53864734299516903</v>
      </c>
      <c r="N85" s="6">
        <v>-1.68</v>
      </c>
    </row>
    <row r="86" spans="1:14" x14ac:dyDescent="0.2">
      <c r="A86" s="1" t="s">
        <v>53</v>
      </c>
      <c r="B86" s="1" t="s">
        <v>55</v>
      </c>
      <c r="C86" s="1" t="s">
        <v>194</v>
      </c>
      <c r="D86" s="2">
        <v>577</v>
      </c>
      <c r="E86" s="2">
        <v>404</v>
      </c>
      <c r="F86" s="2">
        <f t="shared" si="3"/>
        <v>981</v>
      </c>
      <c r="G86" s="3">
        <f t="shared" si="4"/>
        <v>0.58817533129459731</v>
      </c>
      <c r="H86" s="3">
        <f t="shared" si="5"/>
        <v>0.41182466870540263</v>
      </c>
      <c r="I86" s="1" t="s">
        <v>532</v>
      </c>
      <c r="J86" s="2">
        <v>627</v>
      </c>
      <c r="K86" s="2">
        <v>389</v>
      </c>
      <c r="L86" s="2">
        <v>1016</v>
      </c>
      <c r="M86" s="3">
        <v>0.61712598425196852</v>
      </c>
      <c r="N86" s="6">
        <v>-2.9</v>
      </c>
    </row>
    <row r="87" spans="1:14" x14ac:dyDescent="0.2">
      <c r="A87" s="1" t="s">
        <v>53</v>
      </c>
      <c r="B87" s="1" t="s">
        <v>55</v>
      </c>
      <c r="C87" s="1" t="s">
        <v>195</v>
      </c>
      <c r="D87" s="2">
        <v>592</v>
      </c>
      <c r="E87" s="2">
        <v>438</v>
      </c>
      <c r="F87" s="2">
        <f t="shared" si="3"/>
        <v>1030</v>
      </c>
      <c r="G87" s="3">
        <f t="shared" si="4"/>
        <v>0.574757281553398</v>
      </c>
      <c r="H87" s="3">
        <f t="shared" si="5"/>
        <v>0.42524271844660194</v>
      </c>
      <c r="I87" s="1" t="s">
        <v>532</v>
      </c>
      <c r="J87" s="2">
        <v>645</v>
      </c>
      <c r="K87" s="2">
        <v>418</v>
      </c>
      <c r="L87" s="2">
        <v>1063</v>
      </c>
      <c r="M87" s="3">
        <v>0.60677328316086543</v>
      </c>
      <c r="N87" s="6">
        <v>-3.2</v>
      </c>
    </row>
    <row r="88" spans="1:14" x14ac:dyDescent="0.2">
      <c r="A88" s="1" t="s">
        <v>53</v>
      </c>
      <c r="B88" s="1" t="s">
        <v>55</v>
      </c>
      <c r="C88" s="1" t="s">
        <v>196</v>
      </c>
      <c r="D88" s="2">
        <v>438</v>
      </c>
      <c r="E88" s="2">
        <v>356</v>
      </c>
      <c r="F88" s="2">
        <f t="shared" si="3"/>
        <v>794</v>
      </c>
      <c r="G88" s="3">
        <f t="shared" si="4"/>
        <v>0.55163727959697728</v>
      </c>
      <c r="H88" s="3">
        <f t="shared" si="5"/>
        <v>0.44836272040302266</v>
      </c>
      <c r="I88" s="1" t="s">
        <v>532</v>
      </c>
      <c r="J88" s="2">
        <v>452</v>
      </c>
      <c r="K88" s="2">
        <v>341</v>
      </c>
      <c r="L88" s="2">
        <v>793</v>
      </c>
      <c r="M88" s="3">
        <v>0.56998738965952078</v>
      </c>
      <c r="N88" s="6">
        <v>-1.84</v>
      </c>
    </row>
    <row r="89" spans="1:14" x14ac:dyDescent="0.2">
      <c r="A89" s="1" t="s">
        <v>53</v>
      </c>
      <c r="B89" s="1" t="s">
        <v>55</v>
      </c>
      <c r="C89" s="1" t="s">
        <v>197</v>
      </c>
      <c r="D89" s="2">
        <v>509</v>
      </c>
      <c r="E89" s="2">
        <v>364</v>
      </c>
      <c r="F89" s="2">
        <f t="shared" si="3"/>
        <v>873</v>
      </c>
      <c r="G89" s="3">
        <f t="shared" si="4"/>
        <v>0.5830469644902635</v>
      </c>
      <c r="H89" s="3">
        <f t="shared" si="5"/>
        <v>0.41695303550973656</v>
      </c>
      <c r="I89" s="1" t="s">
        <v>532</v>
      </c>
      <c r="J89" s="2">
        <v>541</v>
      </c>
      <c r="K89" s="2">
        <v>325</v>
      </c>
      <c r="L89" s="2">
        <v>866</v>
      </c>
      <c r="M89" s="3">
        <v>0.62471131639722866</v>
      </c>
      <c r="N89" s="6">
        <v>-4.17</v>
      </c>
    </row>
    <row r="90" spans="1:14" x14ac:dyDescent="0.2">
      <c r="A90" s="1" t="s">
        <v>53</v>
      </c>
      <c r="B90" s="1" t="s">
        <v>55</v>
      </c>
      <c r="C90" s="1" t="s">
        <v>198</v>
      </c>
      <c r="D90" s="2">
        <v>787</v>
      </c>
      <c r="E90" s="2">
        <v>646</v>
      </c>
      <c r="F90" s="2">
        <f t="shared" si="3"/>
        <v>1433</v>
      </c>
      <c r="G90" s="3">
        <f t="shared" si="4"/>
        <v>0.5491974877878576</v>
      </c>
      <c r="H90" s="3">
        <f t="shared" si="5"/>
        <v>0.45080251221214235</v>
      </c>
      <c r="I90" s="1" t="s">
        <v>532</v>
      </c>
      <c r="J90" s="2">
        <v>783</v>
      </c>
      <c r="K90" s="2">
        <v>562</v>
      </c>
      <c r="L90" s="2">
        <v>1345</v>
      </c>
      <c r="M90" s="3">
        <v>0.58215613382899634</v>
      </c>
      <c r="N90" s="6">
        <v>-3.3</v>
      </c>
    </row>
    <row r="91" spans="1:14" x14ac:dyDescent="0.2">
      <c r="A91" s="1" t="s">
        <v>53</v>
      </c>
      <c r="B91" s="1" t="s">
        <v>55</v>
      </c>
      <c r="C91" s="1" t="s">
        <v>199</v>
      </c>
      <c r="D91" s="2">
        <v>461</v>
      </c>
      <c r="E91" s="2">
        <v>230</v>
      </c>
      <c r="F91" s="2">
        <f t="shared" si="3"/>
        <v>691</v>
      </c>
      <c r="G91" s="3">
        <f t="shared" si="4"/>
        <v>0.66714905933429813</v>
      </c>
      <c r="H91" s="3">
        <f t="shared" si="5"/>
        <v>0.33285094066570187</v>
      </c>
      <c r="I91" s="1" t="s">
        <v>532</v>
      </c>
      <c r="J91" s="2">
        <v>454</v>
      </c>
      <c r="K91" s="2">
        <v>218</v>
      </c>
      <c r="L91" s="2">
        <v>672</v>
      </c>
      <c r="M91" s="3">
        <v>0.67559523809523814</v>
      </c>
      <c r="N91" s="6">
        <v>-0.84</v>
      </c>
    </row>
    <row r="92" spans="1:14" x14ac:dyDescent="0.2">
      <c r="A92" s="1" t="s">
        <v>53</v>
      </c>
      <c r="B92" s="1" t="s">
        <v>55</v>
      </c>
      <c r="C92" s="1" t="s">
        <v>200</v>
      </c>
      <c r="D92" s="2">
        <v>461</v>
      </c>
      <c r="E92" s="2">
        <v>277</v>
      </c>
      <c r="F92" s="2">
        <f t="shared" si="3"/>
        <v>738</v>
      </c>
      <c r="G92" s="3">
        <f t="shared" si="4"/>
        <v>0.62466124661246614</v>
      </c>
      <c r="H92" s="3">
        <f t="shared" si="5"/>
        <v>0.37533875338753386</v>
      </c>
      <c r="I92" s="1" t="s">
        <v>532</v>
      </c>
      <c r="J92" s="2">
        <v>502</v>
      </c>
      <c r="K92" s="2">
        <v>274</v>
      </c>
      <c r="L92" s="2">
        <v>776</v>
      </c>
      <c r="M92" s="3">
        <v>0.64690721649484539</v>
      </c>
      <c r="N92" s="6">
        <v>-2.2200000000000002</v>
      </c>
    </row>
    <row r="93" spans="1:14" x14ac:dyDescent="0.2">
      <c r="A93" s="1" t="s">
        <v>53</v>
      </c>
      <c r="B93" s="1" t="s">
        <v>55</v>
      </c>
      <c r="C93" s="1" t="s">
        <v>201</v>
      </c>
      <c r="D93" s="2">
        <v>475</v>
      </c>
      <c r="E93" s="2">
        <v>296</v>
      </c>
      <c r="F93" s="2">
        <f t="shared" si="3"/>
        <v>771</v>
      </c>
      <c r="G93" s="3">
        <f t="shared" si="4"/>
        <v>0.61608300907911806</v>
      </c>
      <c r="H93" s="3">
        <f t="shared" si="5"/>
        <v>0.383916990920882</v>
      </c>
      <c r="I93" s="1" t="s">
        <v>532</v>
      </c>
      <c r="J93" s="2">
        <v>502</v>
      </c>
      <c r="K93" s="2">
        <v>283</v>
      </c>
      <c r="L93" s="2">
        <v>785</v>
      </c>
      <c r="M93" s="3">
        <v>0.63949044585987258</v>
      </c>
      <c r="N93" s="6">
        <v>-2.34</v>
      </c>
    </row>
    <row r="94" spans="1:14" x14ac:dyDescent="0.2">
      <c r="A94" s="1" t="s">
        <v>53</v>
      </c>
      <c r="B94" s="1" t="s">
        <v>55</v>
      </c>
      <c r="C94" s="1" t="s">
        <v>202</v>
      </c>
      <c r="D94" s="2">
        <v>375</v>
      </c>
      <c r="E94" s="2">
        <v>198</v>
      </c>
      <c r="F94" s="2">
        <f t="shared" si="3"/>
        <v>573</v>
      </c>
      <c r="G94" s="3">
        <f t="shared" si="4"/>
        <v>0.65445026178010468</v>
      </c>
      <c r="H94" s="3">
        <f t="shared" si="5"/>
        <v>0.34554973821989526</v>
      </c>
      <c r="I94" s="1" t="s">
        <v>533</v>
      </c>
    </row>
    <row r="95" spans="1:14" x14ac:dyDescent="0.2">
      <c r="A95" s="1" t="s">
        <v>53</v>
      </c>
      <c r="B95" s="1" t="s">
        <v>55</v>
      </c>
      <c r="C95" s="1" t="s">
        <v>204</v>
      </c>
      <c r="D95" s="2">
        <v>996</v>
      </c>
      <c r="E95" s="2">
        <v>568</v>
      </c>
      <c r="F95" s="2">
        <f t="shared" si="3"/>
        <v>1564</v>
      </c>
      <c r="G95" s="3">
        <f t="shared" si="4"/>
        <v>0.63682864450127874</v>
      </c>
      <c r="H95" s="3">
        <f t="shared" si="5"/>
        <v>0.3631713554987212</v>
      </c>
      <c r="I95" s="1" t="s">
        <v>534</v>
      </c>
    </row>
    <row r="96" spans="1:14" x14ac:dyDescent="0.2">
      <c r="A96" s="1" t="s">
        <v>53</v>
      </c>
      <c r="B96" s="1" t="s">
        <v>55</v>
      </c>
      <c r="C96" s="1" t="s">
        <v>205</v>
      </c>
      <c r="D96" s="2">
        <v>472</v>
      </c>
      <c r="E96" s="2">
        <v>221</v>
      </c>
      <c r="F96" s="2">
        <f t="shared" si="3"/>
        <v>693</v>
      </c>
      <c r="G96" s="3">
        <f t="shared" si="4"/>
        <v>0.68109668109668109</v>
      </c>
      <c r="H96" s="3">
        <f t="shared" si="5"/>
        <v>0.31890331890331891</v>
      </c>
      <c r="I96" s="1" t="s">
        <v>532</v>
      </c>
      <c r="J96" s="2">
        <v>488</v>
      </c>
      <c r="K96" s="2">
        <v>252</v>
      </c>
      <c r="L96" s="2">
        <v>740</v>
      </c>
      <c r="M96" s="3">
        <v>0.6594594594594595</v>
      </c>
      <c r="N96" s="6">
        <v>2.16</v>
      </c>
    </row>
    <row r="97" spans="1:14" x14ac:dyDescent="0.2">
      <c r="A97" s="1" t="s">
        <v>53</v>
      </c>
      <c r="B97" s="1" t="s">
        <v>55</v>
      </c>
      <c r="C97" s="1" t="s">
        <v>206</v>
      </c>
      <c r="D97" s="2">
        <v>567</v>
      </c>
      <c r="E97" s="2">
        <v>383</v>
      </c>
      <c r="F97" s="2">
        <f t="shared" si="3"/>
        <v>950</v>
      </c>
      <c r="G97" s="3">
        <f t="shared" si="4"/>
        <v>0.59684210526315784</v>
      </c>
      <c r="H97" s="3">
        <f t="shared" si="5"/>
        <v>0.4031578947368421</v>
      </c>
      <c r="I97" s="1" t="s">
        <v>532</v>
      </c>
      <c r="J97" s="2">
        <v>601</v>
      </c>
      <c r="K97" s="2">
        <v>394</v>
      </c>
      <c r="L97" s="2">
        <v>995</v>
      </c>
      <c r="M97" s="3">
        <v>0.60402010050251254</v>
      </c>
      <c r="N97" s="6">
        <v>-0.72</v>
      </c>
    </row>
    <row r="98" spans="1:14" x14ac:dyDescent="0.2">
      <c r="A98" s="1" t="s">
        <v>53</v>
      </c>
      <c r="B98" s="1" t="s">
        <v>55</v>
      </c>
      <c r="C98" s="1" t="s">
        <v>207</v>
      </c>
      <c r="D98" s="2">
        <v>19</v>
      </c>
      <c r="E98" s="2">
        <v>10</v>
      </c>
      <c r="F98" s="2">
        <f t="shared" si="3"/>
        <v>29</v>
      </c>
      <c r="G98" s="3">
        <f t="shared" si="4"/>
        <v>0.65517241379310343</v>
      </c>
      <c r="H98" s="3">
        <f t="shared" si="5"/>
        <v>0.34482758620689657</v>
      </c>
      <c r="I98" s="1" t="s">
        <v>535</v>
      </c>
    </row>
    <row r="99" spans="1:14" x14ac:dyDescent="0.2">
      <c r="A99" s="1" t="s">
        <v>53</v>
      </c>
      <c r="B99" s="1" t="s">
        <v>55</v>
      </c>
      <c r="C99" s="1" t="s">
        <v>208</v>
      </c>
      <c r="D99" s="2">
        <v>303</v>
      </c>
      <c r="E99" s="2">
        <v>295</v>
      </c>
      <c r="F99" s="2">
        <f t="shared" si="3"/>
        <v>598</v>
      </c>
      <c r="G99" s="3">
        <f t="shared" si="4"/>
        <v>0.50668896321070234</v>
      </c>
      <c r="H99" s="3">
        <f t="shared" si="5"/>
        <v>0.49331103678929766</v>
      </c>
      <c r="I99" s="1" t="s">
        <v>532</v>
      </c>
      <c r="J99" s="2">
        <v>330</v>
      </c>
      <c r="K99" s="2">
        <v>270</v>
      </c>
      <c r="L99" s="2">
        <v>600</v>
      </c>
      <c r="M99" s="3">
        <v>0.55000000000000004</v>
      </c>
      <c r="N99" s="6">
        <v>-4.33</v>
      </c>
    </row>
    <row r="100" spans="1:14" x14ac:dyDescent="0.2">
      <c r="A100" s="1" t="s">
        <v>53</v>
      </c>
      <c r="B100" s="1" t="s">
        <v>55</v>
      </c>
      <c r="C100" s="1" t="s">
        <v>209</v>
      </c>
      <c r="D100" s="2">
        <v>617</v>
      </c>
      <c r="E100" s="2">
        <v>351</v>
      </c>
      <c r="F100" s="2">
        <f t="shared" si="3"/>
        <v>968</v>
      </c>
      <c r="G100" s="3">
        <f t="shared" si="4"/>
        <v>0.63739669421487599</v>
      </c>
      <c r="H100" s="3">
        <f t="shared" si="5"/>
        <v>0.36260330578512395</v>
      </c>
      <c r="I100" s="1" t="s">
        <v>532</v>
      </c>
      <c r="J100" s="2">
        <v>591</v>
      </c>
      <c r="K100" s="2">
        <v>333</v>
      </c>
      <c r="L100" s="2">
        <v>924</v>
      </c>
      <c r="M100" s="3">
        <v>0.63961038961038963</v>
      </c>
      <c r="N100" s="6">
        <v>-0.22</v>
      </c>
    </row>
    <row r="101" spans="1:14" x14ac:dyDescent="0.2">
      <c r="A101" s="1" t="s">
        <v>53</v>
      </c>
      <c r="B101" s="1" t="s">
        <v>55</v>
      </c>
      <c r="C101" s="1" t="s">
        <v>210</v>
      </c>
      <c r="D101" s="2">
        <v>324</v>
      </c>
      <c r="E101" s="2">
        <v>272</v>
      </c>
      <c r="F101" s="2">
        <f t="shared" si="3"/>
        <v>596</v>
      </c>
      <c r="G101" s="3">
        <f t="shared" si="4"/>
        <v>0.5436241610738255</v>
      </c>
      <c r="H101" s="3">
        <f t="shared" si="5"/>
        <v>0.4563758389261745</v>
      </c>
      <c r="I101" s="1" t="s">
        <v>532</v>
      </c>
      <c r="J101" s="2">
        <v>347</v>
      </c>
      <c r="K101" s="2">
        <v>243</v>
      </c>
      <c r="L101" s="2">
        <v>590</v>
      </c>
      <c r="M101" s="3">
        <v>0.58813559322033904</v>
      </c>
      <c r="N101" s="6">
        <v>-4.45</v>
      </c>
    </row>
    <row r="102" spans="1:14" x14ac:dyDescent="0.2">
      <c r="A102" s="1" t="s">
        <v>53</v>
      </c>
      <c r="B102" s="1" t="s">
        <v>55</v>
      </c>
      <c r="C102" s="1" t="s">
        <v>211</v>
      </c>
      <c r="D102" s="2">
        <v>484</v>
      </c>
      <c r="E102" s="2">
        <v>261</v>
      </c>
      <c r="F102" s="2">
        <f t="shared" si="3"/>
        <v>745</v>
      </c>
      <c r="G102" s="3">
        <f t="shared" si="4"/>
        <v>0.64966442953020132</v>
      </c>
      <c r="H102" s="3">
        <f t="shared" si="5"/>
        <v>0.35033557046979868</v>
      </c>
      <c r="I102" s="1" t="s">
        <v>532</v>
      </c>
      <c r="J102" s="2">
        <v>440</v>
      </c>
      <c r="K102" s="2">
        <v>259</v>
      </c>
      <c r="L102" s="2">
        <v>699</v>
      </c>
      <c r="M102" s="3">
        <v>0.62947067238912735</v>
      </c>
      <c r="N102" s="6">
        <v>2.02</v>
      </c>
    </row>
    <row r="103" spans="1:14" x14ac:dyDescent="0.2">
      <c r="A103" s="1" t="s">
        <v>53</v>
      </c>
      <c r="B103" s="1" t="s">
        <v>55</v>
      </c>
      <c r="C103" s="1" t="s">
        <v>212</v>
      </c>
      <c r="D103" s="2">
        <v>496</v>
      </c>
      <c r="E103" s="2">
        <v>442</v>
      </c>
      <c r="F103" s="2">
        <f t="shared" si="3"/>
        <v>938</v>
      </c>
      <c r="G103" s="3">
        <f t="shared" si="4"/>
        <v>0.52878464818763327</v>
      </c>
      <c r="H103" s="3">
        <f t="shared" si="5"/>
        <v>0.47121535181236673</v>
      </c>
      <c r="I103" s="1" t="s">
        <v>532</v>
      </c>
      <c r="J103" s="2">
        <v>553</v>
      </c>
      <c r="K103" s="2">
        <v>367</v>
      </c>
      <c r="L103" s="2">
        <v>920</v>
      </c>
      <c r="M103" s="3">
        <v>0.60108695652173916</v>
      </c>
      <c r="N103" s="6">
        <v>-7.23</v>
      </c>
    </row>
    <row r="104" spans="1:14" x14ac:dyDescent="0.2">
      <c r="A104" s="1" t="s">
        <v>53</v>
      </c>
      <c r="B104" s="1" t="s">
        <v>55</v>
      </c>
      <c r="C104" s="1" t="s">
        <v>213</v>
      </c>
      <c r="D104" s="2">
        <v>1</v>
      </c>
      <c r="E104" s="2">
        <v>1</v>
      </c>
      <c r="F104" s="2">
        <f t="shared" si="3"/>
        <v>2</v>
      </c>
      <c r="G104" s="3">
        <f t="shared" si="4"/>
        <v>0.5</v>
      </c>
      <c r="H104" s="3">
        <f t="shared" si="5"/>
        <v>0.5</v>
      </c>
      <c r="I104" s="1" t="s">
        <v>536</v>
      </c>
    </row>
    <row r="105" spans="1:14" x14ac:dyDescent="0.2">
      <c r="A105" s="1" t="s">
        <v>53</v>
      </c>
      <c r="B105" s="1" t="s">
        <v>55</v>
      </c>
      <c r="C105" s="1" t="s">
        <v>214</v>
      </c>
      <c r="D105" s="2">
        <v>807</v>
      </c>
      <c r="E105" s="2">
        <v>546</v>
      </c>
      <c r="F105" s="2">
        <f t="shared" si="3"/>
        <v>1353</v>
      </c>
      <c r="G105" s="3">
        <f t="shared" si="4"/>
        <v>0.59645232815964522</v>
      </c>
      <c r="H105" s="3">
        <f t="shared" si="5"/>
        <v>0.40354767184035478</v>
      </c>
      <c r="I105" s="1" t="s">
        <v>532</v>
      </c>
      <c r="J105" s="2">
        <v>821</v>
      </c>
      <c r="K105" s="2">
        <v>504</v>
      </c>
      <c r="L105" s="2">
        <v>1325</v>
      </c>
      <c r="M105" s="3">
        <v>0.61962264150943391</v>
      </c>
      <c r="N105" s="6">
        <v>-2.3199999999999998</v>
      </c>
    </row>
    <row r="106" spans="1:14" x14ac:dyDescent="0.2">
      <c r="A106" s="1" t="s">
        <v>53</v>
      </c>
      <c r="B106" s="1" t="s">
        <v>55</v>
      </c>
      <c r="C106" s="1" t="s">
        <v>215</v>
      </c>
      <c r="D106" s="2">
        <v>558</v>
      </c>
      <c r="E106" s="2">
        <v>175</v>
      </c>
      <c r="F106" s="2">
        <f t="shared" si="3"/>
        <v>733</v>
      </c>
      <c r="G106" s="3">
        <f t="shared" si="4"/>
        <v>0.76125511596180084</v>
      </c>
      <c r="H106" s="3">
        <f t="shared" si="5"/>
        <v>0.23874488403819918</v>
      </c>
      <c r="I106" s="1" t="s">
        <v>532</v>
      </c>
      <c r="J106" s="2">
        <v>487</v>
      </c>
      <c r="K106" s="2">
        <v>191</v>
      </c>
      <c r="L106" s="2">
        <v>678</v>
      </c>
      <c r="M106" s="3">
        <v>0.71828908554572268</v>
      </c>
      <c r="N106" s="6">
        <v>4.3</v>
      </c>
    </row>
    <row r="107" spans="1:14" x14ac:dyDescent="0.2">
      <c r="A107" s="1" t="s">
        <v>53</v>
      </c>
      <c r="B107" s="1" t="s">
        <v>55</v>
      </c>
      <c r="C107" s="1" t="s">
        <v>216</v>
      </c>
      <c r="D107" s="2">
        <v>321</v>
      </c>
      <c r="E107" s="2">
        <v>172</v>
      </c>
      <c r="F107" s="2">
        <f t="shared" si="3"/>
        <v>493</v>
      </c>
      <c r="G107" s="3">
        <f t="shared" si="4"/>
        <v>0.65111561866125756</v>
      </c>
      <c r="H107" s="3">
        <f t="shared" si="5"/>
        <v>0.34888438133874239</v>
      </c>
      <c r="I107" s="1" t="s">
        <v>537</v>
      </c>
    </row>
    <row r="108" spans="1:14" x14ac:dyDescent="0.2">
      <c r="A108" s="1" t="s">
        <v>53</v>
      </c>
      <c r="B108" s="1" t="s">
        <v>55</v>
      </c>
      <c r="C108" s="1" t="s">
        <v>217</v>
      </c>
      <c r="D108" s="2">
        <v>722</v>
      </c>
      <c r="E108" s="2">
        <v>197</v>
      </c>
      <c r="F108" s="2">
        <f t="shared" si="3"/>
        <v>919</v>
      </c>
      <c r="G108" s="3">
        <f t="shared" si="4"/>
        <v>0.78563656147986938</v>
      </c>
      <c r="H108" s="3">
        <f t="shared" si="5"/>
        <v>0.21436343852013057</v>
      </c>
      <c r="I108" s="1" t="s">
        <v>532</v>
      </c>
      <c r="J108" s="2">
        <v>677</v>
      </c>
      <c r="K108" s="2">
        <v>264</v>
      </c>
      <c r="L108" s="2">
        <v>941</v>
      </c>
      <c r="M108" s="3">
        <v>0.71944739638682254</v>
      </c>
      <c r="N108" s="6">
        <v>6.62</v>
      </c>
    </row>
    <row r="109" spans="1:14" x14ac:dyDescent="0.2">
      <c r="A109" s="1" t="s">
        <v>53</v>
      </c>
      <c r="B109" s="1" t="s">
        <v>55</v>
      </c>
      <c r="C109" s="1" t="s">
        <v>218</v>
      </c>
      <c r="D109" s="2">
        <v>309</v>
      </c>
      <c r="E109" s="2">
        <v>121</v>
      </c>
      <c r="F109" s="2">
        <f t="shared" si="3"/>
        <v>430</v>
      </c>
      <c r="G109" s="3">
        <f t="shared" si="4"/>
        <v>0.71860465116279071</v>
      </c>
      <c r="H109" s="3">
        <f t="shared" si="5"/>
        <v>0.28139534883720929</v>
      </c>
      <c r="I109" s="1" t="s">
        <v>532</v>
      </c>
      <c r="J109" s="2">
        <v>283</v>
      </c>
      <c r="K109" s="2">
        <v>138</v>
      </c>
      <c r="L109" s="2">
        <v>421</v>
      </c>
      <c r="M109" s="3">
        <v>0.67220902612826605</v>
      </c>
      <c r="N109" s="6">
        <v>4.6399999999999997</v>
      </c>
    </row>
    <row r="110" spans="1:14" x14ac:dyDescent="0.2">
      <c r="A110" s="1" t="s">
        <v>53</v>
      </c>
      <c r="B110" s="1" t="s">
        <v>55</v>
      </c>
      <c r="C110" s="1" t="s">
        <v>219</v>
      </c>
      <c r="D110" s="2">
        <v>402</v>
      </c>
      <c r="E110" s="2">
        <v>118</v>
      </c>
      <c r="F110" s="2">
        <f t="shared" si="3"/>
        <v>520</v>
      </c>
      <c r="G110" s="3">
        <f t="shared" si="4"/>
        <v>0.77307692307692311</v>
      </c>
      <c r="H110" s="3">
        <f t="shared" si="5"/>
        <v>0.22692307692307692</v>
      </c>
      <c r="I110" s="1" t="s">
        <v>532</v>
      </c>
      <c r="J110" s="2">
        <v>447</v>
      </c>
      <c r="K110" s="2">
        <v>152</v>
      </c>
      <c r="L110" s="2">
        <v>599</v>
      </c>
      <c r="M110" s="3">
        <v>0.74624373956594325</v>
      </c>
      <c r="N110" s="6">
        <v>2.68</v>
      </c>
    </row>
    <row r="111" spans="1:14" x14ac:dyDescent="0.2">
      <c r="A111" s="1" t="s">
        <v>53</v>
      </c>
      <c r="B111" s="1" t="s">
        <v>55</v>
      </c>
      <c r="C111" s="1" t="s">
        <v>220</v>
      </c>
      <c r="D111" s="2">
        <v>226</v>
      </c>
      <c r="E111" s="2">
        <v>86</v>
      </c>
      <c r="F111" s="2">
        <f t="shared" si="3"/>
        <v>312</v>
      </c>
      <c r="G111" s="3">
        <f t="shared" si="4"/>
        <v>0.72435897435897434</v>
      </c>
      <c r="H111" s="3">
        <f t="shared" si="5"/>
        <v>0.27564102564102566</v>
      </c>
      <c r="I111" s="1" t="s">
        <v>532</v>
      </c>
      <c r="J111" s="2">
        <v>179</v>
      </c>
      <c r="K111" s="2">
        <v>112</v>
      </c>
      <c r="L111" s="2">
        <v>291</v>
      </c>
      <c r="M111" s="3">
        <v>0.61512027491408938</v>
      </c>
      <c r="N111" s="6">
        <v>10.92</v>
      </c>
    </row>
    <row r="112" spans="1:14" x14ac:dyDescent="0.2">
      <c r="A112" s="1" t="s">
        <v>53</v>
      </c>
      <c r="B112" s="1" t="s">
        <v>55</v>
      </c>
      <c r="C112" s="1" t="s">
        <v>221</v>
      </c>
      <c r="D112" s="2">
        <v>385</v>
      </c>
      <c r="E112" s="2">
        <v>202</v>
      </c>
      <c r="F112" s="2">
        <f t="shared" si="3"/>
        <v>587</v>
      </c>
      <c r="G112" s="3">
        <f t="shared" si="4"/>
        <v>0.65587734241908002</v>
      </c>
      <c r="H112" s="3">
        <f t="shared" si="5"/>
        <v>0.34412265758091992</v>
      </c>
      <c r="I112" s="1" t="s">
        <v>532</v>
      </c>
      <c r="J112" s="2">
        <v>357</v>
      </c>
      <c r="K112" s="2">
        <v>225</v>
      </c>
      <c r="L112" s="2">
        <v>582</v>
      </c>
      <c r="M112" s="3">
        <v>0.61340206185567014</v>
      </c>
      <c r="N112" s="6">
        <v>4.25</v>
      </c>
    </row>
    <row r="113" spans="1:14" x14ac:dyDescent="0.2">
      <c r="A113" s="1" t="s">
        <v>53</v>
      </c>
      <c r="B113" s="1" t="s">
        <v>55</v>
      </c>
      <c r="C113" s="1" t="s">
        <v>222</v>
      </c>
      <c r="D113" s="2">
        <v>558</v>
      </c>
      <c r="E113" s="2">
        <v>201</v>
      </c>
      <c r="F113" s="2">
        <f t="shared" si="3"/>
        <v>759</v>
      </c>
      <c r="G113" s="3">
        <f t="shared" si="4"/>
        <v>0.7351778656126482</v>
      </c>
      <c r="H113" s="3">
        <f t="shared" si="5"/>
        <v>0.2648221343873518</v>
      </c>
      <c r="I113" s="1" t="s">
        <v>532</v>
      </c>
      <c r="J113" s="2">
        <v>520</v>
      </c>
      <c r="K113" s="2">
        <v>193</v>
      </c>
      <c r="L113" s="2">
        <v>713</v>
      </c>
      <c r="M113" s="3">
        <v>0.72931276297335201</v>
      </c>
      <c r="N113" s="6">
        <v>0.59</v>
      </c>
    </row>
    <row r="114" spans="1:14" x14ac:dyDescent="0.2">
      <c r="A114" s="1" t="s">
        <v>53</v>
      </c>
      <c r="B114" s="1" t="s">
        <v>55</v>
      </c>
      <c r="C114" s="1" t="s">
        <v>223</v>
      </c>
      <c r="D114" s="2">
        <v>241</v>
      </c>
      <c r="E114" s="2">
        <v>72</v>
      </c>
      <c r="F114" s="2">
        <f t="shared" si="3"/>
        <v>313</v>
      </c>
      <c r="G114" s="3">
        <f t="shared" si="4"/>
        <v>0.76996805111821087</v>
      </c>
      <c r="H114" s="3">
        <f t="shared" si="5"/>
        <v>0.23003194888178913</v>
      </c>
      <c r="I114" s="1" t="s">
        <v>532</v>
      </c>
      <c r="J114" s="2">
        <v>218</v>
      </c>
      <c r="K114" s="2">
        <v>86</v>
      </c>
      <c r="L114" s="2">
        <v>304</v>
      </c>
      <c r="M114" s="3">
        <v>0.71710526315789469</v>
      </c>
      <c r="N114" s="6">
        <v>5.29</v>
      </c>
    </row>
    <row r="115" spans="1:14" x14ac:dyDescent="0.2">
      <c r="A115" s="1" t="s">
        <v>53</v>
      </c>
      <c r="B115" s="1" t="s">
        <v>55</v>
      </c>
      <c r="C115" s="1" t="s">
        <v>224</v>
      </c>
      <c r="D115" s="2">
        <v>311</v>
      </c>
      <c r="E115" s="2">
        <v>77</v>
      </c>
      <c r="F115" s="2">
        <f t="shared" si="3"/>
        <v>388</v>
      </c>
      <c r="G115" s="3">
        <f t="shared" si="4"/>
        <v>0.80154639175257736</v>
      </c>
      <c r="H115" s="3">
        <f t="shared" si="5"/>
        <v>0.19845360824742267</v>
      </c>
      <c r="I115" s="1" t="s">
        <v>532</v>
      </c>
      <c r="J115" s="2">
        <v>262</v>
      </c>
      <c r="K115" s="2">
        <v>109</v>
      </c>
      <c r="L115" s="2">
        <v>371</v>
      </c>
      <c r="M115" s="3">
        <v>0.70619946091644203</v>
      </c>
      <c r="N115" s="6">
        <v>9.5299999999999994</v>
      </c>
    </row>
    <row r="116" spans="1:14" x14ac:dyDescent="0.2">
      <c r="A116" s="1" t="s">
        <v>53</v>
      </c>
      <c r="B116" s="1" t="s">
        <v>55</v>
      </c>
      <c r="C116" s="1" t="s">
        <v>225</v>
      </c>
      <c r="D116" s="2">
        <v>445</v>
      </c>
      <c r="E116" s="2">
        <v>143</v>
      </c>
      <c r="F116" s="2">
        <f t="shared" si="3"/>
        <v>588</v>
      </c>
      <c r="G116" s="3">
        <f t="shared" si="4"/>
        <v>0.75680272108843538</v>
      </c>
      <c r="H116" s="3">
        <f t="shared" si="5"/>
        <v>0.24319727891156462</v>
      </c>
      <c r="I116" s="1" t="s">
        <v>532</v>
      </c>
      <c r="J116" s="2">
        <v>424</v>
      </c>
      <c r="K116" s="2">
        <v>151</v>
      </c>
      <c r="L116" s="2">
        <v>575</v>
      </c>
      <c r="M116" s="3">
        <v>0.73739130434782607</v>
      </c>
      <c r="N116" s="6">
        <v>1.94</v>
      </c>
    </row>
    <row r="117" spans="1:14" x14ac:dyDescent="0.2">
      <c r="A117" s="1" t="s">
        <v>53</v>
      </c>
      <c r="B117" s="1" t="s">
        <v>55</v>
      </c>
      <c r="C117" s="1" t="s">
        <v>226</v>
      </c>
      <c r="D117" s="2">
        <v>551</v>
      </c>
      <c r="E117" s="2">
        <v>339</v>
      </c>
      <c r="F117" s="2">
        <f t="shared" si="3"/>
        <v>890</v>
      </c>
      <c r="G117" s="3">
        <f t="shared" si="4"/>
        <v>0.61910112359550562</v>
      </c>
      <c r="H117" s="3">
        <f t="shared" si="5"/>
        <v>0.38089887640449438</v>
      </c>
      <c r="I117" s="1" t="s">
        <v>532</v>
      </c>
      <c r="J117" s="2">
        <v>565</v>
      </c>
      <c r="K117" s="2">
        <v>277</v>
      </c>
      <c r="L117" s="2">
        <v>842</v>
      </c>
      <c r="M117" s="3">
        <v>0.67102137767220904</v>
      </c>
      <c r="N117" s="6">
        <v>-5.19</v>
      </c>
    </row>
    <row r="118" spans="1:14" x14ac:dyDescent="0.2">
      <c r="A118" s="1" t="s">
        <v>53</v>
      </c>
      <c r="B118" s="1" t="s">
        <v>55</v>
      </c>
      <c r="C118" s="1" t="s">
        <v>227</v>
      </c>
      <c r="D118" s="2">
        <v>270</v>
      </c>
      <c r="E118" s="2">
        <v>139</v>
      </c>
      <c r="F118" s="2">
        <f t="shared" si="3"/>
        <v>409</v>
      </c>
      <c r="G118" s="3">
        <f t="shared" si="4"/>
        <v>0.66014669926650371</v>
      </c>
      <c r="H118" s="3">
        <f t="shared" si="5"/>
        <v>0.33985330073349634</v>
      </c>
      <c r="I118" s="1" t="s">
        <v>532</v>
      </c>
      <c r="J118" s="2">
        <v>260</v>
      </c>
      <c r="K118" s="2">
        <v>121</v>
      </c>
      <c r="L118" s="2">
        <v>381</v>
      </c>
      <c r="M118" s="3">
        <v>0.6824146981627297</v>
      </c>
      <c r="N118" s="6">
        <v>-2.23</v>
      </c>
    </row>
    <row r="119" spans="1:14" x14ac:dyDescent="0.2">
      <c r="A119" s="1" t="s">
        <v>53</v>
      </c>
      <c r="B119" s="1" t="s">
        <v>55</v>
      </c>
      <c r="C119" s="1" t="s">
        <v>228</v>
      </c>
      <c r="D119" s="2">
        <v>371</v>
      </c>
      <c r="E119" s="2">
        <v>147</v>
      </c>
      <c r="F119" s="2">
        <f t="shared" si="3"/>
        <v>518</v>
      </c>
      <c r="G119" s="3">
        <f t="shared" si="4"/>
        <v>0.71621621621621623</v>
      </c>
      <c r="H119" s="3">
        <f t="shared" si="5"/>
        <v>0.28378378378378377</v>
      </c>
      <c r="I119" s="1" t="s">
        <v>532</v>
      </c>
      <c r="J119" s="2">
        <v>317</v>
      </c>
      <c r="K119" s="2">
        <v>152</v>
      </c>
      <c r="L119" s="2">
        <v>469</v>
      </c>
      <c r="M119" s="3">
        <v>0.67590618336886998</v>
      </c>
      <c r="N119" s="6">
        <v>4.03</v>
      </c>
    </row>
    <row r="120" spans="1:14" x14ac:dyDescent="0.2">
      <c r="A120" s="1" t="s">
        <v>53</v>
      </c>
      <c r="B120" s="1" t="s">
        <v>55</v>
      </c>
      <c r="C120" s="1" t="s">
        <v>229</v>
      </c>
      <c r="D120" s="2">
        <v>419</v>
      </c>
      <c r="E120" s="2">
        <v>291</v>
      </c>
      <c r="F120" s="2">
        <f t="shared" si="3"/>
        <v>710</v>
      </c>
      <c r="G120" s="3">
        <f t="shared" si="4"/>
        <v>0.59014084507042253</v>
      </c>
      <c r="H120" s="3">
        <f t="shared" si="5"/>
        <v>0.40985915492957747</v>
      </c>
      <c r="I120" s="1" t="s">
        <v>532</v>
      </c>
      <c r="J120" s="2">
        <v>424</v>
      </c>
      <c r="K120" s="2">
        <v>264</v>
      </c>
      <c r="L120" s="2">
        <v>688</v>
      </c>
      <c r="M120" s="3">
        <v>0.61627906976744184</v>
      </c>
      <c r="N120" s="6">
        <v>-2.61</v>
      </c>
    </row>
    <row r="121" spans="1:14" x14ac:dyDescent="0.2">
      <c r="A121" s="1" t="s">
        <v>53</v>
      </c>
      <c r="B121" s="1" t="s">
        <v>55</v>
      </c>
      <c r="C121" s="1" t="s">
        <v>230</v>
      </c>
      <c r="D121" s="2">
        <v>530</v>
      </c>
      <c r="E121" s="2">
        <v>162</v>
      </c>
      <c r="F121" s="2">
        <f t="shared" si="3"/>
        <v>692</v>
      </c>
      <c r="G121" s="3">
        <f t="shared" si="4"/>
        <v>0.76589595375722541</v>
      </c>
      <c r="H121" s="3">
        <f t="shared" si="5"/>
        <v>0.23410404624277456</v>
      </c>
      <c r="I121" s="1" t="s">
        <v>532</v>
      </c>
      <c r="J121" s="2">
        <v>469</v>
      </c>
      <c r="K121" s="2">
        <v>215</v>
      </c>
      <c r="L121" s="2">
        <v>684</v>
      </c>
      <c r="M121" s="3">
        <v>0.68567251461988299</v>
      </c>
      <c r="N121" s="6">
        <v>8.02</v>
      </c>
    </row>
    <row r="122" spans="1:14" x14ac:dyDescent="0.2">
      <c r="A122" s="1" t="s">
        <v>53</v>
      </c>
      <c r="B122" s="1" t="s">
        <v>56</v>
      </c>
      <c r="C122" s="1" t="s">
        <v>231</v>
      </c>
      <c r="D122" s="2">
        <v>583</v>
      </c>
      <c r="E122" s="2">
        <v>243</v>
      </c>
      <c r="F122" s="2">
        <f t="shared" si="3"/>
        <v>826</v>
      </c>
      <c r="G122" s="3">
        <f t="shared" si="4"/>
        <v>0.70581113801452788</v>
      </c>
      <c r="H122" s="3">
        <f t="shared" si="5"/>
        <v>0.29418886198547217</v>
      </c>
      <c r="I122" s="1" t="s">
        <v>532</v>
      </c>
      <c r="J122" s="2">
        <v>598</v>
      </c>
      <c r="K122" s="2">
        <v>253</v>
      </c>
      <c r="L122" s="2">
        <v>851</v>
      </c>
      <c r="M122" s="3">
        <v>0.70270270270270274</v>
      </c>
      <c r="N122" s="6">
        <v>0.31</v>
      </c>
    </row>
    <row r="123" spans="1:14" x14ac:dyDescent="0.2">
      <c r="A123" s="1" t="s">
        <v>53</v>
      </c>
      <c r="B123" s="1" t="s">
        <v>56</v>
      </c>
      <c r="C123" s="1" t="s">
        <v>232</v>
      </c>
      <c r="D123" s="2">
        <v>421</v>
      </c>
      <c r="E123" s="2">
        <v>213</v>
      </c>
      <c r="F123" s="2">
        <f t="shared" si="3"/>
        <v>634</v>
      </c>
      <c r="G123" s="3">
        <f t="shared" si="4"/>
        <v>0.66403785488958988</v>
      </c>
      <c r="H123" s="3">
        <f t="shared" si="5"/>
        <v>0.33596214511041012</v>
      </c>
      <c r="I123" s="1" t="s">
        <v>532</v>
      </c>
      <c r="J123" s="2">
        <v>420</v>
      </c>
      <c r="K123" s="2">
        <v>214</v>
      </c>
      <c r="L123" s="2">
        <v>634</v>
      </c>
      <c r="M123" s="3">
        <v>0.66246056782334384</v>
      </c>
      <c r="N123" s="6">
        <v>0.16</v>
      </c>
    </row>
    <row r="124" spans="1:14" x14ac:dyDescent="0.2">
      <c r="A124" s="1" t="s">
        <v>53</v>
      </c>
      <c r="B124" s="1" t="s">
        <v>56</v>
      </c>
      <c r="C124" s="1" t="s">
        <v>233</v>
      </c>
      <c r="D124" s="2">
        <v>451</v>
      </c>
      <c r="E124" s="2">
        <v>182</v>
      </c>
      <c r="F124" s="2">
        <f t="shared" si="3"/>
        <v>633</v>
      </c>
      <c r="G124" s="3">
        <f t="shared" si="4"/>
        <v>0.71248025276461291</v>
      </c>
      <c r="H124" s="3">
        <f t="shared" si="5"/>
        <v>0.28751974723538704</v>
      </c>
      <c r="I124" s="1" t="s">
        <v>532</v>
      </c>
      <c r="J124" s="2">
        <v>438</v>
      </c>
      <c r="K124" s="2">
        <v>176</v>
      </c>
      <c r="L124" s="2">
        <v>614</v>
      </c>
      <c r="M124" s="3">
        <v>0.71335504885993484</v>
      </c>
      <c r="N124" s="6">
        <v>-0.09</v>
      </c>
    </row>
    <row r="125" spans="1:14" x14ac:dyDescent="0.2">
      <c r="A125" s="1" t="s">
        <v>53</v>
      </c>
      <c r="B125" s="1" t="s">
        <v>56</v>
      </c>
      <c r="C125" s="1" t="s">
        <v>234</v>
      </c>
      <c r="D125" s="2">
        <v>501</v>
      </c>
      <c r="E125" s="2">
        <v>229</v>
      </c>
      <c r="F125" s="2">
        <f t="shared" si="3"/>
        <v>730</v>
      </c>
      <c r="G125" s="3">
        <f t="shared" si="4"/>
        <v>0.68630136986301371</v>
      </c>
      <c r="H125" s="3">
        <f t="shared" si="5"/>
        <v>0.31369863013698629</v>
      </c>
      <c r="I125" s="1" t="s">
        <v>532</v>
      </c>
      <c r="J125" s="2">
        <v>463</v>
      </c>
      <c r="K125" s="2">
        <v>219</v>
      </c>
      <c r="L125" s="2">
        <v>682</v>
      </c>
      <c r="M125" s="3">
        <v>0.67888563049853368</v>
      </c>
      <c r="N125" s="6">
        <v>0.74</v>
      </c>
    </row>
    <row r="126" spans="1:14" x14ac:dyDescent="0.2">
      <c r="A126" s="1" t="s">
        <v>53</v>
      </c>
      <c r="B126" s="1" t="s">
        <v>56</v>
      </c>
      <c r="C126" s="1" t="s">
        <v>235</v>
      </c>
      <c r="D126" s="2">
        <v>794</v>
      </c>
      <c r="E126" s="2">
        <v>482</v>
      </c>
      <c r="F126" s="2">
        <f t="shared" si="3"/>
        <v>1276</v>
      </c>
      <c r="G126" s="3">
        <f t="shared" si="4"/>
        <v>0.62225705329153602</v>
      </c>
      <c r="H126" s="3">
        <f t="shared" si="5"/>
        <v>0.37774294670846392</v>
      </c>
      <c r="I126" s="1" t="s">
        <v>532</v>
      </c>
      <c r="J126" s="2">
        <v>782</v>
      </c>
      <c r="K126" s="2">
        <v>404</v>
      </c>
      <c r="L126" s="2">
        <v>1186</v>
      </c>
      <c r="M126" s="3">
        <v>0.65935919055649239</v>
      </c>
      <c r="N126" s="6">
        <v>-3.71</v>
      </c>
    </row>
    <row r="127" spans="1:14" x14ac:dyDescent="0.2">
      <c r="A127" s="1" t="s">
        <v>53</v>
      </c>
      <c r="B127" s="1" t="s">
        <v>56</v>
      </c>
      <c r="C127" s="1" t="s">
        <v>236</v>
      </c>
      <c r="D127" s="2">
        <v>510</v>
      </c>
      <c r="E127" s="2">
        <v>336</v>
      </c>
      <c r="F127" s="2">
        <f t="shared" si="3"/>
        <v>846</v>
      </c>
      <c r="G127" s="3">
        <f t="shared" si="4"/>
        <v>0.6028368794326241</v>
      </c>
      <c r="H127" s="3">
        <f t="shared" si="5"/>
        <v>0.3971631205673759</v>
      </c>
      <c r="I127" s="1" t="s">
        <v>532</v>
      </c>
      <c r="J127" s="2">
        <v>503</v>
      </c>
      <c r="K127" s="2">
        <v>318</v>
      </c>
      <c r="L127" s="2">
        <v>821</v>
      </c>
      <c r="M127" s="3">
        <v>0.61266747868453109</v>
      </c>
      <c r="N127" s="6">
        <v>-0.98</v>
      </c>
    </row>
    <row r="128" spans="1:14" x14ac:dyDescent="0.2">
      <c r="A128" s="1" t="s">
        <v>53</v>
      </c>
      <c r="B128" s="1" t="s">
        <v>56</v>
      </c>
      <c r="C128" s="1" t="s">
        <v>237</v>
      </c>
      <c r="D128" s="2">
        <v>553</v>
      </c>
      <c r="E128" s="2">
        <v>418</v>
      </c>
      <c r="F128" s="2">
        <f t="shared" si="3"/>
        <v>971</v>
      </c>
      <c r="G128" s="3">
        <f t="shared" si="4"/>
        <v>0.56951596292481976</v>
      </c>
      <c r="H128" s="3">
        <f t="shared" si="5"/>
        <v>0.43048403707518024</v>
      </c>
      <c r="I128" s="1" t="s">
        <v>532</v>
      </c>
      <c r="J128" s="2">
        <v>597</v>
      </c>
      <c r="K128" s="2">
        <v>396</v>
      </c>
      <c r="L128" s="2">
        <v>993</v>
      </c>
      <c r="M128" s="3">
        <v>0.6012084592145015</v>
      </c>
      <c r="N128" s="6">
        <v>-3.17</v>
      </c>
    </row>
    <row r="129" spans="1:14" x14ac:dyDescent="0.2">
      <c r="A129" s="1" t="s">
        <v>53</v>
      </c>
      <c r="B129" s="1" t="s">
        <v>56</v>
      </c>
      <c r="C129" s="1" t="s">
        <v>238</v>
      </c>
      <c r="D129" s="2">
        <v>713</v>
      </c>
      <c r="E129" s="2">
        <v>476</v>
      </c>
      <c r="F129" s="2">
        <f t="shared" si="3"/>
        <v>1189</v>
      </c>
      <c r="G129" s="3">
        <f t="shared" si="4"/>
        <v>0.59966358284272503</v>
      </c>
      <c r="H129" s="3">
        <f t="shared" si="5"/>
        <v>0.40033641715727503</v>
      </c>
      <c r="I129" s="1" t="s">
        <v>532</v>
      </c>
      <c r="J129" s="2">
        <v>678</v>
      </c>
      <c r="K129" s="2">
        <v>451</v>
      </c>
      <c r="L129" s="2">
        <v>1129</v>
      </c>
      <c r="M129" s="3">
        <v>0.60053144375553591</v>
      </c>
      <c r="N129" s="6">
        <v>-0.09</v>
      </c>
    </row>
    <row r="130" spans="1:14" x14ac:dyDescent="0.2">
      <c r="A130" s="1" t="s">
        <v>53</v>
      </c>
      <c r="B130" s="1" t="s">
        <v>56</v>
      </c>
      <c r="C130" s="1" t="s">
        <v>239</v>
      </c>
      <c r="D130" s="2">
        <v>521</v>
      </c>
      <c r="E130" s="2">
        <v>374</v>
      </c>
      <c r="F130" s="2">
        <f t="shared" si="3"/>
        <v>895</v>
      </c>
      <c r="G130" s="3">
        <f t="shared" si="4"/>
        <v>0.58212290502793296</v>
      </c>
      <c r="H130" s="3">
        <f t="shared" si="5"/>
        <v>0.41787709497206704</v>
      </c>
      <c r="I130" s="1" t="s">
        <v>532</v>
      </c>
      <c r="J130" s="2">
        <v>524</v>
      </c>
      <c r="K130" s="2">
        <v>327</v>
      </c>
      <c r="L130" s="2">
        <v>851</v>
      </c>
      <c r="M130" s="3">
        <v>0.61574618096357225</v>
      </c>
      <c r="N130" s="6">
        <v>-3.36</v>
      </c>
    </row>
    <row r="131" spans="1:14" x14ac:dyDescent="0.2">
      <c r="A131" s="1" t="s">
        <v>53</v>
      </c>
      <c r="B131" s="1" t="s">
        <v>56</v>
      </c>
      <c r="C131" s="1" t="s">
        <v>240</v>
      </c>
      <c r="D131" s="2">
        <v>399</v>
      </c>
      <c r="E131" s="2">
        <v>370</v>
      </c>
      <c r="F131" s="2">
        <f t="shared" si="3"/>
        <v>769</v>
      </c>
      <c r="G131" s="3">
        <f t="shared" si="4"/>
        <v>0.51885565669700906</v>
      </c>
      <c r="H131" s="3">
        <f t="shared" si="5"/>
        <v>0.48114434330299088</v>
      </c>
      <c r="I131" s="1" t="s">
        <v>532</v>
      </c>
      <c r="J131" s="2">
        <v>437</v>
      </c>
      <c r="K131" s="2">
        <v>344</v>
      </c>
      <c r="L131" s="2">
        <v>781</v>
      </c>
      <c r="M131" s="3">
        <v>0.55953905249679903</v>
      </c>
      <c r="N131" s="6">
        <v>-4.07</v>
      </c>
    </row>
    <row r="132" spans="1:14" x14ac:dyDescent="0.2">
      <c r="A132" s="1" t="s">
        <v>53</v>
      </c>
      <c r="B132" s="1" t="s">
        <v>56</v>
      </c>
      <c r="C132" s="1" t="s">
        <v>241</v>
      </c>
      <c r="D132" s="2">
        <v>537</v>
      </c>
      <c r="E132" s="2">
        <v>344</v>
      </c>
      <c r="F132" s="2">
        <f t="shared" si="3"/>
        <v>881</v>
      </c>
      <c r="G132" s="3">
        <f t="shared" si="4"/>
        <v>0.60953461975028378</v>
      </c>
      <c r="H132" s="3">
        <f t="shared" si="5"/>
        <v>0.39046538024971622</v>
      </c>
      <c r="I132" s="1" t="s">
        <v>532</v>
      </c>
      <c r="J132" s="2">
        <v>581</v>
      </c>
      <c r="K132" s="2">
        <v>342</v>
      </c>
      <c r="L132" s="2">
        <v>923</v>
      </c>
      <c r="M132" s="3">
        <v>0.62946912242686892</v>
      </c>
      <c r="N132" s="6">
        <v>-1.99</v>
      </c>
    </row>
    <row r="133" spans="1:14" x14ac:dyDescent="0.2">
      <c r="A133" s="1" t="s">
        <v>53</v>
      </c>
      <c r="B133" s="1" t="s">
        <v>56</v>
      </c>
      <c r="C133" s="1" t="s">
        <v>242</v>
      </c>
      <c r="D133" s="2">
        <v>573</v>
      </c>
      <c r="E133" s="2">
        <v>416</v>
      </c>
      <c r="F133" s="2">
        <f t="shared" si="3"/>
        <v>989</v>
      </c>
      <c r="G133" s="3">
        <f t="shared" si="4"/>
        <v>0.57937310414560161</v>
      </c>
      <c r="H133" s="3">
        <f t="shared" si="5"/>
        <v>0.42062689585439839</v>
      </c>
      <c r="I133" s="1" t="s">
        <v>532</v>
      </c>
      <c r="J133" s="2">
        <v>591</v>
      </c>
      <c r="K133" s="2">
        <v>390</v>
      </c>
      <c r="L133" s="2">
        <v>981</v>
      </c>
      <c r="M133" s="3">
        <v>0.60244648318042815</v>
      </c>
      <c r="N133" s="6">
        <v>-2.31</v>
      </c>
    </row>
    <row r="134" spans="1:14" x14ac:dyDescent="0.2">
      <c r="A134" s="1" t="s">
        <v>53</v>
      </c>
      <c r="B134" s="1" t="s">
        <v>57</v>
      </c>
      <c r="C134" s="1" t="s">
        <v>243</v>
      </c>
      <c r="D134" s="2">
        <v>538</v>
      </c>
      <c r="E134" s="2">
        <v>468</v>
      </c>
      <c r="F134" s="2">
        <f t="shared" si="3"/>
        <v>1006</v>
      </c>
      <c r="G134" s="3">
        <f t="shared" si="4"/>
        <v>0.53479125248508941</v>
      </c>
      <c r="H134" s="3">
        <f t="shared" si="5"/>
        <v>0.46520874751491054</v>
      </c>
      <c r="I134" s="1" t="s">
        <v>532</v>
      </c>
      <c r="J134" s="2">
        <v>557</v>
      </c>
      <c r="K134" s="2">
        <v>454</v>
      </c>
      <c r="L134" s="2">
        <v>1011</v>
      </c>
      <c r="M134" s="3">
        <v>0.55093966369930758</v>
      </c>
      <c r="N134" s="6">
        <v>-1.61</v>
      </c>
    </row>
    <row r="135" spans="1:14" x14ac:dyDescent="0.2">
      <c r="A135" s="1" t="s">
        <v>53</v>
      </c>
      <c r="B135" s="1" t="s">
        <v>57</v>
      </c>
      <c r="C135" s="1" t="s">
        <v>244</v>
      </c>
      <c r="D135" s="2">
        <v>461</v>
      </c>
      <c r="E135" s="2">
        <v>540</v>
      </c>
      <c r="F135" s="2">
        <f t="shared" si="3"/>
        <v>1001</v>
      </c>
      <c r="G135" s="3">
        <f t="shared" si="4"/>
        <v>0.46053946053946054</v>
      </c>
      <c r="H135" s="3">
        <f t="shared" si="5"/>
        <v>0.53946053946053951</v>
      </c>
      <c r="I135" s="1" t="s">
        <v>532</v>
      </c>
      <c r="J135" s="2">
        <v>467</v>
      </c>
      <c r="K135" s="2">
        <v>513</v>
      </c>
      <c r="L135" s="2">
        <v>980</v>
      </c>
      <c r="M135" s="3">
        <v>0.47653061224489801</v>
      </c>
      <c r="N135" s="6">
        <v>-1.6</v>
      </c>
    </row>
    <row r="136" spans="1:14" x14ac:dyDescent="0.2">
      <c r="A136" s="1" t="s">
        <v>53</v>
      </c>
      <c r="B136" s="1" t="s">
        <v>57</v>
      </c>
      <c r="C136" s="1" t="s">
        <v>245</v>
      </c>
      <c r="D136" s="2">
        <v>528</v>
      </c>
      <c r="E136" s="2">
        <v>551</v>
      </c>
      <c r="F136" s="2">
        <f t="shared" si="3"/>
        <v>1079</v>
      </c>
      <c r="G136" s="3">
        <f t="shared" si="4"/>
        <v>0.48934198331788692</v>
      </c>
      <c r="H136" s="3">
        <f t="shared" si="5"/>
        <v>0.51065801668211308</v>
      </c>
      <c r="I136" s="1" t="s">
        <v>532</v>
      </c>
      <c r="J136" s="2">
        <v>536</v>
      </c>
      <c r="K136" s="2">
        <v>524</v>
      </c>
      <c r="L136" s="2">
        <v>1060</v>
      </c>
      <c r="M136" s="3">
        <v>0.50566037735849056</v>
      </c>
      <c r="N136" s="6">
        <v>-1.63</v>
      </c>
    </row>
    <row r="137" spans="1:14" x14ac:dyDescent="0.2">
      <c r="A137" s="1" t="s">
        <v>53</v>
      </c>
      <c r="B137" s="1" t="s">
        <v>58</v>
      </c>
      <c r="C137" s="1" t="s">
        <v>58</v>
      </c>
      <c r="D137" s="2">
        <v>741</v>
      </c>
      <c r="E137" s="2">
        <v>830</v>
      </c>
      <c r="F137" s="2">
        <f t="shared" si="3"/>
        <v>1571</v>
      </c>
      <c r="G137" s="3">
        <f t="shared" si="4"/>
        <v>0.47167409293443668</v>
      </c>
      <c r="H137" s="3">
        <f t="shared" si="5"/>
        <v>0.52832590706556337</v>
      </c>
      <c r="I137" s="1" t="s">
        <v>532</v>
      </c>
      <c r="J137" s="2">
        <v>735</v>
      </c>
      <c r="K137" s="2">
        <v>804</v>
      </c>
      <c r="L137" s="2">
        <v>1539</v>
      </c>
      <c r="M137" s="3">
        <v>0.47758284600389861</v>
      </c>
      <c r="N137" s="6">
        <v>-0.59</v>
      </c>
    </row>
    <row r="138" spans="1:14" x14ac:dyDescent="0.2">
      <c r="A138" s="1" t="s">
        <v>53</v>
      </c>
      <c r="B138" s="1" t="s">
        <v>59</v>
      </c>
      <c r="C138" s="1" t="s">
        <v>246</v>
      </c>
      <c r="D138" s="2">
        <v>379</v>
      </c>
      <c r="E138" s="2">
        <v>402</v>
      </c>
      <c r="F138" s="2">
        <f t="shared" si="3"/>
        <v>781</v>
      </c>
      <c r="G138" s="3">
        <f t="shared" si="4"/>
        <v>0.48527528809218951</v>
      </c>
      <c r="H138" s="3">
        <f t="shared" si="5"/>
        <v>0.51472471190781055</v>
      </c>
      <c r="I138" s="1" t="s">
        <v>532</v>
      </c>
      <c r="J138" s="2">
        <v>372</v>
      </c>
      <c r="K138" s="2">
        <v>383</v>
      </c>
      <c r="L138" s="2">
        <v>755</v>
      </c>
      <c r="M138" s="3">
        <v>0.49271523178807952</v>
      </c>
      <c r="N138" s="6">
        <v>-0.74</v>
      </c>
    </row>
    <row r="139" spans="1:14" x14ac:dyDescent="0.2">
      <c r="A139" s="1" t="s">
        <v>53</v>
      </c>
      <c r="B139" s="1" t="s">
        <v>59</v>
      </c>
      <c r="C139" s="1" t="s">
        <v>247</v>
      </c>
      <c r="D139" s="2">
        <v>526</v>
      </c>
      <c r="E139" s="2">
        <v>530</v>
      </c>
      <c r="F139" s="2">
        <f t="shared" si="3"/>
        <v>1056</v>
      </c>
      <c r="G139" s="3">
        <f t="shared" si="4"/>
        <v>0.49810606060606061</v>
      </c>
      <c r="H139" s="3">
        <f t="shared" si="5"/>
        <v>0.50189393939393945</v>
      </c>
      <c r="I139" s="1" t="s">
        <v>532</v>
      </c>
      <c r="J139" s="2">
        <v>527</v>
      </c>
      <c r="K139" s="2">
        <v>515</v>
      </c>
      <c r="L139" s="2">
        <v>1042</v>
      </c>
      <c r="M139" s="3">
        <v>0.50575815738963537</v>
      </c>
      <c r="N139" s="6">
        <v>-0.77</v>
      </c>
    </row>
    <row r="140" spans="1:14" x14ac:dyDescent="0.2">
      <c r="A140" s="1" t="s">
        <v>53</v>
      </c>
      <c r="B140" s="1" t="s">
        <v>60</v>
      </c>
      <c r="C140" s="1" t="s">
        <v>248</v>
      </c>
      <c r="D140" s="2">
        <v>553</v>
      </c>
      <c r="E140" s="2">
        <v>530</v>
      </c>
      <c r="F140" s="2">
        <f t="shared" ref="F140:F203" si="6">IF(COUNTA(D140:E140)=0,"",SUM(D140:E140))</f>
        <v>1083</v>
      </c>
      <c r="G140" s="3">
        <f t="shared" ref="G140:G203" si="7">IF(OR(F140="",F140=0),"",D140/F140)</f>
        <v>0.51061865189289013</v>
      </c>
      <c r="H140" s="3">
        <f t="shared" ref="H140:H203" si="8">IF(OR(F140="",F140=0),"",E140/F140)</f>
        <v>0.48938134810710987</v>
      </c>
      <c r="I140" s="1" t="s">
        <v>532</v>
      </c>
      <c r="J140" s="2">
        <v>562</v>
      </c>
      <c r="K140" s="2">
        <v>497</v>
      </c>
      <c r="L140" s="2">
        <v>1059</v>
      </c>
      <c r="M140" s="3">
        <v>0.53068932955618509</v>
      </c>
      <c r="N140" s="6">
        <v>-2.0099999999999998</v>
      </c>
    </row>
    <row r="141" spans="1:14" x14ac:dyDescent="0.2">
      <c r="A141" s="1" t="s">
        <v>53</v>
      </c>
      <c r="B141" s="1" t="s">
        <v>60</v>
      </c>
      <c r="C141" s="1" t="s">
        <v>249</v>
      </c>
      <c r="D141" s="2">
        <v>553</v>
      </c>
      <c r="E141" s="2">
        <v>524</v>
      </c>
      <c r="F141" s="2">
        <f t="shared" si="6"/>
        <v>1077</v>
      </c>
      <c r="G141" s="3">
        <f t="shared" si="7"/>
        <v>0.51346332404828221</v>
      </c>
      <c r="H141" s="3">
        <f t="shared" si="8"/>
        <v>0.48653667595171773</v>
      </c>
      <c r="I141" s="1" t="s">
        <v>532</v>
      </c>
      <c r="J141" s="2">
        <v>566</v>
      </c>
      <c r="K141" s="2">
        <v>509</v>
      </c>
      <c r="L141" s="2">
        <v>1075</v>
      </c>
      <c r="M141" s="3">
        <v>0.5265116279069767</v>
      </c>
      <c r="N141" s="6">
        <v>-1.3</v>
      </c>
    </row>
    <row r="142" spans="1:14" x14ac:dyDescent="0.2">
      <c r="A142" s="1" t="s">
        <v>53</v>
      </c>
      <c r="B142" s="1" t="s">
        <v>60</v>
      </c>
      <c r="C142" s="1" t="s">
        <v>250</v>
      </c>
      <c r="D142" s="2">
        <v>753</v>
      </c>
      <c r="E142" s="2">
        <v>812</v>
      </c>
      <c r="F142" s="2">
        <f t="shared" si="6"/>
        <v>1565</v>
      </c>
      <c r="G142" s="3">
        <f t="shared" si="7"/>
        <v>0.48115015974440895</v>
      </c>
      <c r="H142" s="3">
        <f t="shared" si="8"/>
        <v>0.518849840255591</v>
      </c>
      <c r="I142" s="1" t="s">
        <v>532</v>
      </c>
      <c r="J142" s="2">
        <v>826</v>
      </c>
      <c r="K142" s="2">
        <v>801</v>
      </c>
      <c r="L142" s="2">
        <v>1627</v>
      </c>
      <c r="M142" s="3">
        <v>0.50768285187461581</v>
      </c>
      <c r="N142" s="6">
        <v>-2.65</v>
      </c>
    </row>
    <row r="143" spans="1:14" x14ac:dyDescent="0.2">
      <c r="A143" s="1" t="s">
        <v>53</v>
      </c>
      <c r="B143" s="1" t="s">
        <v>60</v>
      </c>
      <c r="C143" s="1" t="s">
        <v>251</v>
      </c>
      <c r="D143" s="2">
        <v>654</v>
      </c>
      <c r="E143" s="2">
        <v>553</v>
      </c>
      <c r="F143" s="2">
        <f t="shared" si="6"/>
        <v>1207</v>
      </c>
      <c r="G143" s="3">
        <f t="shared" si="7"/>
        <v>0.54183927091963546</v>
      </c>
      <c r="H143" s="3">
        <f t="shared" si="8"/>
        <v>0.45816072908036454</v>
      </c>
      <c r="I143" s="1" t="s">
        <v>532</v>
      </c>
      <c r="J143" s="2">
        <v>686</v>
      </c>
      <c r="K143" s="2">
        <v>580</v>
      </c>
      <c r="L143" s="2">
        <v>1266</v>
      </c>
      <c r="M143" s="3">
        <v>0.54186413902053709</v>
      </c>
      <c r="N143" s="6">
        <v>0</v>
      </c>
    </row>
    <row r="144" spans="1:14" x14ac:dyDescent="0.2">
      <c r="A144" s="1" t="s">
        <v>53</v>
      </c>
      <c r="B144" s="1" t="s">
        <v>60</v>
      </c>
      <c r="C144" s="1" t="s">
        <v>252</v>
      </c>
      <c r="D144" s="2">
        <v>345</v>
      </c>
      <c r="E144" s="2">
        <v>358</v>
      </c>
      <c r="F144" s="2">
        <f t="shared" si="6"/>
        <v>703</v>
      </c>
      <c r="G144" s="3">
        <f t="shared" si="7"/>
        <v>0.49075391180654337</v>
      </c>
      <c r="H144" s="3">
        <f t="shared" si="8"/>
        <v>0.50924608819345663</v>
      </c>
      <c r="I144" s="1" t="s">
        <v>532</v>
      </c>
      <c r="J144" s="2">
        <v>332</v>
      </c>
      <c r="K144" s="2">
        <v>340</v>
      </c>
      <c r="L144" s="2">
        <v>672</v>
      </c>
      <c r="M144" s="3">
        <v>0.49404761904761912</v>
      </c>
      <c r="N144" s="6">
        <v>-0.33</v>
      </c>
    </row>
    <row r="145" spans="1:14" x14ac:dyDescent="0.2">
      <c r="A145" s="1" t="s">
        <v>53</v>
      </c>
      <c r="B145" s="1" t="s">
        <v>60</v>
      </c>
      <c r="C145" s="1" t="s">
        <v>253</v>
      </c>
      <c r="D145" s="2">
        <v>683</v>
      </c>
      <c r="E145" s="2">
        <v>540</v>
      </c>
      <c r="F145" s="2">
        <f t="shared" si="6"/>
        <v>1223</v>
      </c>
      <c r="G145" s="3">
        <f t="shared" si="7"/>
        <v>0.55846279640228946</v>
      </c>
      <c r="H145" s="3">
        <f t="shared" si="8"/>
        <v>0.44153720359771054</v>
      </c>
      <c r="I145" s="1" t="s">
        <v>532</v>
      </c>
      <c r="J145" s="2">
        <v>691</v>
      </c>
      <c r="K145" s="2">
        <v>509</v>
      </c>
      <c r="L145" s="2">
        <v>1200</v>
      </c>
      <c r="M145" s="3">
        <v>0.57583333333333331</v>
      </c>
      <c r="N145" s="6">
        <v>-1.74</v>
      </c>
    </row>
    <row r="146" spans="1:14" x14ac:dyDescent="0.2">
      <c r="A146" s="1" t="s">
        <v>53</v>
      </c>
      <c r="B146" s="1" t="s">
        <v>61</v>
      </c>
      <c r="C146" s="1" t="s">
        <v>254</v>
      </c>
      <c r="D146" s="2">
        <v>599</v>
      </c>
      <c r="E146" s="2">
        <v>293</v>
      </c>
      <c r="F146" s="2">
        <f t="shared" si="6"/>
        <v>892</v>
      </c>
      <c r="G146" s="3">
        <f t="shared" si="7"/>
        <v>0.67152466367713004</v>
      </c>
      <c r="H146" s="3">
        <f t="shared" si="8"/>
        <v>0.32847533632286996</v>
      </c>
      <c r="I146" s="1" t="s">
        <v>532</v>
      </c>
      <c r="J146" s="2">
        <v>579</v>
      </c>
      <c r="K146" s="2">
        <v>292</v>
      </c>
      <c r="L146" s="2">
        <v>871</v>
      </c>
      <c r="M146" s="3">
        <v>0.66475315729047069</v>
      </c>
      <c r="N146" s="6">
        <v>0.68</v>
      </c>
    </row>
    <row r="147" spans="1:14" x14ac:dyDescent="0.2">
      <c r="A147" s="1" t="s">
        <v>53</v>
      </c>
      <c r="B147" s="1" t="s">
        <v>61</v>
      </c>
      <c r="C147" s="1" t="s">
        <v>255</v>
      </c>
      <c r="D147" s="2">
        <v>438</v>
      </c>
      <c r="E147" s="2">
        <v>307</v>
      </c>
      <c r="F147" s="2">
        <f t="shared" si="6"/>
        <v>745</v>
      </c>
      <c r="G147" s="3">
        <f t="shared" si="7"/>
        <v>0.5879194630872483</v>
      </c>
      <c r="H147" s="3">
        <f t="shared" si="8"/>
        <v>0.4120805369127517</v>
      </c>
      <c r="I147" s="1" t="s">
        <v>532</v>
      </c>
      <c r="J147" s="2">
        <v>440</v>
      </c>
      <c r="K147" s="2">
        <v>262</v>
      </c>
      <c r="L147" s="2">
        <v>702</v>
      </c>
      <c r="M147" s="3">
        <v>0.62678062678062674</v>
      </c>
      <c r="N147" s="6">
        <v>-3.89</v>
      </c>
    </row>
    <row r="148" spans="1:14" x14ac:dyDescent="0.2">
      <c r="A148" s="1" t="s">
        <v>53</v>
      </c>
      <c r="B148" s="1" t="s">
        <v>61</v>
      </c>
      <c r="C148" s="1" t="s">
        <v>256</v>
      </c>
      <c r="D148" s="2">
        <v>462</v>
      </c>
      <c r="E148" s="2">
        <v>243</v>
      </c>
      <c r="F148" s="2">
        <f t="shared" si="6"/>
        <v>705</v>
      </c>
      <c r="G148" s="3">
        <f t="shared" si="7"/>
        <v>0.65531914893617016</v>
      </c>
      <c r="H148" s="3">
        <f t="shared" si="8"/>
        <v>0.34468085106382979</v>
      </c>
      <c r="I148" s="1" t="s">
        <v>532</v>
      </c>
      <c r="J148" s="2">
        <v>414</v>
      </c>
      <c r="K148" s="2">
        <v>239</v>
      </c>
      <c r="L148" s="2">
        <v>653</v>
      </c>
      <c r="M148" s="3">
        <v>0.63399693721286365</v>
      </c>
      <c r="N148" s="6">
        <v>2.13</v>
      </c>
    </row>
    <row r="149" spans="1:14" x14ac:dyDescent="0.2">
      <c r="A149" s="1" t="s">
        <v>53</v>
      </c>
      <c r="B149" s="1" t="s">
        <v>62</v>
      </c>
      <c r="C149" s="1" t="s">
        <v>62</v>
      </c>
      <c r="D149" s="2">
        <v>374</v>
      </c>
      <c r="E149" s="2">
        <v>365</v>
      </c>
      <c r="F149" s="2">
        <f t="shared" si="6"/>
        <v>739</v>
      </c>
      <c r="G149" s="3">
        <f t="shared" si="7"/>
        <v>0.50608930987821377</v>
      </c>
      <c r="H149" s="3">
        <f t="shared" si="8"/>
        <v>0.49391069012178618</v>
      </c>
      <c r="I149" s="1" t="s">
        <v>532</v>
      </c>
      <c r="J149" s="2">
        <v>379</v>
      </c>
      <c r="K149" s="2">
        <v>330</v>
      </c>
      <c r="L149" s="2">
        <v>709</v>
      </c>
      <c r="M149" s="3">
        <v>0.5345557122708039</v>
      </c>
      <c r="N149" s="6">
        <v>-2.85</v>
      </c>
    </row>
    <row r="150" spans="1:14" x14ac:dyDescent="0.2">
      <c r="A150" s="1" t="s">
        <v>53</v>
      </c>
      <c r="B150" s="1" t="s">
        <v>63</v>
      </c>
      <c r="C150" s="1" t="s">
        <v>63</v>
      </c>
      <c r="D150" s="2">
        <v>606</v>
      </c>
      <c r="E150" s="2">
        <v>1448</v>
      </c>
      <c r="F150" s="2">
        <f t="shared" si="6"/>
        <v>2054</v>
      </c>
      <c r="G150" s="3">
        <f t="shared" si="7"/>
        <v>0.29503407984420643</v>
      </c>
      <c r="H150" s="3">
        <f t="shared" si="8"/>
        <v>0.70496592015579362</v>
      </c>
      <c r="I150" s="1" t="s">
        <v>532</v>
      </c>
      <c r="J150" s="2">
        <v>654</v>
      </c>
      <c r="K150" s="2">
        <v>1439</v>
      </c>
      <c r="L150" s="2">
        <v>2093</v>
      </c>
      <c r="M150" s="3">
        <v>0.3124701385570951</v>
      </c>
      <c r="N150" s="6">
        <v>-1.74</v>
      </c>
    </row>
    <row r="151" spans="1:14" x14ac:dyDescent="0.2">
      <c r="A151" s="1" t="s">
        <v>53</v>
      </c>
      <c r="B151" s="1" t="s">
        <v>64</v>
      </c>
      <c r="C151" s="1" t="s">
        <v>257</v>
      </c>
      <c r="D151" s="2">
        <v>923</v>
      </c>
      <c r="E151" s="2">
        <v>1025</v>
      </c>
      <c r="F151" s="2">
        <f t="shared" si="6"/>
        <v>1948</v>
      </c>
      <c r="G151" s="3">
        <f t="shared" si="7"/>
        <v>0.47381930184804927</v>
      </c>
      <c r="H151" s="3">
        <f t="shared" si="8"/>
        <v>0.52618069815195068</v>
      </c>
      <c r="I151" s="1" t="s">
        <v>532</v>
      </c>
      <c r="J151" s="2">
        <v>928</v>
      </c>
      <c r="K151" s="2">
        <v>988</v>
      </c>
      <c r="L151" s="2">
        <v>1916</v>
      </c>
      <c r="M151" s="3">
        <v>0.48434237995824642</v>
      </c>
      <c r="N151" s="6">
        <v>-1.05</v>
      </c>
    </row>
    <row r="152" spans="1:14" x14ac:dyDescent="0.2">
      <c r="A152" s="1" t="s">
        <v>53</v>
      </c>
      <c r="B152" s="1" t="s">
        <v>64</v>
      </c>
      <c r="C152" s="1" t="s">
        <v>258</v>
      </c>
      <c r="D152" s="2">
        <v>1085</v>
      </c>
      <c r="E152" s="2">
        <v>1155</v>
      </c>
      <c r="F152" s="2">
        <f t="shared" si="6"/>
        <v>2240</v>
      </c>
      <c r="G152" s="3">
        <f t="shared" si="7"/>
        <v>0.484375</v>
      </c>
      <c r="H152" s="3">
        <f t="shared" si="8"/>
        <v>0.515625</v>
      </c>
      <c r="I152" s="1" t="s">
        <v>532</v>
      </c>
      <c r="J152" s="2">
        <v>1082</v>
      </c>
      <c r="K152" s="2">
        <v>1101</v>
      </c>
      <c r="L152" s="2">
        <v>2183</v>
      </c>
      <c r="M152" s="3">
        <v>0.49564819056344478</v>
      </c>
      <c r="N152" s="6">
        <v>-1.1299999999999999</v>
      </c>
    </row>
    <row r="153" spans="1:14" x14ac:dyDescent="0.2">
      <c r="A153" s="1" t="s">
        <v>53</v>
      </c>
      <c r="B153" s="1" t="s">
        <v>64</v>
      </c>
      <c r="C153" s="1" t="s">
        <v>259</v>
      </c>
      <c r="D153" s="2">
        <v>1795</v>
      </c>
      <c r="E153" s="2">
        <v>1951</v>
      </c>
      <c r="F153" s="2">
        <f t="shared" si="6"/>
        <v>3746</v>
      </c>
      <c r="G153" s="3">
        <f t="shared" si="7"/>
        <v>0.47917778964228508</v>
      </c>
      <c r="H153" s="3">
        <f t="shared" si="8"/>
        <v>0.52082221035771492</v>
      </c>
      <c r="I153" s="1" t="s">
        <v>532</v>
      </c>
      <c r="J153" s="2">
        <v>1799</v>
      </c>
      <c r="K153" s="2">
        <v>1810</v>
      </c>
      <c r="L153" s="2">
        <v>3609</v>
      </c>
      <c r="M153" s="3">
        <v>0.49847603214186748</v>
      </c>
      <c r="N153" s="6">
        <v>-1.93</v>
      </c>
    </row>
    <row r="154" spans="1:14" x14ac:dyDescent="0.2">
      <c r="A154" s="1" t="s">
        <v>53</v>
      </c>
      <c r="B154" s="1" t="s">
        <v>64</v>
      </c>
      <c r="C154" s="1" t="s">
        <v>260</v>
      </c>
      <c r="D154" s="2">
        <v>903</v>
      </c>
      <c r="E154" s="2">
        <v>985</v>
      </c>
      <c r="F154" s="2">
        <f t="shared" si="6"/>
        <v>1888</v>
      </c>
      <c r="G154" s="3">
        <f t="shared" si="7"/>
        <v>0.47828389830508472</v>
      </c>
      <c r="H154" s="3">
        <f t="shared" si="8"/>
        <v>0.52171610169491522</v>
      </c>
      <c r="I154" s="1" t="s">
        <v>532</v>
      </c>
      <c r="J154" s="2">
        <v>906</v>
      </c>
      <c r="K154" s="2">
        <v>980</v>
      </c>
      <c r="L154" s="2">
        <v>1886</v>
      </c>
      <c r="M154" s="3">
        <v>0.48038176033934249</v>
      </c>
      <c r="N154" s="6">
        <v>-0.21</v>
      </c>
    </row>
    <row r="155" spans="1:14" x14ac:dyDescent="0.2">
      <c r="A155" s="1" t="s">
        <v>53</v>
      </c>
      <c r="B155" s="1" t="s">
        <v>64</v>
      </c>
      <c r="C155" s="1" t="s">
        <v>261</v>
      </c>
      <c r="D155" s="2">
        <v>787</v>
      </c>
      <c r="E155" s="2">
        <v>905</v>
      </c>
      <c r="F155" s="2">
        <f t="shared" si="6"/>
        <v>1692</v>
      </c>
      <c r="G155" s="3">
        <f t="shared" si="7"/>
        <v>0.46513002364066192</v>
      </c>
      <c r="H155" s="3">
        <f t="shared" si="8"/>
        <v>0.53486997635933808</v>
      </c>
      <c r="I155" s="1" t="s">
        <v>532</v>
      </c>
      <c r="J155" s="2">
        <v>852</v>
      </c>
      <c r="K155" s="2">
        <v>912</v>
      </c>
      <c r="L155" s="2">
        <v>1764</v>
      </c>
      <c r="M155" s="3">
        <v>0.48299319727891149</v>
      </c>
      <c r="N155" s="6">
        <v>-1.79</v>
      </c>
    </row>
    <row r="156" spans="1:14" x14ac:dyDescent="0.2">
      <c r="A156" s="1" t="s">
        <v>53</v>
      </c>
      <c r="B156" s="1" t="s">
        <v>64</v>
      </c>
      <c r="C156" s="1" t="s">
        <v>262</v>
      </c>
      <c r="D156" s="2">
        <v>677</v>
      </c>
      <c r="E156" s="2">
        <v>707</v>
      </c>
      <c r="F156" s="2">
        <f t="shared" si="6"/>
        <v>1384</v>
      </c>
      <c r="G156" s="3">
        <f t="shared" si="7"/>
        <v>0.48916184971098264</v>
      </c>
      <c r="H156" s="3">
        <f t="shared" si="8"/>
        <v>0.51083815028901736</v>
      </c>
      <c r="I156" s="1" t="s">
        <v>532</v>
      </c>
      <c r="J156" s="2">
        <v>715</v>
      </c>
      <c r="K156" s="2">
        <v>677</v>
      </c>
      <c r="L156" s="2">
        <v>1392</v>
      </c>
      <c r="M156" s="3">
        <v>0.51364942528735635</v>
      </c>
      <c r="N156" s="6">
        <v>-2.4500000000000002</v>
      </c>
    </row>
    <row r="157" spans="1:14" x14ac:dyDescent="0.2">
      <c r="A157" s="1" t="s">
        <v>53</v>
      </c>
      <c r="B157" s="1" t="s">
        <v>64</v>
      </c>
      <c r="C157" s="1" t="s">
        <v>263</v>
      </c>
      <c r="D157" s="2">
        <v>1524</v>
      </c>
      <c r="E157" s="2">
        <v>1612</v>
      </c>
      <c r="F157" s="2">
        <f t="shared" si="6"/>
        <v>3136</v>
      </c>
      <c r="G157" s="3">
        <f t="shared" si="7"/>
        <v>0.48596938775510207</v>
      </c>
      <c r="H157" s="3">
        <f t="shared" si="8"/>
        <v>0.51403061224489799</v>
      </c>
      <c r="I157" s="1" t="s">
        <v>532</v>
      </c>
      <c r="J157" s="2">
        <v>1480</v>
      </c>
      <c r="K157" s="2">
        <v>1588</v>
      </c>
      <c r="L157" s="2">
        <v>3068</v>
      </c>
      <c r="M157" s="3">
        <v>0.48239895697522822</v>
      </c>
      <c r="N157" s="6">
        <v>0.36</v>
      </c>
    </row>
    <row r="158" spans="1:14" x14ac:dyDescent="0.2">
      <c r="A158" s="1" t="s">
        <v>53</v>
      </c>
      <c r="B158" s="1" t="s">
        <v>64</v>
      </c>
      <c r="C158" s="1" t="s">
        <v>264</v>
      </c>
      <c r="D158" s="2">
        <v>886</v>
      </c>
      <c r="E158" s="2">
        <v>821</v>
      </c>
      <c r="F158" s="2">
        <f t="shared" si="6"/>
        <v>1707</v>
      </c>
      <c r="G158" s="3">
        <f t="shared" si="7"/>
        <v>0.5190392501464558</v>
      </c>
      <c r="H158" s="3">
        <f t="shared" si="8"/>
        <v>0.48096074985354426</v>
      </c>
      <c r="I158" s="1" t="s">
        <v>532</v>
      </c>
      <c r="J158" s="2">
        <v>890</v>
      </c>
      <c r="K158" s="2">
        <v>789</v>
      </c>
      <c r="L158" s="2">
        <v>1679</v>
      </c>
      <c r="M158" s="3">
        <v>0.53007742703990468</v>
      </c>
      <c r="N158" s="6">
        <v>-1.1000000000000001</v>
      </c>
    </row>
    <row r="159" spans="1:14" x14ac:dyDescent="0.2">
      <c r="A159" s="1" t="s">
        <v>53</v>
      </c>
      <c r="B159" s="1" t="s">
        <v>64</v>
      </c>
      <c r="C159" s="1" t="s">
        <v>265</v>
      </c>
      <c r="D159" s="2">
        <v>792</v>
      </c>
      <c r="E159" s="2">
        <v>784</v>
      </c>
      <c r="F159" s="2">
        <f t="shared" si="6"/>
        <v>1576</v>
      </c>
      <c r="G159" s="3">
        <f t="shared" si="7"/>
        <v>0.5025380710659898</v>
      </c>
      <c r="H159" s="3">
        <f t="shared" si="8"/>
        <v>0.49746192893401014</v>
      </c>
      <c r="I159" s="1" t="s">
        <v>532</v>
      </c>
      <c r="J159" s="2">
        <v>817</v>
      </c>
      <c r="K159" s="2">
        <v>798</v>
      </c>
      <c r="L159" s="2">
        <v>1615</v>
      </c>
      <c r="M159" s="3">
        <v>0.50588235294117645</v>
      </c>
      <c r="N159" s="6">
        <v>-0.33</v>
      </c>
    </row>
    <row r="160" spans="1:14" x14ac:dyDescent="0.2">
      <c r="A160" s="1" t="s">
        <v>53</v>
      </c>
      <c r="B160" s="1" t="s">
        <v>64</v>
      </c>
      <c r="C160" s="1" t="s">
        <v>266</v>
      </c>
      <c r="D160" s="2">
        <v>573</v>
      </c>
      <c r="E160" s="2">
        <v>545</v>
      </c>
      <c r="F160" s="2">
        <f t="shared" si="6"/>
        <v>1118</v>
      </c>
      <c r="G160" s="3">
        <f t="shared" si="7"/>
        <v>0.51252236135957063</v>
      </c>
      <c r="H160" s="3">
        <f t="shared" si="8"/>
        <v>0.48747763864042931</v>
      </c>
      <c r="I160" s="1" t="s">
        <v>532</v>
      </c>
      <c r="J160" s="2">
        <v>552</v>
      </c>
      <c r="K160" s="2">
        <v>556</v>
      </c>
      <c r="L160" s="2">
        <v>1108</v>
      </c>
      <c r="M160" s="3">
        <v>0.49819494584837543</v>
      </c>
      <c r="N160" s="6">
        <v>1.43</v>
      </c>
    </row>
    <row r="161" spans="1:14" x14ac:dyDescent="0.2">
      <c r="A161" s="1" t="s">
        <v>53</v>
      </c>
      <c r="B161" s="1" t="s">
        <v>65</v>
      </c>
      <c r="C161" s="1" t="s">
        <v>65</v>
      </c>
      <c r="D161" s="2">
        <v>925</v>
      </c>
      <c r="E161" s="2">
        <v>1676</v>
      </c>
      <c r="F161" s="2">
        <f t="shared" si="6"/>
        <v>2601</v>
      </c>
      <c r="G161" s="3">
        <f t="shared" si="7"/>
        <v>0.35563244905805458</v>
      </c>
      <c r="H161" s="3">
        <f t="shared" si="8"/>
        <v>0.64436755094194542</v>
      </c>
      <c r="I161" s="1" t="s">
        <v>532</v>
      </c>
      <c r="J161" s="2">
        <v>985</v>
      </c>
      <c r="K161" s="2">
        <v>1586</v>
      </c>
      <c r="L161" s="2">
        <v>2571</v>
      </c>
      <c r="M161" s="3">
        <v>0.38311940879035389</v>
      </c>
      <c r="N161" s="6">
        <v>-2.75</v>
      </c>
    </row>
    <row r="162" spans="1:14" x14ac:dyDescent="0.2">
      <c r="A162" s="1" t="s">
        <v>53</v>
      </c>
      <c r="B162" s="1" t="s">
        <v>66</v>
      </c>
      <c r="C162" s="1" t="s">
        <v>66</v>
      </c>
      <c r="D162" s="2">
        <v>529</v>
      </c>
      <c r="E162" s="2">
        <v>1035</v>
      </c>
      <c r="F162" s="2">
        <f t="shared" si="6"/>
        <v>1564</v>
      </c>
      <c r="G162" s="3">
        <f t="shared" si="7"/>
        <v>0.33823529411764708</v>
      </c>
      <c r="H162" s="3">
        <f t="shared" si="8"/>
        <v>0.66176470588235292</v>
      </c>
      <c r="I162" s="1" t="s">
        <v>532</v>
      </c>
      <c r="J162" s="2">
        <v>543</v>
      </c>
      <c r="K162" s="2">
        <v>990</v>
      </c>
      <c r="L162" s="2">
        <v>1533</v>
      </c>
      <c r="M162" s="3">
        <v>0.3542074363992172</v>
      </c>
      <c r="N162" s="6">
        <v>-1.6</v>
      </c>
    </row>
    <row r="163" spans="1:14" x14ac:dyDescent="0.2">
      <c r="A163" s="1" t="s">
        <v>53</v>
      </c>
      <c r="B163" s="1" t="s">
        <v>67</v>
      </c>
      <c r="C163" s="1" t="s">
        <v>267</v>
      </c>
      <c r="D163" s="2">
        <v>168</v>
      </c>
      <c r="E163" s="2">
        <v>480</v>
      </c>
      <c r="F163" s="2">
        <f t="shared" si="6"/>
        <v>648</v>
      </c>
      <c r="G163" s="3">
        <f t="shared" si="7"/>
        <v>0.25925925925925924</v>
      </c>
      <c r="H163" s="3">
        <f t="shared" si="8"/>
        <v>0.7407407407407407</v>
      </c>
      <c r="I163" s="1" t="s">
        <v>532</v>
      </c>
      <c r="J163" s="2">
        <v>181</v>
      </c>
      <c r="K163" s="2">
        <v>482</v>
      </c>
      <c r="L163" s="2">
        <v>663</v>
      </c>
      <c r="M163" s="3">
        <v>0.27300150829562592</v>
      </c>
      <c r="N163" s="6">
        <v>-1.37</v>
      </c>
    </row>
    <row r="164" spans="1:14" x14ac:dyDescent="0.2">
      <c r="A164" s="1" t="s">
        <v>53</v>
      </c>
      <c r="B164" s="1" t="s">
        <v>67</v>
      </c>
      <c r="C164" s="1" t="s">
        <v>268</v>
      </c>
      <c r="D164" s="2">
        <v>134</v>
      </c>
      <c r="E164" s="2">
        <v>330</v>
      </c>
      <c r="F164" s="2">
        <f t="shared" si="6"/>
        <v>464</v>
      </c>
      <c r="G164" s="3">
        <f t="shared" si="7"/>
        <v>0.28879310344827586</v>
      </c>
      <c r="H164" s="3">
        <f t="shared" si="8"/>
        <v>0.71120689655172409</v>
      </c>
      <c r="I164" s="1" t="s">
        <v>532</v>
      </c>
      <c r="J164" s="2">
        <v>147</v>
      </c>
      <c r="K164" s="2">
        <v>314</v>
      </c>
      <c r="L164" s="2">
        <v>461</v>
      </c>
      <c r="M164" s="3">
        <v>0.31887201735357917</v>
      </c>
      <c r="N164" s="6">
        <v>-3.01</v>
      </c>
    </row>
    <row r="165" spans="1:14" x14ac:dyDescent="0.2">
      <c r="A165" s="1" t="s">
        <v>53</v>
      </c>
      <c r="B165" s="1" t="s">
        <v>67</v>
      </c>
      <c r="C165" s="1" t="s">
        <v>269</v>
      </c>
      <c r="D165" s="2">
        <v>500</v>
      </c>
      <c r="E165" s="2">
        <v>1087</v>
      </c>
      <c r="F165" s="2">
        <f t="shared" si="6"/>
        <v>1587</v>
      </c>
      <c r="G165" s="3">
        <f t="shared" si="7"/>
        <v>0.31505986137366099</v>
      </c>
      <c r="H165" s="3">
        <f t="shared" si="8"/>
        <v>0.68494013862633896</v>
      </c>
      <c r="I165" s="1" t="s">
        <v>532</v>
      </c>
      <c r="J165" s="2">
        <v>522</v>
      </c>
      <c r="K165" s="2">
        <v>1060</v>
      </c>
      <c r="L165" s="2">
        <v>1582</v>
      </c>
      <c r="M165" s="3">
        <v>0.32996207332490518</v>
      </c>
      <c r="N165" s="6">
        <v>-1.49</v>
      </c>
    </row>
    <row r="166" spans="1:14" x14ac:dyDescent="0.2">
      <c r="A166" s="1" t="s">
        <v>53</v>
      </c>
      <c r="B166" s="1" t="s">
        <v>68</v>
      </c>
      <c r="C166" s="1" t="s">
        <v>68</v>
      </c>
      <c r="D166" s="2">
        <v>975</v>
      </c>
      <c r="E166" s="2">
        <v>919</v>
      </c>
      <c r="F166" s="2">
        <f t="shared" si="6"/>
        <v>1894</v>
      </c>
      <c r="G166" s="3">
        <f t="shared" si="7"/>
        <v>0.51478352692713836</v>
      </c>
      <c r="H166" s="3">
        <f t="shared" si="8"/>
        <v>0.48521647307286164</v>
      </c>
      <c r="I166" s="1" t="s">
        <v>532</v>
      </c>
      <c r="J166" s="2">
        <v>980</v>
      </c>
      <c r="K166" s="2">
        <v>872</v>
      </c>
      <c r="L166" s="2">
        <v>1852</v>
      </c>
      <c r="M166" s="3">
        <v>0.52915766738660908</v>
      </c>
      <c r="N166" s="6">
        <v>-1.44</v>
      </c>
    </row>
    <row r="167" spans="1:14" x14ac:dyDescent="0.2">
      <c r="A167" s="1" t="s">
        <v>53</v>
      </c>
      <c r="B167" s="1" t="s">
        <v>69</v>
      </c>
      <c r="C167" s="1" t="s">
        <v>270</v>
      </c>
      <c r="D167" s="2">
        <v>955</v>
      </c>
      <c r="E167" s="2">
        <v>1396</v>
      </c>
      <c r="F167" s="2">
        <f t="shared" si="6"/>
        <v>2351</v>
      </c>
      <c r="G167" s="3">
        <f t="shared" si="7"/>
        <v>0.40621012335176521</v>
      </c>
      <c r="H167" s="3">
        <f t="shared" si="8"/>
        <v>0.59378987664823479</v>
      </c>
      <c r="I167" s="1" t="s">
        <v>532</v>
      </c>
      <c r="J167" s="2">
        <v>1010</v>
      </c>
      <c r="K167" s="2">
        <v>1334</v>
      </c>
      <c r="L167" s="2">
        <v>2344</v>
      </c>
      <c r="M167" s="3">
        <v>0.4308873720136519</v>
      </c>
      <c r="N167" s="6">
        <v>-2.4700000000000002</v>
      </c>
    </row>
    <row r="168" spans="1:14" x14ac:dyDescent="0.2">
      <c r="A168" s="1" t="s">
        <v>53</v>
      </c>
      <c r="B168" s="1" t="s">
        <v>69</v>
      </c>
      <c r="C168" s="1" t="s">
        <v>271</v>
      </c>
      <c r="D168" s="2">
        <v>836</v>
      </c>
      <c r="E168" s="2">
        <v>1384</v>
      </c>
      <c r="F168" s="2">
        <f t="shared" si="6"/>
        <v>2220</v>
      </c>
      <c r="G168" s="3">
        <f t="shared" si="7"/>
        <v>0.37657657657657656</v>
      </c>
      <c r="H168" s="3">
        <f t="shared" si="8"/>
        <v>0.62342342342342338</v>
      </c>
      <c r="I168" s="1" t="s">
        <v>532</v>
      </c>
      <c r="J168" s="2">
        <v>860</v>
      </c>
      <c r="K168" s="2">
        <v>1332</v>
      </c>
      <c r="L168" s="2">
        <v>2192</v>
      </c>
      <c r="M168" s="3">
        <v>0.39233576642335771</v>
      </c>
      <c r="N168" s="6">
        <v>-1.58</v>
      </c>
    </row>
    <row r="169" spans="1:14" x14ac:dyDescent="0.2">
      <c r="A169" s="1" t="s">
        <v>53</v>
      </c>
      <c r="B169" s="1" t="s">
        <v>69</v>
      </c>
      <c r="C169" s="1" t="s">
        <v>272</v>
      </c>
      <c r="D169" s="2">
        <v>435</v>
      </c>
      <c r="E169" s="2">
        <v>711</v>
      </c>
      <c r="F169" s="2">
        <f t="shared" si="6"/>
        <v>1146</v>
      </c>
      <c r="G169" s="3">
        <f t="shared" si="7"/>
        <v>0.37958115183246072</v>
      </c>
      <c r="H169" s="3">
        <f t="shared" si="8"/>
        <v>0.62041884816753923</v>
      </c>
      <c r="I169" s="1" t="s">
        <v>532</v>
      </c>
      <c r="J169" s="2">
        <v>449</v>
      </c>
      <c r="K169" s="2">
        <v>705</v>
      </c>
      <c r="L169" s="2">
        <v>1154</v>
      </c>
      <c r="M169" s="3">
        <v>0.38908145580589248</v>
      </c>
      <c r="N169" s="6">
        <v>-0.95</v>
      </c>
    </row>
    <row r="170" spans="1:14" x14ac:dyDescent="0.2">
      <c r="A170" s="1" t="s">
        <v>53</v>
      </c>
      <c r="B170" s="1" t="s">
        <v>69</v>
      </c>
      <c r="C170" s="1" t="s">
        <v>273</v>
      </c>
      <c r="D170" s="2">
        <v>621</v>
      </c>
      <c r="E170" s="2">
        <v>1047</v>
      </c>
      <c r="F170" s="2">
        <f t="shared" si="6"/>
        <v>1668</v>
      </c>
      <c r="G170" s="3">
        <f t="shared" si="7"/>
        <v>0.37230215827338131</v>
      </c>
      <c r="H170" s="3">
        <f t="shared" si="8"/>
        <v>0.62769784172661869</v>
      </c>
      <c r="I170" s="1" t="s">
        <v>532</v>
      </c>
      <c r="J170" s="2">
        <v>654</v>
      </c>
      <c r="K170" s="2">
        <v>979</v>
      </c>
      <c r="L170" s="2">
        <v>1633</v>
      </c>
      <c r="M170" s="3">
        <v>0.40048989589712192</v>
      </c>
      <c r="N170" s="6">
        <v>-2.82</v>
      </c>
    </row>
    <row r="171" spans="1:14" x14ac:dyDescent="0.2">
      <c r="A171" s="1" t="s">
        <v>53</v>
      </c>
      <c r="B171" s="1" t="s">
        <v>69</v>
      </c>
      <c r="C171" s="1" t="s">
        <v>274</v>
      </c>
      <c r="D171" s="2">
        <v>532</v>
      </c>
      <c r="E171" s="2">
        <v>911</v>
      </c>
      <c r="F171" s="2">
        <f t="shared" si="6"/>
        <v>1443</v>
      </c>
      <c r="G171" s="3">
        <f t="shared" si="7"/>
        <v>0.36867636867636866</v>
      </c>
      <c r="H171" s="3">
        <f t="shared" si="8"/>
        <v>0.63132363132363134</v>
      </c>
      <c r="I171" s="1" t="s">
        <v>532</v>
      </c>
      <c r="J171" s="2">
        <v>557</v>
      </c>
      <c r="K171" s="2">
        <v>890</v>
      </c>
      <c r="L171" s="2">
        <v>1447</v>
      </c>
      <c r="M171" s="3">
        <v>0.38493434692467171</v>
      </c>
      <c r="N171" s="6">
        <v>-1.63</v>
      </c>
    </row>
    <row r="172" spans="1:14" x14ac:dyDescent="0.2">
      <c r="A172" s="1" t="s">
        <v>53</v>
      </c>
      <c r="B172" s="1" t="s">
        <v>69</v>
      </c>
      <c r="C172" s="1" t="s">
        <v>275</v>
      </c>
      <c r="D172" s="2">
        <v>496</v>
      </c>
      <c r="E172" s="2">
        <v>712</v>
      </c>
      <c r="F172" s="2">
        <f t="shared" si="6"/>
        <v>1208</v>
      </c>
      <c r="G172" s="3">
        <f t="shared" si="7"/>
        <v>0.41059602649006621</v>
      </c>
      <c r="H172" s="3">
        <f t="shared" si="8"/>
        <v>0.58940397350993379</v>
      </c>
      <c r="I172" s="1" t="s">
        <v>532</v>
      </c>
      <c r="J172" s="2">
        <v>492</v>
      </c>
      <c r="K172" s="2">
        <v>675</v>
      </c>
      <c r="L172" s="2">
        <v>1167</v>
      </c>
      <c r="M172" s="3">
        <v>0.42159383033419018</v>
      </c>
      <c r="N172" s="6">
        <v>-1.1000000000000001</v>
      </c>
    </row>
    <row r="173" spans="1:14" x14ac:dyDescent="0.2">
      <c r="A173" s="1" t="s">
        <v>53</v>
      </c>
      <c r="B173" s="1" t="s">
        <v>70</v>
      </c>
      <c r="C173" s="1" t="s">
        <v>276</v>
      </c>
      <c r="D173" s="2">
        <v>636</v>
      </c>
      <c r="E173" s="2">
        <v>753</v>
      </c>
      <c r="F173" s="2">
        <f t="shared" si="6"/>
        <v>1389</v>
      </c>
      <c r="G173" s="3">
        <f t="shared" si="7"/>
        <v>0.45788336933045354</v>
      </c>
      <c r="H173" s="3">
        <f t="shared" si="8"/>
        <v>0.54211663066954641</v>
      </c>
      <c r="I173" s="1" t="s">
        <v>532</v>
      </c>
      <c r="J173" s="2">
        <v>668</v>
      </c>
      <c r="K173" s="2">
        <v>693</v>
      </c>
      <c r="L173" s="2">
        <v>1361</v>
      </c>
      <c r="M173" s="3">
        <v>0.49081557678177812</v>
      </c>
      <c r="N173" s="6">
        <v>-3.29</v>
      </c>
    </row>
    <row r="174" spans="1:14" x14ac:dyDescent="0.2">
      <c r="A174" s="1" t="s">
        <v>53</v>
      </c>
      <c r="B174" s="1" t="s">
        <v>70</v>
      </c>
      <c r="C174" s="1" t="s">
        <v>277</v>
      </c>
      <c r="D174" s="2">
        <v>751</v>
      </c>
      <c r="E174" s="2">
        <v>863</v>
      </c>
      <c r="F174" s="2">
        <f t="shared" si="6"/>
        <v>1614</v>
      </c>
      <c r="G174" s="3">
        <f t="shared" si="7"/>
        <v>0.46530359355638168</v>
      </c>
      <c r="H174" s="3">
        <f t="shared" si="8"/>
        <v>0.53469640644361838</v>
      </c>
      <c r="I174" s="1" t="s">
        <v>532</v>
      </c>
      <c r="J174" s="2">
        <v>803</v>
      </c>
      <c r="K174" s="2">
        <v>818</v>
      </c>
      <c r="L174" s="2">
        <v>1621</v>
      </c>
      <c r="M174" s="3">
        <v>0.49537322640345471</v>
      </c>
      <c r="N174" s="6">
        <v>-3.01</v>
      </c>
    </row>
    <row r="175" spans="1:14" x14ac:dyDescent="0.2">
      <c r="A175" s="1" t="s">
        <v>53</v>
      </c>
      <c r="B175" s="1" t="s">
        <v>70</v>
      </c>
      <c r="C175" s="1" t="s">
        <v>278</v>
      </c>
      <c r="D175" s="2">
        <v>347</v>
      </c>
      <c r="E175" s="2">
        <v>370</v>
      </c>
      <c r="F175" s="2">
        <f t="shared" si="6"/>
        <v>717</v>
      </c>
      <c r="G175" s="3">
        <f t="shared" si="7"/>
        <v>0.48396094839609483</v>
      </c>
      <c r="H175" s="3">
        <f t="shared" si="8"/>
        <v>0.51603905160390517</v>
      </c>
      <c r="I175" s="1" t="s">
        <v>532</v>
      </c>
      <c r="J175" s="2">
        <v>342</v>
      </c>
      <c r="K175" s="2">
        <v>358</v>
      </c>
      <c r="L175" s="2">
        <v>700</v>
      </c>
      <c r="M175" s="3">
        <v>0.48857142857142849</v>
      </c>
      <c r="N175" s="6">
        <v>-0.46</v>
      </c>
    </row>
    <row r="176" spans="1:14" x14ac:dyDescent="0.2">
      <c r="A176" s="1" t="s">
        <v>53</v>
      </c>
      <c r="B176" s="1" t="s">
        <v>70</v>
      </c>
      <c r="C176" s="1" t="s">
        <v>279</v>
      </c>
      <c r="D176" s="2">
        <v>398</v>
      </c>
      <c r="E176" s="2">
        <v>425</v>
      </c>
      <c r="F176" s="2">
        <f t="shared" si="6"/>
        <v>823</v>
      </c>
      <c r="G176" s="3">
        <f t="shared" si="7"/>
        <v>0.48359659781287972</v>
      </c>
      <c r="H176" s="3">
        <f t="shared" si="8"/>
        <v>0.51640340218712033</v>
      </c>
      <c r="I176" s="1" t="s">
        <v>532</v>
      </c>
      <c r="J176" s="2">
        <v>411</v>
      </c>
      <c r="K176" s="2">
        <v>417</v>
      </c>
      <c r="L176" s="2">
        <v>828</v>
      </c>
      <c r="M176" s="3">
        <v>0.49637681159420288</v>
      </c>
      <c r="N176" s="6">
        <v>-1.28</v>
      </c>
    </row>
    <row r="177" spans="1:14" x14ac:dyDescent="0.2">
      <c r="A177" s="1" t="s">
        <v>53</v>
      </c>
      <c r="B177" s="1" t="s">
        <v>70</v>
      </c>
      <c r="C177" s="1" t="s">
        <v>280</v>
      </c>
      <c r="D177" s="2">
        <v>493</v>
      </c>
      <c r="E177" s="2">
        <v>593</v>
      </c>
      <c r="F177" s="2">
        <f t="shared" si="6"/>
        <v>1086</v>
      </c>
      <c r="G177" s="3">
        <f t="shared" si="7"/>
        <v>0.45395948434622468</v>
      </c>
      <c r="H177" s="3">
        <f t="shared" si="8"/>
        <v>0.54604051565377532</v>
      </c>
      <c r="I177" s="1" t="s">
        <v>532</v>
      </c>
      <c r="J177" s="2">
        <v>525</v>
      </c>
      <c r="K177" s="2">
        <v>552</v>
      </c>
      <c r="L177" s="2">
        <v>1077</v>
      </c>
      <c r="M177" s="3">
        <v>0.48746518105849579</v>
      </c>
      <c r="N177" s="6">
        <v>-3.35</v>
      </c>
    </row>
    <row r="178" spans="1:14" x14ac:dyDescent="0.2">
      <c r="A178" s="1" t="s">
        <v>53</v>
      </c>
      <c r="B178" s="1" t="s">
        <v>70</v>
      </c>
      <c r="C178" s="1" t="s">
        <v>281</v>
      </c>
      <c r="D178" s="2">
        <v>305</v>
      </c>
      <c r="E178" s="2">
        <v>373</v>
      </c>
      <c r="F178" s="2">
        <f t="shared" si="6"/>
        <v>678</v>
      </c>
      <c r="G178" s="3">
        <f t="shared" si="7"/>
        <v>0.44985250737463128</v>
      </c>
      <c r="H178" s="3">
        <f t="shared" si="8"/>
        <v>0.55014749262536877</v>
      </c>
      <c r="I178" s="1" t="s">
        <v>532</v>
      </c>
      <c r="J178" s="2">
        <v>313</v>
      </c>
      <c r="K178" s="2">
        <v>360</v>
      </c>
      <c r="L178" s="2">
        <v>673</v>
      </c>
      <c r="M178" s="3">
        <v>0.46508172362555722</v>
      </c>
      <c r="N178" s="6">
        <v>-1.52</v>
      </c>
    </row>
    <row r="179" spans="1:14" x14ac:dyDescent="0.2">
      <c r="A179" s="1" t="s">
        <v>53</v>
      </c>
      <c r="B179" s="1" t="s">
        <v>70</v>
      </c>
      <c r="C179" s="1" t="s">
        <v>282</v>
      </c>
      <c r="D179" s="2">
        <v>404</v>
      </c>
      <c r="E179" s="2">
        <v>385</v>
      </c>
      <c r="F179" s="2">
        <f t="shared" si="6"/>
        <v>789</v>
      </c>
      <c r="G179" s="3">
        <f t="shared" si="7"/>
        <v>0.5120405576679341</v>
      </c>
      <c r="H179" s="3">
        <f t="shared" si="8"/>
        <v>0.4879594423320659</v>
      </c>
      <c r="I179" s="1" t="s">
        <v>532</v>
      </c>
      <c r="J179" s="2">
        <v>415</v>
      </c>
      <c r="K179" s="2">
        <v>371</v>
      </c>
      <c r="L179" s="2">
        <v>786</v>
      </c>
      <c r="M179" s="3">
        <v>0.52798982188295163</v>
      </c>
      <c r="N179" s="6">
        <v>-1.59</v>
      </c>
    </row>
    <row r="180" spans="1:14" x14ac:dyDescent="0.2">
      <c r="A180" s="1" t="s">
        <v>53</v>
      </c>
      <c r="B180" s="1" t="s">
        <v>70</v>
      </c>
      <c r="C180" s="1" t="s">
        <v>283</v>
      </c>
      <c r="D180" s="2">
        <v>510</v>
      </c>
      <c r="E180" s="2">
        <v>560</v>
      </c>
      <c r="F180" s="2">
        <f t="shared" si="6"/>
        <v>1070</v>
      </c>
      <c r="G180" s="3">
        <f t="shared" si="7"/>
        <v>0.47663551401869159</v>
      </c>
      <c r="H180" s="3">
        <f t="shared" si="8"/>
        <v>0.52336448598130836</v>
      </c>
      <c r="I180" s="1" t="s">
        <v>532</v>
      </c>
      <c r="J180" s="2">
        <v>533</v>
      </c>
      <c r="K180" s="2">
        <v>535</v>
      </c>
      <c r="L180" s="2">
        <v>1068</v>
      </c>
      <c r="M180" s="3">
        <v>0.49906367041198502</v>
      </c>
      <c r="N180" s="6">
        <v>-2.2400000000000002</v>
      </c>
    </row>
    <row r="181" spans="1:14" x14ac:dyDescent="0.2">
      <c r="A181" s="1" t="s">
        <v>53</v>
      </c>
      <c r="B181" s="1" t="s">
        <v>71</v>
      </c>
      <c r="C181" s="1" t="s">
        <v>284</v>
      </c>
      <c r="D181" s="2">
        <v>264</v>
      </c>
      <c r="E181" s="2">
        <v>326</v>
      </c>
      <c r="F181" s="2">
        <f t="shared" si="6"/>
        <v>590</v>
      </c>
      <c r="G181" s="3">
        <f t="shared" si="7"/>
        <v>0.44745762711864406</v>
      </c>
      <c r="H181" s="3">
        <f t="shared" si="8"/>
        <v>0.55254237288135588</v>
      </c>
      <c r="I181" s="1" t="s">
        <v>532</v>
      </c>
      <c r="J181" s="2">
        <v>242</v>
      </c>
      <c r="K181" s="2">
        <v>337</v>
      </c>
      <c r="L181" s="2">
        <v>579</v>
      </c>
      <c r="M181" s="3">
        <v>0.41796200345423151</v>
      </c>
      <c r="N181" s="6">
        <v>2.95</v>
      </c>
    </row>
    <row r="182" spans="1:14" x14ac:dyDescent="0.2">
      <c r="A182" s="1" t="s">
        <v>53</v>
      </c>
      <c r="B182" s="1" t="s">
        <v>71</v>
      </c>
      <c r="C182" s="1" t="s">
        <v>285</v>
      </c>
      <c r="D182" s="2">
        <v>200</v>
      </c>
      <c r="E182" s="2">
        <v>283</v>
      </c>
      <c r="F182" s="2">
        <f t="shared" si="6"/>
        <v>483</v>
      </c>
      <c r="G182" s="3">
        <f t="shared" si="7"/>
        <v>0.41407867494824019</v>
      </c>
      <c r="H182" s="3">
        <f t="shared" si="8"/>
        <v>0.58592132505175987</v>
      </c>
      <c r="I182" s="1" t="s">
        <v>532</v>
      </c>
      <c r="J182" s="2">
        <v>187</v>
      </c>
      <c r="K182" s="2">
        <v>292</v>
      </c>
      <c r="L182" s="2">
        <v>479</v>
      </c>
      <c r="M182" s="3">
        <v>0.39039665970772441</v>
      </c>
      <c r="N182" s="6">
        <v>2.37</v>
      </c>
    </row>
    <row r="183" spans="1:14" x14ac:dyDescent="0.2">
      <c r="A183" s="1" t="s">
        <v>53</v>
      </c>
      <c r="B183" s="1" t="s">
        <v>71</v>
      </c>
      <c r="C183" s="1" t="s">
        <v>286</v>
      </c>
      <c r="D183" s="2">
        <v>378</v>
      </c>
      <c r="E183" s="2">
        <v>547</v>
      </c>
      <c r="F183" s="2">
        <f t="shared" si="6"/>
        <v>925</v>
      </c>
      <c r="G183" s="3">
        <f t="shared" si="7"/>
        <v>0.40864864864864864</v>
      </c>
      <c r="H183" s="3">
        <f t="shared" si="8"/>
        <v>0.59135135135135131</v>
      </c>
      <c r="I183" s="1" t="s">
        <v>532</v>
      </c>
      <c r="J183" s="2">
        <v>371</v>
      </c>
      <c r="K183" s="2">
        <v>527</v>
      </c>
      <c r="L183" s="2">
        <v>898</v>
      </c>
      <c r="M183" s="3">
        <v>0.4131403118040089</v>
      </c>
      <c r="N183" s="6">
        <v>-0.45</v>
      </c>
    </row>
    <row r="184" spans="1:14" x14ac:dyDescent="0.2">
      <c r="A184" s="1" t="s">
        <v>53</v>
      </c>
      <c r="B184" s="1" t="s">
        <v>72</v>
      </c>
      <c r="C184" s="1" t="s">
        <v>287</v>
      </c>
      <c r="D184" s="2">
        <v>899</v>
      </c>
      <c r="E184" s="2">
        <v>977</v>
      </c>
      <c r="F184" s="2">
        <f t="shared" si="6"/>
        <v>1876</v>
      </c>
      <c r="G184" s="3">
        <f t="shared" si="7"/>
        <v>0.47921108742004265</v>
      </c>
      <c r="H184" s="3">
        <f t="shared" si="8"/>
        <v>0.52078891257995741</v>
      </c>
      <c r="I184" s="1" t="s">
        <v>532</v>
      </c>
      <c r="J184" s="2">
        <v>912</v>
      </c>
      <c r="K184" s="2">
        <v>964</v>
      </c>
      <c r="L184" s="2">
        <v>1876</v>
      </c>
      <c r="M184" s="3">
        <v>0.48614072494669508</v>
      </c>
      <c r="N184" s="6">
        <v>-0.69</v>
      </c>
    </row>
    <row r="185" spans="1:14" x14ac:dyDescent="0.2">
      <c r="A185" s="1" t="s">
        <v>53</v>
      </c>
      <c r="B185" s="1" t="s">
        <v>72</v>
      </c>
      <c r="C185" s="1" t="s">
        <v>288</v>
      </c>
      <c r="D185" s="2">
        <v>446</v>
      </c>
      <c r="E185" s="2">
        <v>473</v>
      </c>
      <c r="F185" s="2">
        <f t="shared" si="6"/>
        <v>919</v>
      </c>
      <c r="G185" s="3">
        <f t="shared" si="7"/>
        <v>0.48531011969532101</v>
      </c>
      <c r="H185" s="3">
        <f t="shared" si="8"/>
        <v>0.51468988030467899</v>
      </c>
      <c r="I185" s="1" t="s">
        <v>532</v>
      </c>
      <c r="J185" s="2">
        <v>449</v>
      </c>
      <c r="K185" s="2">
        <v>448</v>
      </c>
      <c r="L185" s="2">
        <v>897</v>
      </c>
      <c r="M185" s="3">
        <v>0.5005574136008919</v>
      </c>
      <c r="N185" s="6">
        <v>-1.52</v>
      </c>
    </row>
    <row r="186" spans="1:14" x14ac:dyDescent="0.2">
      <c r="A186" s="1" t="s">
        <v>53</v>
      </c>
      <c r="B186" s="1" t="s">
        <v>72</v>
      </c>
      <c r="C186" s="1" t="s">
        <v>289</v>
      </c>
      <c r="D186" s="2">
        <v>1159</v>
      </c>
      <c r="E186" s="2">
        <v>929</v>
      </c>
      <c r="F186" s="2">
        <f t="shared" si="6"/>
        <v>2088</v>
      </c>
      <c r="G186" s="3">
        <f t="shared" si="7"/>
        <v>0.55507662835249039</v>
      </c>
      <c r="H186" s="3">
        <f t="shared" si="8"/>
        <v>0.44492337164750956</v>
      </c>
      <c r="I186" s="1" t="s">
        <v>532</v>
      </c>
      <c r="J186" s="2">
        <v>1161</v>
      </c>
      <c r="K186" s="2">
        <v>915</v>
      </c>
      <c r="L186" s="2">
        <v>2076</v>
      </c>
      <c r="M186" s="3">
        <v>0.55924855491329484</v>
      </c>
      <c r="N186" s="6">
        <v>-0.42</v>
      </c>
    </row>
    <row r="187" spans="1:14" x14ac:dyDescent="0.2">
      <c r="A187" s="1" t="s">
        <v>53</v>
      </c>
      <c r="B187" s="1" t="s">
        <v>72</v>
      </c>
      <c r="C187" s="1" t="s">
        <v>290</v>
      </c>
      <c r="D187" s="2">
        <v>492</v>
      </c>
      <c r="E187" s="2">
        <v>584</v>
      </c>
      <c r="F187" s="2">
        <f t="shared" si="6"/>
        <v>1076</v>
      </c>
      <c r="G187" s="3">
        <f t="shared" si="7"/>
        <v>0.45724907063197023</v>
      </c>
      <c r="H187" s="3">
        <f t="shared" si="8"/>
        <v>0.54275092936802971</v>
      </c>
      <c r="I187" s="1" t="s">
        <v>532</v>
      </c>
      <c r="J187" s="2">
        <v>534</v>
      </c>
      <c r="K187" s="2">
        <v>577</v>
      </c>
      <c r="L187" s="2">
        <v>1111</v>
      </c>
      <c r="M187" s="3">
        <v>0.48064806480648059</v>
      </c>
      <c r="N187" s="6">
        <v>-2.34</v>
      </c>
    </row>
    <row r="188" spans="1:14" x14ac:dyDescent="0.2">
      <c r="A188" s="1" t="s">
        <v>53</v>
      </c>
      <c r="B188" s="1" t="s">
        <v>72</v>
      </c>
      <c r="C188" s="1" t="s">
        <v>291</v>
      </c>
      <c r="D188" s="2">
        <v>1115</v>
      </c>
      <c r="E188" s="2">
        <v>786</v>
      </c>
      <c r="F188" s="2">
        <f t="shared" si="6"/>
        <v>1901</v>
      </c>
      <c r="G188" s="3">
        <f t="shared" si="7"/>
        <v>0.5865334034718569</v>
      </c>
      <c r="H188" s="3">
        <f t="shared" si="8"/>
        <v>0.4134665965281431</v>
      </c>
      <c r="I188" s="1" t="s">
        <v>532</v>
      </c>
      <c r="J188" s="2">
        <v>1123</v>
      </c>
      <c r="K188" s="2">
        <v>741</v>
      </c>
      <c r="L188" s="2">
        <v>1864</v>
      </c>
      <c r="M188" s="3">
        <v>0.60246781115879833</v>
      </c>
      <c r="N188" s="6">
        <v>-1.59</v>
      </c>
    </row>
    <row r="189" spans="1:14" x14ac:dyDescent="0.2">
      <c r="A189" s="1" t="s">
        <v>53</v>
      </c>
      <c r="B189" s="1" t="s">
        <v>72</v>
      </c>
      <c r="C189" s="1" t="s">
        <v>292</v>
      </c>
      <c r="D189" s="2">
        <v>1048</v>
      </c>
      <c r="E189" s="2">
        <v>726</v>
      </c>
      <c r="F189" s="2">
        <f t="shared" si="6"/>
        <v>1774</v>
      </c>
      <c r="G189" s="3">
        <f t="shared" si="7"/>
        <v>0.59075535512965049</v>
      </c>
      <c r="H189" s="3">
        <f t="shared" si="8"/>
        <v>0.40924464487034951</v>
      </c>
      <c r="I189" s="1" t="s">
        <v>532</v>
      </c>
      <c r="J189" s="2">
        <v>1054</v>
      </c>
      <c r="K189" s="2">
        <v>706</v>
      </c>
      <c r="L189" s="2">
        <v>1760</v>
      </c>
      <c r="M189" s="3">
        <v>0.59886363636363638</v>
      </c>
      <c r="N189" s="6">
        <v>-0.81</v>
      </c>
    </row>
    <row r="190" spans="1:14" x14ac:dyDescent="0.2">
      <c r="A190" s="1" t="s">
        <v>53</v>
      </c>
      <c r="B190" s="1" t="s">
        <v>72</v>
      </c>
      <c r="C190" s="1" t="s">
        <v>293</v>
      </c>
      <c r="D190" s="2">
        <v>482</v>
      </c>
      <c r="E190" s="2">
        <v>459</v>
      </c>
      <c r="F190" s="2">
        <f t="shared" si="6"/>
        <v>941</v>
      </c>
      <c r="G190" s="3">
        <f t="shared" si="7"/>
        <v>0.51222104144527103</v>
      </c>
      <c r="H190" s="3">
        <f t="shared" si="8"/>
        <v>0.48777895855472903</v>
      </c>
      <c r="I190" s="1" t="s">
        <v>532</v>
      </c>
      <c r="J190" s="2">
        <v>469</v>
      </c>
      <c r="K190" s="2">
        <v>468</v>
      </c>
      <c r="L190" s="2">
        <v>937</v>
      </c>
      <c r="M190" s="3">
        <v>0.50053361792956241</v>
      </c>
      <c r="N190" s="6">
        <v>1.17</v>
      </c>
    </row>
    <row r="191" spans="1:14" x14ac:dyDescent="0.2">
      <c r="A191" s="1" t="s">
        <v>53</v>
      </c>
      <c r="B191" s="1" t="s">
        <v>72</v>
      </c>
      <c r="C191" s="1" t="s">
        <v>294</v>
      </c>
      <c r="D191" s="2">
        <v>1268</v>
      </c>
      <c r="E191" s="2">
        <v>1355</v>
      </c>
      <c r="F191" s="2">
        <f t="shared" si="6"/>
        <v>2623</v>
      </c>
      <c r="G191" s="3">
        <f t="shared" si="7"/>
        <v>0.48341593595120091</v>
      </c>
      <c r="H191" s="3">
        <f t="shared" si="8"/>
        <v>0.51658406404879909</v>
      </c>
      <c r="I191" s="1" t="s">
        <v>532</v>
      </c>
      <c r="J191" s="2">
        <v>1317</v>
      </c>
      <c r="K191" s="2">
        <v>1291</v>
      </c>
      <c r="L191" s="2">
        <v>2608</v>
      </c>
      <c r="M191" s="3">
        <v>0.50498466257668717</v>
      </c>
      <c r="N191" s="6">
        <v>-2.16</v>
      </c>
    </row>
    <row r="192" spans="1:14" x14ac:dyDescent="0.2">
      <c r="A192" s="1" t="s">
        <v>53</v>
      </c>
      <c r="B192" s="1" t="s">
        <v>73</v>
      </c>
      <c r="C192" s="1" t="s">
        <v>295</v>
      </c>
      <c r="D192" s="2">
        <v>1015</v>
      </c>
      <c r="E192" s="2">
        <v>1041</v>
      </c>
      <c r="F192" s="2">
        <f t="shared" si="6"/>
        <v>2056</v>
      </c>
      <c r="G192" s="3">
        <f t="shared" si="7"/>
        <v>0.49367704280155644</v>
      </c>
      <c r="H192" s="3">
        <f t="shared" si="8"/>
        <v>0.50632295719844356</v>
      </c>
      <c r="I192" s="1" t="s">
        <v>532</v>
      </c>
      <c r="J192" s="2">
        <v>992</v>
      </c>
      <c r="K192" s="2">
        <v>983</v>
      </c>
      <c r="L192" s="2">
        <v>1975</v>
      </c>
      <c r="M192" s="3">
        <v>0.50227848101265826</v>
      </c>
      <c r="N192" s="6">
        <v>-0.86</v>
      </c>
    </row>
    <row r="193" spans="1:14" x14ac:dyDescent="0.2">
      <c r="A193" s="1" t="s">
        <v>53</v>
      </c>
      <c r="B193" s="1" t="s">
        <v>73</v>
      </c>
      <c r="C193" s="1" t="s">
        <v>296</v>
      </c>
      <c r="D193" s="2">
        <v>1280</v>
      </c>
      <c r="E193" s="2">
        <v>1359</v>
      </c>
      <c r="F193" s="2">
        <f t="shared" si="6"/>
        <v>2639</v>
      </c>
      <c r="G193" s="3">
        <f t="shared" si="7"/>
        <v>0.48503220917014023</v>
      </c>
      <c r="H193" s="3">
        <f t="shared" si="8"/>
        <v>0.51496779082985977</v>
      </c>
      <c r="I193" s="1" t="s">
        <v>532</v>
      </c>
      <c r="J193" s="2">
        <v>1311</v>
      </c>
      <c r="K193" s="2">
        <v>1258</v>
      </c>
      <c r="L193" s="2">
        <v>2569</v>
      </c>
      <c r="M193" s="3">
        <v>0.51031529778123785</v>
      </c>
      <c r="N193" s="6">
        <v>-2.5299999999999998</v>
      </c>
    </row>
    <row r="194" spans="1:14" x14ac:dyDescent="0.2">
      <c r="A194" s="1" t="s">
        <v>53</v>
      </c>
      <c r="B194" s="1" t="s">
        <v>73</v>
      </c>
      <c r="C194" s="1" t="s">
        <v>297</v>
      </c>
      <c r="D194" s="2">
        <v>894</v>
      </c>
      <c r="E194" s="2">
        <v>1129</v>
      </c>
      <c r="F194" s="2">
        <f t="shared" si="6"/>
        <v>2023</v>
      </c>
      <c r="G194" s="3">
        <f t="shared" si="7"/>
        <v>0.44191794364804743</v>
      </c>
      <c r="H194" s="3">
        <f t="shared" si="8"/>
        <v>0.55808205635195252</v>
      </c>
      <c r="I194" s="1" t="s">
        <v>532</v>
      </c>
      <c r="J194" s="2">
        <v>914</v>
      </c>
      <c r="K194" s="2">
        <v>1075</v>
      </c>
      <c r="L194" s="2">
        <v>1989</v>
      </c>
      <c r="M194" s="3">
        <v>0.45952740070387132</v>
      </c>
      <c r="N194" s="6">
        <v>-1.76</v>
      </c>
    </row>
    <row r="195" spans="1:14" x14ac:dyDescent="0.2">
      <c r="A195" s="1" t="s">
        <v>53</v>
      </c>
      <c r="B195" s="1" t="s">
        <v>73</v>
      </c>
      <c r="C195" s="1" t="s">
        <v>298</v>
      </c>
      <c r="D195" s="2">
        <v>708</v>
      </c>
      <c r="E195" s="2">
        <v>678</v>
      </c>
      <c r="F195" s="2">
        <f t="shared" si="6"/>
        <v>1386</v>
      </c>
      <c r="G195" s="3">
        <f t="shared" si="7"/>
        <v>0.51082251082251084</v>
      </c>
      <c r="H195" s="3">
        <f t="shared" si="8"/>
        <v>0.48917748917748916</v>
      </c>
      <c r="I195" s="1" t="s">
        <v>532</v>
      </c>
      <c r="J195" s="2">
        <v>735</v>
      </c>
      <c r="K195" s="2">
        <v>653</v>
      </c>
      <c r="L195" s="2">
        <v>1388</v>
      </c>
      <c r="M195" s="3">
        <v>0.52953890489913547</v>
      </c>
      <c r="N195" s="6">
        <v>-1.87</v>
      </c>
    </row>
    <row r="196" spans="1:14" x14ac:dyDescent="0.2">
      <c r="A196" s="1" t="s">
        <v>53</v>
      </c>
      <c r="B196" s="1" t="s">
        <v>73</v>
      </c>
      <c r="C196" s="1" t="s">
        <v>299</v>
      </c>
      <c r="D196" s="2">
        <v>1876</v>
      </c>
      <c r="E196" s="2">
        <v>1778</v>
      </c>
      <c r="F196" s="2">
        <f t="shared" si="6"/>
        <v>3654</v>
      </c>
      <c r="G196" s="3">
        <f t="shared" si="7"/>
        <v>0.51340996168582376</v>
      </c>
      <c r="H196" s="3">
        <f t="shared" si="8"/>
        <v>0.48659003831417624</v>
      </c>
      <c r="I196" s="1" t="s">
        <v>532</v>
      </c>
      <c r="J196" s="2">
        <v>1929</v>
      </c>
      <c r="K196" s="2">
        <v>1679</v>
      </c>
      <c r="L196" s="2">
        <v>3608</v>
      </c>
      <c r="M196" s="3">
        <v>0.53464523281596454</v>
      </c>
      <c r="N196" s="6">
        <v>-2.12</v>
      </c>
    </row>
    <row r="197" spans="1:14" x14ac:dyDescent="0.2">
      <c r="A197" s="1" t="s">
        <v>53</v>
      </c>
      <c r="B197" s="1" t="s">
        <v>73</v>
      </c>
      <c r="C197" s="1" t="s">
        <v>300</v>
      </c>
      <c r="D197" s="2">
        <v>649</v>
      </c>
      <c r="E197" s="2">
        <v>662</v>
      </c>
      <c r="F197" s="2">
        <f t="shared" si="6"/>
        <v>1311</v>
      </c>
      <c r="G197" s="3">
        <f t="shared" si="7"/>
        <v>0.49504195270785661</v>
      </c>
      <c r="H197" s="3">
        <f t="shared" si="8"/>
        <v>0.50495804729214344</v>
      </c>
      <c r="I197" s="1" t="s">
        <v>532</v>
      </c>
      <c r="J197" s="2">
        <v>696</v>
      </c>
      <c r="K197" s="2">
        <v>666</v>
      </c>
      <c r="L197" s="2">
        <v>1362</v>
      </c>
      <c r="M197" s="3">
        <v>0.51101321585903081</v>
      </c>
      <c r="N197" s="6">
        <v>-1.6</v>
      </c>
    </row>
    <row r="198" spans="1:14" x14ac:dyDescent="0.2">
      <c r="A198" s="1" t="s">
        <v>53</v>
      </c>
      <c r="B198" s="1" t="s">
        <v>73</v>
      </c>
      <c r="C198" s="1" t="s">
        <v>301</v>
      </c>
      <c r="D198" s="2">
        <v>696</v>
      </c>
      <c r="E198" s="2">
        <v>670</v>
      </c>
      <c r="F198" s="2">
        <f t="shared" si="6"/>
        <v>1366</v>
      </c>
      <c r="G198" s="3">
        <f t="shared" si="7"/>
        <v>0.5095168374816984</v>
      </c>
      <c r="H198" s="3">
        <f t="shared" si="8"/>
        <v>0.4904831625183016</v>
      </c>
      <c r="I198" s="1" t="s">
        <v>532</v>
      </c>
      <c r="J198" s="2">
        <v>715</v>
      </c>
      <c r="K198" s="2">
        <v>601</v>
      </c>
      <c r="L198" s="2">
        <v>1316</v>
      </c>
      <c r="M198" s="3">
        <v>0.54331306990881456</v>
      </c>
      <c r="N198" s="6">
        <v>-3.38</v>
      </c>
    </row>
    <row r="199" spans="1:14" x14ac:dyDescent="0.2">
      <c r="A199" s="1" t="s">
        <v>53</v>
      </c>
      <c r="B199" s="1" t="s">
        <v>73</v>
      </c>
      <c r="C199" s="1" t="s">
        <v>302</v>
      </c>
      <c r="D199" s="2">
        <v>741</v>
      </c>
      <c r="E199" s="2">
        <v>784</v>
      </c>
      <c r="F199" s="2">
        <f t="shared" si="6"/>
        <v>1525</v>
      </c>
      <c r="G199" s="3">
        <f t="shared" si="7"/>
        <v>0.48590163934426228</v>
      </c>
      <c r="H199" s="3">
        <f t="shared" si="8"/>
        <v>0.51409836065573766</v>
      </c>
      <c r="I199" s="1" t="s">
        <v>532</v>
      </c>
      <c r="J199" s="2">
        <v>728</v>
      </c>
      <c r="K199" s="2">
        <v>692</v>
      </c>
      <c r="L199" s="2">
        <v>1420</v>
      </c>
      <c r="M199" s="3">
        <v>0.51267605633802815</v>
      </c>
      <c r="N199" s="6">
        <v>-2.68</v>
      </c>
    </row>
    <row r="200" spans="1:14" x14ac:dyDescent="0.2">
      <c r="A200" s="1" t="s">
        <v>53</v>
      </c>
      <c r="B200" s="1" t="s">
        <v>74</v>
      </c>
      <c r="C200" s="1" t="s">
        <v>303</v>
      </c>
      <c r="D200" s="2">
        <v>1404</v>
      </c>
      <c r="E200" s="2">
        <v>1723</v>
      </c>
      <c r="F200" s="2">
        <f t="shared" si="6"/>
        <v>3127</v>
      </c>
      <c r="G200" s="3">
        <f t="shared" si="7"/>
        <v>0.44899264470738726</v>
      </c>
      <c r="H200" s="3">
        <f t="shared" si="8"/>
        <v>0.55100735529261269</v>
      </c>
      <c r="I200" s="1" t="s">
        <v>532</v>
      </c>
      <c r="J200" s="2">
        <v>1473</v>
      </c>
      <c r="K200" s="2">
        <v>1690</v>
      </c>
      <c r="L200" s="2">
        <v>3163</v>
      </c>
      <c r="M200" s="3">
        <v>0.46569712298450838</v>
      </c>
      <c r="N200" s="6">
        <v>-1.67</v>
      </c>
    </row>
    <row r="201" spans="1:14" x14ac:dyDescent="0.2">
      <c r="A201" s="1" t="s">
        <v>53</v>
      </c>
      <c r="B201" s="1" t="s">
        <v>74</v>
      </c>
      <c r="C201" s="1" t="s">
        <v>304</v>
      </c>
      <c r="D201" s="2">
        <v>873</v>
      </c>
      <c r="E201" s="2">
        <v>1454</v>
      </c>
      <c r="F201" s="2">
        <f t="shared" si="6"/>
        <v>2327</v>
      </c>
      <c r="G201" s="3">
        <f t="shared" si="7"/>
        <v>0.37516115169746456</v>
      </c>
      <c r="H201" s="3">
        <f t="shared" si="8"/>
        <v>0.62483884830253544</v>
      </c>
      <c r="I201" s="1" t="s">
        <v>532</v>
      </c>
      <c r="J201" s="2">
        <v>907</v>
      </c>
      <c r="K201" s="2">
        <v>1445</v>
      </c>
      <c r="L201" s="2">
        <v>2352</v>
      </c>
      <c r="M201" s="3">
        <v>0.3856292517006803</v>
      </c>
      <c r="N201" s="6">
        <v>-1.05</v>
      </c>
    </row>
    <row r="202" spans="1:14" x14ac:dyDescent="0.2">
      <c r="A202" s="1" t="s">
        <v>53</v>
      </c>
      <c r="B202" s="1" t="s">
        <v>75</v>
      </c>
      <c r="C202" s="1" t="s">
        <v>305</v>
      </c>
      <c r="D202" s="2">
        <v>1004</v>
      </c>
      <c r="E202" s="2">
        <v>1128</v>
      </c>
      <c r="F202" s="2">
        <f t="shared" si="6"/>
        <v>2132</v>
      </c>
      <c r="G202" s="3">
        <f t="shared" si="7"/>
        <v>0.47091932457786118</v>
      </c>
      <c r="H202" s="3">
        <f t="shared" si="8"/>
        <v>0.52908067542213888</v>
      </c>
      <c r="I202" s="1" t="s">
        <v>532</v>
      </c>
      <c r="J202" s="2">
        <v>1017</v>
      </c>
      <c r="K202" s="2">
        <v>1074</v>
      </c>
      <c r="L202" s="2">
        <v>2091</v>
      </c>
      <c r="M202" s="3">
        <v>0.48637015781922532</v>
      </c>
      <c r="N202" s="6">
        <v>-1.55</v>
      </c>
    </row>
    <row r="203" spans="1:14" x14ac:dyDescent="0.2">
      <c r="A203" s="1" t="s">
        <v>53</v>
      </c>
      <c r="B203" s="1" t="s">
        <v>75</v>
      </c>
      <c r="C203" s="1" t="s">
        <v>306</v>
      </c>
      <c r="D203" s="2">
        <v>685</v>
      </c>
      <c r="E203" s="2">
        <v>866</v>
      </c>
      <c r="F203" s="2">
        <f t="shared" si="6"/>
        <v>1551</v>
      </c>
      <c r="G203" s="3">
        <f t="shared" si="7"/>
        <v>0.44165054803352677</v>
      </c>
      <c r="H203" s="3">
        <f t="shared" si="8"/>
        <v>0.55834945196647323</v>
      </c>
      <c r="I203" s="1" t="s">
        <v>532</v>
      </c>
      <c r="J203" s="2">
        <v>753</v>
      </c>
      <c r="K203" s="2">
        <v>851</v>
      </c>
      <c r="L203" s="2">
        <v>1604</v>
      </c>
      <c r="M203" s="3">
        <v>0.46945137157107231</v>
      </c>
      <c r="N203" s="6">
        <v>-2.78</v>
      </c>
    </row>
    <row r="204" spans="1:14" x14ac:dyDescent="0.2">
      <c r="A204" s="1" t="s">
        <v>53</v>
      </c>
      <c r="B204" s="1" t="s">
        <v>75</v>
      </c>
      <c r="C204" s="1" t="s">
        <v>307</v>
      </c>
      <c r="D204" s="2">
        <v>626</v>
      </c>
      <c r="E204" s="2">
        <v>717</v>
      </c>
      <c r="F204" s="2">
        <f t="shared" ref="F204:F267" si="9">IF(COUNTA(D204:E204)=0,"",SUM(D204:E204))</f>
        <v>1343</v>
      </c>
      <c r="G204" s="3">
        <f t="shared" ref="G204:G267" si="10">IF(OR(F204="",F204=0),"",D204/F204)</f>
        <v>0.46612062546537603</v>
      </c>
      <c r="H204" s="3">
        <f t="shared" ref="H204:H267" si="11">IF(OR(F204="",F204=0),"",E204/F204)</f>
        <v>0.53387937453462397</v>
      </c>
      <c r="I204" s="1" t="s">
        <v>532</v>
      </c>
      <c r="J204" s="2">
        <v>713</v>
      </c>
      <c r="K204" s="2">
        <v>780</v>
      </c>
      <c r="L204" s="2">
        <v>1493</v>
      </c>
      <c r="M204" s="3">
        <v>0.47756195579370397</v>
      </c>
      <c r="N204" s="6">
        <v>-1.1399999999999999</v>
      </c>
    </row>
    <row r="205" spans="1:14" x14ac:dyDescent="0.2">
      <c r="A205" s="1" t="s">
        <v>53</v>
      </c>
      <c r="B205" s="1" t="s">
        <v>75</v>
      </c>
      <c r="C205" s="1" t="s">
        <v>308</v>
      </c>
      <c r="D205" s="2">
        <v>1577</v>
      </c>
      <c r="E205" s="2">
        <v>1930</v>
      </c>
      <c r="F205" s="2">
        <f t="shared" si="9"/>
        <v>3507</v>
      </c>
      <c r="G205" s="3">
        <f t="shared" si="10"/>
        <v>0.44967208440262335</v>
      </c>
      <c r="H205" s="3">
        <f t="shared" si="11"/>
        <v>0.5503279155973767</v>
      </c>
      <c r="I205" s="1" t="s">
        <v>532</v>
      </c>
      <c r="J205" s="2">
        <v>1648</v>
      </c>
      <c r="K205" s="2">
        <v>1789</v>
      </c>
      <c r="L205" s="2">
        <v>3437</v>
      </c>
      <c r="M205" s="3">
        <v>0.47948792551643882</v>
      </c>
      <c r="N205" s="6">
        <v>-2.98</v>
      </c>
    </row>
    <row r="206" spans="1:14" x14ac:dyDescent="0.2">
      <c r="A206" s="1" t="s">
        <v>53</v>
      </c>
      <c r="B206" s="1" t="s">
        <v>75</v>
      </c>
      <c r="C206" s="1" t="s">
        <v>309</v>
      </c>
      <c r="D206" s="2">
        <v>652</v>
      </c>
      <c r="E206" s="2">
        <v>710</v>
      </c>
      <c r="F206" s="2">
        <f t="shared" si="9"/>
        <v>1362</v>
      </c>
      <c r="G206" s="3">
        <f t="shared" si="10"/>
        <v>0.47870778267254038</v>
      </c>
      <c r="H206" s="3">
        <f t="shared" si="11"/>
        <v>0.52129221732745967</v>
      </c>
      <c r="I206" s="1" t="s">
        <v>532</v>
      </c>
      <c r="J206" s="2">
        <v>683</v>
      </c>
      <c r="K206" s="2">
        <v>663</v>
      </c>
      <c r="L206" s="2">
        <v>1346</v>
      </c>
      <c r="M206" s="3">
        <v>0.50742942050520057</v>
      </c>
      <c r="N206" s="6">
        <v>-2.87</v>
      </c>
    </row>
    <row r="207" spans="1:14" x14ac:dyDescent="0.2">
      <c r="A207" s="1" t="s">
        <v>53</v>
      </c>
      <c r="B207" s="1" t="s">
        <v>75</v>
      </c>
      <c r="C207" s="1" t="s">
        <v>310</v>
      </c>
      <c r="D207" s="2">
        <v>653</v>
      </c>
      <c r="E207" s="2">
        <v>638</v>
      </c>
      <c r="F207" s="2">
        <f t="shared" si="9"/>
        <v>1291</v>
      </c>
      <c r="G207" s="3">
        <f t="shared" si="10"/>
        <v>0.50580945003872968</v>
      </c>
      <c r="H207" s="3">
        <f t="shared" si="11"/>
        <v>0.49419054996127032</v>
      </c>
      <c r="I207" s="1" t="s">
        <v>532</v>
      </c>
      <c r="J207" s="2">
        <v>648</v>
      </c>
      <c r="K207" s="2">
        <v>583</v>
      </c>
      <c r="L207" s="2">
        <v>1231</v>
      </c>
      <c r="M207" s="3">
        <v>0.52640129975629568</v>
      </c>
      <c r="N207" s="6">
        <v>-2.06</v>
      </c>
    </row>
    <row r="208" spans="1:14" x14ac:dyDescent="0.2">
      <c r="A208" s="1" t="s">
        <v>53</v>
      </c>
      <c r="B208" s="1" t="s">
        <v>76</v>
      </c>
      <c r="C208" s="1" t="s">
        <v>311</v>
      </c>
      <c r="D208" s="2">
        <v>219</v>
      </c>
      <c r="E208" s="2">
        <v>538</v>
      </c>
      <c r="F208" s="2">
        <f t="shared" si="9"/>
        <v>757</v>
      </c>
      <c r="G208" s="3">
        <f t="shared" si="10"/>
        <v>0.28929986789960371</v>
      </c>
      <c r="H208" s="3">
        <f t="shared" si="11"/>
        <v>0.71070013210039629</v>
      </c>
      <c r="I208" s="1" t="s">
        <v>532</v>
      </c>
      <c r="J208" s="2">
        <v>243</v>
      </c>
      <c r="K208" s="2">
        <v>532</v>
      </c>
      <c r="L208" s="2">
        <v>775</v>
      </c>
      <c r="M208" s="3">
        <v>0.31354838709677418</v>
      </c>
      <c r="N208" s="6">
        <v>-2.42</v>
      </c>
    </row>
    <row r="209" spans="1:14" x14ac:dyDescent="0.2">
      <c r="A209" s="1" t="s">
        <v>53</v>
      </c>
      <c r="B209" s="1" t="s">
        <v>76</v>
      </c>
      <c r="C209" s="1" t="s">
        <v>312</v>
      </c>
      <c r="D209" s="2">
        <v>820</v>
      </c>
      <c r="E209" s="2">
        <v>1698</v>
      </c>
      <c r="F209" s="2">
        <f t="shared" si="9"/>
        <v>2518</v>
      </c>
      <c r="G209" s="3">
        <f t="shared" si="10"/>
        <v>0.3256552819698173</v>
      </c>
      <c r="H209" s="3">
        <f t="shared" si="11"/>
        <v>0.6743447180301827</v>
      </c>
      <c r="I209" s="1" t="s">
        <v>532</v>
      </c>
      <c r="J209" s="2">
        <v>841</v>
      </c>
      <c r="K209" s="2">
        <v>1653</v>
      </c>
      <c r="L209" s="2">
        <v>2494</v>
      </c>
      <c r="M209" s="3">
        <v>0.33720930232558138</v>
      </c>
      <c r="N209" s="6">
        <v>-1.1599999999999999</v>
      </c>
    </row>
    <row r="210" spans="1:14" x14ac:dyDescent="0.2">
      <c r="A210" s="1" t="s">
        <v>53</v>
      </c>
      <c r="B210" s="1" t="s">
        <v>76</v>
      </c>
      <c r="C210" s="1" t="s">
        <v>313</v>
      </c>
      <c r="D210" s="2">
        <v>195</v>
      </c>
      <c r="E210" s="2">
        <v>463</v>
      </c>
      <c r="F210" s="2">
        <f t="shared" si="9"/>
        <v>658</v>
      </c>
      <c r="G210" s="3">
        <f t="shared" si="10"/>
        <v>0.29635258358662614</v>
      </c>
      <c r="H210" s="3">
        <f t="shared" si="11"/>
        <v>0.70364741641337381</v>
      </c>
      <c r="I210" s="1" t="s">
        <v>532</v>
      </c>
      <c r="J210" s="2">
        <v>182</v>
      </c>
      <c r="K210" s="2">
        <v>484</v>
      </c>
      <c r="L210" s="2">
        <v>666</v>
      </c>
      <c r="M210" s="3">
        <v>0.27327327327327328</v>
      </c>
      <c r="N210" s="6">
        <v>2.31</v>
      </c>
    </row>
    <row r="211" spans="1:14" x14ac:dyDescent="0.2">
      <c r="A211" s="1" t="s">
        <v>53</v>
      </c>
      <c r="B211" s="1" t="s">
        <v>77</v>
      </c>
      <c r="C211" s="1" t="s">
        <v>77</v>
      </c>
      <c r="D211" s="2">
        <v>1111</v>
      </c>
      <c r="E211" s="2">
        <v>2267</v>
      </c>
      <c r="F211" s="2">
        <f t="shared" si="9"/>
        <v>3378</v>
      </c>
      <c r="G211" s="3">
        <f t="shared" si="10"/>
        <v>0.32889283599763175</v>
      </c>
      <c r="H211" s="3">
        <f t="shared" si="11"/>
        <v>0.67110716400236825</v>
      </c>
      <c r="I211" s="1" t="s">
        <v>532</v>
      </c>
      <c r="J211" s="2">
        <v>1172</v>
      </c>
      <c r="K211" s="2">
        <v>2201</v>
      </c>
      <c r="L211" s="2">
        <v>3373</v>
      </c>
      <c r="M211" s="3">
        <v>0.34746516454195081</v>
      </c>
      <c r="N211" s="6">
        <v>-1.86</v>
      </c>
    </row>
    <row r="212" spans="1:14" x14ac:dyDescent="0.2">
      <c r="A212" s="1" t="s">
        <v>53</v>
      </c>
      <c r="B212" s="1" t="s">
        <v>78</v>
      </c>
      <c r="C212" s="1" t="s">
        <v>314</v>
      </c>
      <c r="D212" s="2">
        <v>743</v>
      </c>
      <c r="E212" s="2">
        <v>950</v>
      </c>
      <c r="F212" s="2">
        <f t="shared" si="9"/>
        <v>1693</v>
      </c>
      <c r="G212" s="3">
        <f t="shared" si="10"/>
        <v>0.4388659184878913</v>
      </c>
      <c r="H212" s="3">
        <f t="shared" si="11"/>
        <v>0.56113408151210864</v>
      </c>
      <c r="I212" s="1" t="s">
        <v>532</v>
      </c>
      <c r="J212" s="2">
        <v>811</v>
      </c>
      <c r="K212" s="2">
        <v>918</v>
      </c>
      <c r="L212" s="2">
        <v>1729</v>
      </c>
      <c r="M212" s="3">
        <v>0.46905725853094282</v>
      </c>
      <c r="N212" s="6">
        <v>-3.02</v>
      </c>
    </row>
    <row r="213" spans="1:14" x14ac:dyDescent="0.2">
      <c r="A213" s="1" t="s">
        <v>53</v>
      </c>
      <c r="B213" s="1" t="s">
        <v>78</v>
      </c>
      <c r="C213" s="1" t="s">
        <v>315</v>
      </c>
      <c r="D213" s="2">
        <v>560</v>
      </c>
      <c r="E213" s="2">
        <v>751</v>
      </c>
      <c r="F213" s="2">
        <f t="shared" si="9"/>
        <v>1311</v>
      </c>
      <c r="G213" s="3">
        <f t="shared" si="10"/>
        <v>0.42715484363081618</v>
      </c>
      <c r="H213" s="3">
        <f t="shared" si="11"/>
        <v>0.57284515636918387</v>
      </c>
      <c r="I213" s="1" t="s">
        <v>532</v>
      </c>
      <c r="J213" s="2">
        <v>606</v>
      </c>
      <c r="K213" s="2">
        <v>669</v>
      </c>
      <c r="L213" s="2">
        <v>1275</v>
      </c>
      <c r="M213" s="3">
        <v>0.47529411764705881</v>
      </c>
      <c r="N213" s="6">
        <v>-4.8099999999999996</v>
      </c>
    </row>
    <row r="214" spans="1:14" x14ac:dyDescent="0.2">
      <c r="A214" s="1" t="s">
        <v>53</v>
      </c>
      <c r="B214" s="1" t="s">
        <v>78</v>
      </c>
      <c r="C214" s="1" t="s">
        <v>316</v>
      </c>
      <c r="D214" s="2">
        <v>759</v>
      </c>
      <c r="E214" s="2">
        <v>615</v>
      </c>
      <c r="F214" s="2">
        <f t="shared" si="9"/>
        <v>1374</v>
      </c>
      <c r="G214" s="3">
        <f t="shared" si="10"/>
        <v>0.55240174672489084</v>
      </c>
      <c r="H214" s="3">
        <f t="shared" si="11"/>
        <v>0.44759825327510916</v>
      </c>
      <c r="I214" s="1" t="s">
        <v>532</v>
      </c>
      <c r="J214" s="2">
        <v>732</v>
      </c>
      <c r="K214" s="2">
        <v>616</v>
      </c>
      <c r="L214" s="2">
        <v>1348</v>
      </c>
      <c r="M214" s="3">
        <v>0.54302670623145399</v>
      </c>
      <c r="N214" s="6">
        <v>0.94</v>
      </c>
    </row>
    <row r="215" spans="1:14" x14ac:dyDescent="0.2">
      <c r="A215" s="1" t="s">
        <v>53</v>
      </c>
      <c r="B215" s="1" t="s">
        <v>78</v>
      </c>
      <c r="C215" s="1" t="s">
        <v>317</v>
      </c>
      <c r="D215" s="2">
        <v>845</v>
      </c>
      <c r="E215" s="2">
        <v>656</v>
      </c>
      <c r="F215" s="2">
        <f t="shared" si="9"/>
        <v>1501</v>
      </c>
      <c r="G215" s="3">
        <f t="shared" si="10"/>
        <v>0.56295802798134575</v>
      </c>
      <c r="H215" s="3">
        <f t="shared" si="11"/>
        <v>0.43704197201865425</v>
      </c>
      <c r="I215" s="1" t="s">
        <v>532</v>
      </c>
      <c r="J215" s="2">
        <v>871</v>
      </c>
      <c r="K215" s="2">
        <v>616</v>
      </c>
      <c r="L215" s="2">
        <v>1487</v>
      </c>
      <c r="M215" s="3">
        <v>0.58574310692669806</v>
      </c>
      <c r="N215" s="6">
        <v>-2.2799999999999998</v>
      </c>
    </row>
    <row r="216" spans="1:14" x14ac:dyDescent="0.2">
      <c r="A216" s="1" t="s">
        <v>53</v>
      </c>
      <c r="B216" s="1" t="s">
        <v>78</v>
      </c>
      <c r="C216" s="1" t="s">
        <v>318</v>
      </c>
      <c r="D216" s="2">
        <v>313</v>
      </c>
      <c r="E216" s="2">
        <v>278</v>
      </c>
      <c r="F216" s="2">
        <f t="shared" si="9"/>
        <v>591</v>
      </c>
      <c r="G216" s="3">
        <f t="shared" si="10"/>
        <v>0.52961082910321489</v>
      </c>
      <c r="H216" s="3">
        <f t="shared" si="11"/>
        <v>0.47038917089678511</v>
      </c>
      <c r="I216" s="1" t="s">
        <v>532</v>
      </c>
      <c r="J216" s="2">
        <v>305</v>
      </c>
      <c r="K216" s="2">
        <v>262</v>
      </c>
      <c r="L216" s="2">
        <v>567</v>
      </c>
      <c r="M216" s="3">
        <v>0.53791887125220461</v>
      </c>
      <c r="N216" s="6">
        <v>-0.83</v>
      </c>
    </row>
    <row r="217" spans="1:14" x14ac:dyDescent="0.2">
      <c r="A217" s="1" t="s">
        <v>53</v>
      </c>
      <c r="B217" s="1" t="s">
        <v>78</v>
      </c>
      <c r="C217" s="1" t="s">
        <v>319</v>
      </c>
      <c r="D217" s="2">
        <v>586</v>
      </c>
      <c r="E217" s="2">
        <v>359</v>
      </c>
      <c r="F217" s="2">
        <f t="shared" si="9"/>
        <v>945</v>
      </c>
      <c r="G217" s="3">
        <f t="shared" si="10"/>
        <v>0.62010582010582016</v>
      </c>
      <c r="H217" s="3">
        <f t="shared" si="11"/>
        <v>0.3798941798941799</v>
      </c>
      <c r="I217" s="1" t="s">
        <v>532</v>
      </c>
      <c r="J217" s="2">
        <v>535</v>
      </c>
      <c r="K217" s="2">
        <v>364</v>
      </c>
      <c r="L217" s="2">
        <v>899</v>
      </c>
      <c r="M217" s="3">
        <v>0.59510567296996664</v>
      </c>
      <c r="N217" s="6">
        <v>2.5</v>
      </c>
    </row>
    <row r="218" spans="1:14" x14ac:dyDescent="0.2">
      <c r="A218" s="1" t="s">
        <v>53</v>
      </c>
      <c r="B218" s="1" t="s">
        <v>78</v>
      </c>
      <c r="C218" s="1" t="s">
        <v>320</v>
      </c>
      <c r="D218" s="2">
        <v>536</v>
      </c>
      <c r="E218" s="2">
        <v>470</v>
      </c>
      <c r="F218" s="2">
        <f t="shared" si="9"/>
        <v>1006</v>
      </c>
      <c r="G218" s="3">
        <f t="shared" si="10"/>
        <v>0.53280318091451295</v>
      </c>
      <c r="H218" s="3">
        <f t="shared" si="11"/>
        <v>0.4671968190854871</v>
      </c>
      <c r="I218" s="1" t="s">
        <v>532</v>
      </c>
      <c r="J218" s="2">
        <v>564</v>
      </c>
      <c r="K218" s="2">
        <v>451</v>
      </c>
      <c r="L218" s="2">
        <v>1015</v>
      </c>
      <c r="M218" s="3">
        <v>0.5556650246305419</v>
      </c>
      <c r="N218" s="6">
        <v>-2.29</v>
      </c>
    </row>
    <row r="219" spans="1:14" x14ac:dyDescent="0.2">
      <c r="A219" s="1" t="s">
        <v>53</v>
      </c>
      <c r="B219" s="1" t="s">
        <v>78</v>
      </c>
      <c r="C219" s="1" t="s">
        <v>321</v>
      </c>
      <c r="D219" s="2">
        <v>263</v>
      </c>
      <c r="E219" s="2">
        <v>326</v>
      </c>
      <c r="F219" s="2">
        <f t="shared" si="9"/>
        <v>589</v>
      </c>
      <c r="G219" s="3">
        <f t="shared" si="10"/>
        <v>0.4465195246179966</v>
      </c>
      <c r="H219" s="3">
        <f t="shared" si="11"/>
        <v>0.5534804753820034</v>
      </c>
      <c r="I219" s="1" t="s">
        <v>532</v>
      </c>
      <c r="J219" s="2">
        <v>279</v>
      </c>
      <c r="K219" s="2">
        <v>318</v>
      </c>
      <c r="L219" s="2">
        <v>597</v>
      </c>
      <c r="M219" s="3">
        <v>0.46733668341708551</v>
      </c>
      <c r="N219" s="6">
        <v>-2.08</v>
      </c>
    </row>
    <row r="220" spans="1:14" x14ac:dyDescent="0.2">
      <c r="A220" s="1" t="s">
        <v>53</v>
      </c>
      <c r="B220" s="1" t="s">
        <v>78</v>
      </c>
      <c r="C220" s="1" t="s">
        <v>322</v>
      </c>
      <c r="D220" s="2">
        <v>536</v>
      </c>
      <c r="E220" s="2">
        <v>541</v>
      </c>
      <c r="F220" s="2">
        <f t="shared" si="9"/>
        <v>1077</v>
      </c>
      <c r="G220" s="3">
        <f t="shared" si="10"/>
        <v>0.49767873723305478</v>
      </c>
      <c r="H220" s="3">
        <f t="shared" si="11"/>
        <v>0.50232126276694522</v>
      </c>
      <c r="I220" s="1" t="s">
        <v>532</v>
      </c>
      <c r="J220" s="2">
        <v>571</v>
      </c>
      <c r="K220" s="2">
        <v>544</v>
      </c>
      <c r="L220" s="2">
        <v>1115</v>
      </c>
      <c r="M220" s="3">
        <v>0.51210762331838566</v>
      </c>
      <c r="N220" s="6">
        <v>-1.44</v>
      </c>
    </row>
    <row r="221" spans="1:14" x14ac:dyDescent="0.2">
      <c r="A221" s="1" t="s">
        <v>53</v>
      </c>
      <c r="B221" s="1" t="s">
        <v>78</v>
      </c>
      <c r="C221" s="1" t="s">
        <v>323</v>
      </c>
      <c r="D221" s="2">
        <v>810</v>
      </c>
      <c r="E221" s="2">
        <v>993</v>
      </c>
      <c r="F221" s="2">
        <f t="shared" si="9"/>
        <v>1803</v>
      </c>
      <c r="G221" s="3">
        <f t="shared" si="10"/>
        <v>0.4492512479201331</v>
      </c>
      <c r="H221" s="3">
        <f t="shared" si="11"/>
        <v>0.55074875207986684</v>
      </c>
      <c r="I221" s="1" t="s">
        <v>532</v>
      </c>
      <c r="J221" s="2">
        <v>829</v>
      </c>
      <c r="K221" s="2">
        <v>968</v>
      </c>
      <c r="L221" s="2">
        <v>1797</v>
      </c>
      <c r="M221" s="3">
        <v>0.46132442960489711</v>
      </c>
      <c r="N221" s="6">
        <v>-1.21</v>
      </c>
    </row>
    <row r="222" spans="1:14" x14ac:dyDescent="0.2">
      <c r="A222" s="1" t="s">
        <v>53</v>
      </c>
      <c r="B222" s="1" t="s">
        <v>78</v>
      </c>
      <c r="C222" s="1" t="s">
        <v>324</v>
      </c>
      <c r="D222" s="2">
        <v>665</v>
      </c>
      <c r="E222" s="2">
        <v>768</v>
      </c>
      <c r="F222" s="2">
        <f t="shared" si="9"/>
        <v>1433</v>
      </c>
      <c r="G222" s="3">
        <f t="shared" si="10"/>
        <v>0.46406140963014653</v>
      </c>
      <c r="H222" s="3">
        <f t="shared" si="11"/>
        <v>0.53593859036985347</v>
      </c>
      <c r="I222" s="1" t="s">
        <v>532</v>
      </c>
      <c r="J222" s="2">
        <v>698</v>
      </c>
      <c r="K222" s="2">
        <v>748</v>
      </c>
      <c r="L222" s="2">
        <v>1446</v>
      </c>
      <c r="M222" s="3">
        <v>0.48271092669432919</v>
      </c>
      <c r="N222" s="6">
        <v>-1.86</v>
      </c>
    </row>
    <row r="223" spans="1:14" x14ac:dyDescent="0.2">
      <c r="A223" s="1" t="s">
        <v>53</v>
      </c>
      <c r="B223" s="1" t="s">
        <v>78</v>
      </c>
      <c r="C223" s="1" t="s">
        <v>325</v>
      </c>
      <c r="D223" s="2">
        <v>580</v>
      </c>
      <c r="E223" s="2">
        <v>578</v>
      </c>
      <c r="F223" s="2">
        <f t="shared" si="9"/>
        <v>1158</v>
      </c>
      <c r="G223" s="3">
        <f t="shared" si="10"/>
        <v>0.50086355785837655</v>
      </c>
      <c r="H223" s="3">
        <f t="shared" si="11"/>
        <v>0.4991364421416235</v>
      </c>
      <c r="I223" s="1" t="s">
        <v>532</v>
      </c>
      <c r="J223" s="2">
        <v>582</v>
      </c>
      <c r="K223" s="2">
        <v>562</v>
      </c>
      <c r="L223" s="2">
        <v>1144</v>
      </c>
      <c r="M223" s="3">
        <v>0.50874125874125875</v>
      </c>
      <c r="N223" s="6">
        <v>-0.79</v>
      </c>
    </row>
    <row r="224" spans="1:14" x14ac:dyDescent="0.2">
      <c r="A224" s="1" t="s">
        <v>79</v>
      </c>
      <c r="B224" s="1" t="s">
        <v>81</v>
      </c>
      <c r="C224" s="1" t="s">
        <v>326</v>
      </c>
      <c r="D224" s="2">
        <v>401</v>
      </c>
      <c r="E224" s="2">
        <v>1143</v>
      </c>
      <c r="F224" s="2">
        <f t="shared" si="9"/>
        <v>1544</v>
      </c>
      <c r="G224" s="3">
        <f t="shared" si="10"/>
        <v>0.25971502590673573</v>
      </c>
      <c r="H224" s="3">
        <f t="shared" si="11"/>
        <v>0.74028497409326421</v>
      </c>
      <c r="I224" s="1" t="s">
        <v>532</v>
      </c>
      <c r="J224" s="2">
        <v>471</v>
      </c>
      <c r="K224" s="2">
        <v>1124</v>
      </c>
      <c r="L224" s="2">
        <v>1595</v>
      </c>
      <c r="M224" s="3">
        <v>0.29529780564263319</v>
      </c>
      <c r="N224" s="6">
        <v>-3.56</v>
      </c>
    </row>
    <row r="225" spans="1:14" x14ac:dyDescent="0.2">
      <c r="A225" s="1" t="s">
        <v>79</v>
      </c>
      <c r="B225" s="1" t="s">
        <v>80</v>
      </c>
      <c r="C225" s="1" t="s">
        <v>327</v>
      </c>
      <c r="D225" s="2">
        <v>1238</v>
      </c>
      <c r="E225" s="2">
        <v>2931</v>
      </c>
      <c r="F225" s="2">
        <f t="shared" si="9"/>
        <v>4169</v>
      </c>
      <c r="G225" s="3">
        <f t="shared" si="10"/>
        <v>0.29695370592468218</v>
      </c>
      <c r="H225" s="3">
        <f t="shared" si="11"/>
        <v>0.70304629407531782</v>
      </c>
      <c r="I225" s="1" t="s">
        <v>532</v>
      </c>
      <c r="J225" s="2">
        <v>1414</v>
      </c>
      <c r="K225" s="2">
        <v>2894</v>
      </c>
      <c r="L225" s="2">
        <v>4308</v>
      </c>
      <c r="M225" s="3">
        <v>0.32822655524605387</v>
      </c>
      <c r="N225" s="6">
        <v>-3.13</v>
      </c>
    </row>
    <row r="226" spans="1:14" x14ac:dyDescent="0.2">
      <c r="A226" s="1" t="s">
        <v>79</v>
      </c>
      <c r="B226" s="1" t="s">
        <v>82</v>
      </c>
      <c r="C226" s="1" t="s">
        <v>328</v>
      </c>
      <c r="D226" s="2">
        <v>479</v>
      </c>
      <c r="E226" s="2">
        <v>1090</v>
      </c>
      <c r="F226" s="2">
        <f t="shared" si="9"/>
        <v>1569</v>
      </c>
      <c r="G226" s="3">
        <f t="shared" si="10"/>
        <v>0.30528999362651371</v>
      </c>
      <c r="H226" s="3">
        <f t="shared" si="11"/>
        <v>0.69471000637348634</v>
      </c>
      <c r="I226" s="1" t="s">
        <v>532</v>
      </c>
      <c r="J226" s="2">
        <v>521</v>
      </c>
      <c r="K226" s="2">
        <v>997</v>
      </c>
      <c r="L226" s="2">
        <v>1518</v>
      </c>
      <c r="M226" s="3">
        <v>0.3432147562582345</v>
      </c>
      <c r="N226" s="6">
        <v>-3.79</v>
      </c>
    </row>
    <row r="227" spans="1:14" x14ac:dyDescent="0.2">
      <c r="A227" s="1" t="s">
        <v>83</v>
      </c>
      <c r="B227" s="1" t="s">
        <v>84</v>
      </c>
      <c r="C227" s="1" t="s">
        <v>329</v>
      </c>
      <c r="D227" s="2">
        <v>620</v>
      </c>
      <c r="E227" s="2">
        <v>1039</v>
      </c>
      <c r="F227" s="2">
        <f t="shared" si="9"/>
        <v>1659</v>
      </c>
      <c r="G227" s="3">
        <f t="shared" si="10"/>
        <v>0.37371910789632307</v>
      </c>
      <c r="H227" s="3">
        <f t="shared" si="11"/>
        <v>0.62628089210367688</v>
      </c>
      <c r="I227" s="1" t="s">
        <v>532</v>
      </c>
      <c r="J227" s="2">
        <v>687</v>
      </c>
      <c r="K227" s="2">
        <v>1009</v>
      </c>
      <c r="L227" s="2">
        <v>1696</v>
      </c>
      <c r="M227" s="3">
        <v>0.40507075471698112</v>
      </c>
      <c r="N227" s="6">
        <v>-3.14</v>
      </c>
    </row>
    <row r="228" spans="1:14" x14ac:dyDescent="0.2">
      <c r="A228" s="1" t="s">
        <v>83</v>
      </c>
      <c r="B228" s="1" t="s">
        <v>84</v>
      </c>
      <c r="C228" s="1" t="s">
        <v>330</v>
      </c>
      <c r="D228" s="2">
        <v>800</v>
      </c>
      <c r="E228" s="2">
        <v>1005</v>
      </c>
      <c r="F228" s="2">
        <f t="shared" si="9"/>
        <v>1805</v>
      </c>
      <c r="G228" s="3">
        <f t="shared" si="10"/>
        <v>0.44321329639889195</v>
      </c>
      <c r="H228" s="3">
        <f t="shared" si="11"/>
        <v>0.55678670360110805</v>
      </c>
      <c r="I228" s="1" t="s">
        <v>532</v>
      </c>
      <c r="J228" s="2">
        <v>824</v>
      </c>
      <c r="K228" s="2">
        <v>1009</v>
      </c>
      <c r="L228" s="2">
        <v>1833</v>
      </c>
      <c r="M228" s="3">
        <v>0.44953627932351342</v>
      </c>
      <c r="N228" s="6">
        <v>-0.63</v>
      </c>
    </row>
    <row r="229" spans="1:14" x14ac:dyDescent="0.2">
      <c r="A229" s="1" t="s">
        <v>83</v>
      </c>
      <c r="B229" s="1" t="s">
        <v>85</v>
      </c>
      <c r="C229" s="1" t="s">
        <v>331</v>
      </c>
      <c r="D229" s="2">
        <v>480</v>
      </c>
      <c r="E229" s="2">
        <v>683</v>
      </c>
      <c r="F229" s="2">
        <f t="shared" si="9"/>
        <v>1163</v>
      </c>
      <c r="G229" s="3">
        <f t="shared" si="10"/>
        <v>0.41272570937231301</v>
      </c>
      <c r="H229" s="3">
        <f t="shared" si="11"/>
        <v>0.58727429062768699</v>
      </c>
      <c r="I229" s="1" t="s">
        <v>538</v>
      </c>
    </row>
    <row r="230" spans="1:14" x14ac:dyDescent="0.2">
      <c r="A230" s="1" t="s">
        <v>83</v>
      </c>
      <c r="B230" s="1" t="s">
        <v>85</v>
      </c>
      <c r="C230" s="1" t="s">
        <v>333</v>
      </c>
      <c r="D230" s="2">
        <v>486</v>
      </c>
      <c r="E230" s="2">
        <v>687</v>
      </c>
      <c r="F230" s="2">
        <f t="shared" si="9"/>
        <v>1173</v>
      </c>
      <c r="G230" s="3">
        <f t="shared" si="10"/>
        <v>0.41432225063938621</v>
      </c>
      <c r="H230" s="3">
        <f t="shared" si="11"/>
        <v>0.58567774936061379</v>
      </c>
      <c r="I230" s="1" t="s">
        <v>538</v>
      </c>
    </row>
    <row r="231" spans="1:14" x14ac:dyDescent="0.2">
      <c r="A231" s="1" t="s">
        <v>83</v>
      </c>
      <c r="B231" s="1" t="s">
        <v>86</v>
      </c>
      <c r="C231" s="1" t="s">
        <v>86</v>
      </c>
      <c r="D231" s="2">
        <v>580</v>
      </c>
      <c r="E231" s="2">
        <v>789</v>
      </c>
      <c r="F231" s="2">
        <f t="shared" si="9"/>
        <v>1369</v>
      </c>
      <c r="G231" s="3">
        <f t="shared" si="10"/>
        <v>0.42366691015339664</v>
      </c>
      <c r="H231" s="3">
        <f t="shared" si="11"/>
        <v>0.57633308984660336</v>
      </c>
      <c r="I231" s="1" t="s">
        <v>532</v>
      </c>
      <c r="J231" s="2">
        <v>623</v>
      </c>
      <c r="K231" s="2">
        <v>726</v>
      </c>
      <c r="L231" s="2">
        <v>1349</v>
      </c>
      <c r="M231" s="3">
        <v>0.46182357301704968</v>
      </c>
      <c r="N231" s="6">
        <v>-3.82</v>
      </c>
    </row>
    <row r="232" spans="1:14" x14ac:dyDescent="0.2">
      <c r="A232" s="1" t="s">
        <v>83</v>
      </c>
      <c r="B232" s="1" t="s">
        <v>56</v>
      </c>
      <c r="C232" s="1" t="s">
        <v>334</v>
      </c>
      <c r="D232" s="2">
        <v>656</v>
      </c>
      <c r="E232" s="2">
        <v>437</v>
      </c>
      <c r="F232" s="2">
        <f t="shared" si="9"/>
        <v>1093</v>
      </c>
      <c r="G232" s="3">
        <f t="shared" si="10"/>
        <v>0.60018298261665137</v>
      </c>
      <c r="H232" s="3">
        <f t="shared" si="11"/>
        <v>0.39981701738334857</v>
      </c>
      <c r="I232" s="1" t="s">
        <v>532</v>
      </c>
      <c r="J232" s="2">
        <v>775</v>
      </c>
      <c r="K232" s="2">
        <v>447</v>
      </c>
      <c r="L232" s="2">
        <v>1222</v>
      </c>
      <c r="M232" s="3">
        <v>0.63420621931260224</v>
      </c>
      <c r="N232" s="6">
        <v>-3.4</v>
      </c>
    </row>
    <row r="233" spans="1:14" x14ac:dyDescent="0.2">
      <c r="A233" s="1" t="s">
        <v>83</v>
      </c>
      <c r="B233" s="1" t="s">
        <v>56</v>
      </c>
      <c r="C233" s="1" t="s">
        <v>335</v>
      </c>
      <c r="D233" s="2">
        <v>916</v>
      </c>
      <c r="E233" s="2">
        <v>669</v>
      </c>
      <c r="F233" s="2">
        <f t="shared" si="9"/>
        <v>1585</v>
      </c>
      <c r="G233" s="3">
        <f t="shared" si="10"/>
        <v>0.57791798107255521</v>
      </c>
      <c r="H233" s="3">
        <f t="shared" si="11"/>
        <v>0.42208201892744479</v>
      </c>
      <c r="I233" s="1" t="s">
        <v>532</v>
      </c>
      <c r="J233" s="2">
        <v>982</v>
      </c>
      <c r="K233" s="2">
        <v>684</v>
      </c>
      <c r="L233" s="2">
        <v>1666</v>
      </c>
      <c r="M233" s="3">
        <v>0.58943577430972394</v>
      </c>
      <c r="N233" s="6">
        <v>-1.1499999999999999</v>
      </c>
    </row>
    <row r="234" spans="1:14" x14ac:dyDescent="0.2">
      <c r="A234" s="1" t="s">
        <v>83</v>
      </c>
      <c r="B234" s="1" t="s">
        <v>56</v>
      </c>
      <c r="C234" s="1" t="s">
        <v>336</v>
      </c>
      <c r="D234" s="2">
        <v>715</v>
      </c>
      <c r="E234" s="2">
        <v>391</v>
      </c>
      <c r="F234" s="2">
        <f t="shared" si="9"/>
        <v>1106</v>
      </c>
      <c r="G234" s="3">
        <f t="shared" si="10"/>
        <v>0.64647377938517181</v>
      </c>
      <c r="H234" s="3">
        <f t="shared" si="11"/>
        <v>0.35352622061482819</v>
      </c>
      <c r="I234" s="1" t="s">
        <v>532</v>
      </c>
      <c r="J234" s="2">
        <v>750</v>
      </c>
      <c r="K234" s="2">
        <v>421</v>
      </c>
      <c r="L234" s="2">
        <v>1171</v>
      </c>
      <c r="M234" s="3">
        <v>0.64047822374039287</v>
      </c>
      <c r="N234" s="6">
        <v>0.6</v>
      </c>
    </row>
    <row r="235" spans="1:14" x14ac:dyDescent="0.2">
      <c r="A235" s="1" t="s">
        <v>83</v>
      </c>
      <c r="B235" s="1" t="s">
        <v>56</v>
      </c>
      <c r="C235" s="1" t="s">
        <v>337</v>
      </c>
      <c r="D235" s="2">
        <v>579</v>
      </c>
      <c r="E235" s="2">
        <v>368</v>
      </c>
      <c r="F235" s="2">
        <f t="shared" si="9"/>
        <v>947</v>
      </c>
      <c r="G235" s="3">
        <f t="shared" si="10"/>
        <v>0.61140443505807818</v>
      </c>
      <c r="H235" s="3">
        <f t="shared" si="11"/>
        <v>0.38859556494192188</v>
      </c>
      <c r="I235" s="1" t="s">
        <v>532</v>
      </c>
      <c r="J235" s="2">
        <v>592</v>
      </c>
      <c r="K235" s="2">
        <v>337</v>
      </c>
      <c r="L235" s="2">
        <v>929</v>
      </c>
      <c r="M235" s="3">
        <v>0.63724434876210978</v>
      </c>
      <c r="N235" s="6">
        <v>-2.58</v>
      </c>
    </row>
    <row r="236" spans="1:14" x14ac:dyDescent="0.2">
      <c r="A236" s="1" t="s">
        <v>83</v>
      </c>
      <c r="B236" s="1" t="s">
        <v>56</v>
      </c>
      <c r="C236" s="1" t="s">
        <v>338</v>
      </c>
      <c r="D236" s="2">
        <v>721</v>
      </c>
      <c r="E236" s="2">
        <v>557</v>
      </c>
      <c r="F236" s="2">
        <f t="shared" si="9"/>
        <v>1278</v>
      </c>
      <c r="G236" s="3">
        <f t="shared" si="10"/>
        <v>0.56416275430359941</v>
      </c>
      <c r="H236" s="3">
        <f t="shared" si="11"/>
        <v>0.43583724569640064</v>
      </c>
      <c r="I236" s="1" t="s">
        <v>532</v>
      </c>
      <c r="J236" s="2">
        <v>740</v>
      </c>
      <c r="K236" s="2">
        <v>506</v>
      </c>
      <c r="L236" s="2">
        <v>1246</v>
      </c>
      <c r="M236" s="3">
        <v>0.593900481540931</v>
      </c>
      <c r="N236" s="6">
        <v>-2.97</v>
      </c>
    </row>
    <row r="237" spans="1:14" x14ac:dyDescent="0.2">
      <c r="A237" s="1" t="s">
        <v>83</v>
      </c>
      <c r="B237" s="1" t="s">
        <v>56</v>
      </c>
      <c r="C237" s="1" t="s">
        <v>339</v>
      </c>
      <c r="D237" s="2">
        <v>998</v>
      </c>
      <c r="E237" s="2">
        <v>622</v>
      </c>
      <c r="F237" s="2">
        <f t="shared" si="9"/>
        <v>1620</v>
      </c>
      <c r="G237" s="3">
        <f t="shared" si="10"/>
        <v>0.61604938271604937</v>
      </c>
      <c r="H237" s="3">
        <f t="shared" si="11"/>
        <v>0.38395061728395063</v>
      </c>
      <c r="I237" s="1" t="s">
        <v>532</v>
      </c>
      <c r="J237" s="2">
        <v>1037</v>
      </c>
      <c r="K237" s="2">
        <v>623</v>
      </c>
      <c r="L237" s="2">
        <v>1660</v>
      </c>
      <c r="M237" s="3">
        <v>0.62469879518072291</v>
      </c>
      <c r="N237" s="6">
        <v>-0.86</v>
      </c>
    </row>
    <row r="238" spans="1:14" x14ac:dyDescent="0.2">
      <c r="A238" s="1" t="s">
        <v>83</v>
      </c>
      <c r="B238" s="1" t="s">
        <v>56</v>
      </c>
      <c r="C238" s="1" t="s">
        <v>340</v>
      </c>
      <c r="D238" s="2">
        <v>663</v>
      </c>
      <c r="E238" s="2">
        <v>525</v>
      </c>
      <c r="F238" s="2">
        <f t="shared" si="9"/>
        <v>1188</v>
      </c>
      <c r="G238" s="3">
        <f t="shared" si="10"/>
        <v>0.55808080808080807</v>
      </c>
      <c r="H238" s="3">
        <f t="shared" si="11"/>
        <v>0.44191919191919193</v>
      </c>
      <c r="I238" s="1" t="s">
        <v>532</v>
      </c>
      <c r="J238" s="2">
        <v>681</v>
      </c>
      <c r="K238" s="2">
        <v>513</v>
      </c>
      <c r="L238" s="2">
        <v>1194</v>
      </c>
      <c r="M238" s="3">
        <v>0.57035175879396982</v>
      </c>
      <c r="N238" s="6">
        <v>-1.23</v>
      </c>
    </row>
    <row r="239" spans="1:14" x14ac:dyDescent="0.2">
      <c r="A239" s="1" t="s">
        <v>83</v>
      </c>
      <c r="B239" s="1" t="s">
        <v>56</v>
      </c>
      <c r="C239" s="1" t="s">
        <v>341</v>
      </c>
      <c r="D239" s="2">
        <v>501</v>
      </c>
      <c r="E239" s="2">
        <v>314</v>
      </c>
      <c r="F239" s="2">
        <f t="shared" si="9"/>
        <v>815</v>
      </c>
      <c r="G239" s="3">
        <f t="shared" si="10"/>
        <v>0.6147239263803681</v>
      </c>
      <c r="H239" s="3">
        <f t="shared" si="11"/>
        <v>0.3852760736196319</v>
      </c>
      <c r="I239" s="1" t="s">
        <v>532</v>
      </c>
      <c r="J239" s="2">
        <v>529</v>
      </c>
      <c r="K239" s="2">
        <v>293</v>
      </c>
      <c r="L239" s="2">
        <v>822</v>
      </c>
      <c r="M239" s="3">
        <v>0.64355231143552316</v>
      </c>
      <c r="N239" s="6">
        <v>-2.88</v>
      </c>
    </row>
    <row r="240" spans="1:14" x14ac:dyDescent="0.2">
      <c r="A240" s="1" t="s">
        <v>83</v>
      </c>
      <c r="B240" s="1" t="s">
        <v>56</v>
      </c>
      <c r="C240" s="1" t="s">
        <v>342</v>
      </c>
      <c r="D240" s="2">
        <v>694</v>
      </c>
      <c r="E240" s="2">
        <v>360</v>
      </c>
      <c r="F240" s="2">
        <f t="shared" si="9"/>
        <v>1054</v>
      </c>
      <c r="G240" s="3">
        <f t="shared" si="10"/>
        <v>0.65844402277039848</v>
      </c>
      <c r="H240" s="3">
        <f t="shared" si="11"/>
        <v>0.34155597722960152</v>
      </c>
      <c r="I240" s="1" t="s">
        <v>532</v>
      </c>
      <c r="J240" s="2">
        <v>767</v>
      </c>
      <c r="K240" s="2">
        <v>384</v>
      </c>
      <c r="L240" s="2">
        <v>1151</v>
      </c>
      <c r="M240" s="3">
        <v>0.66637706342311032</v>
      </c>
      <c r="N240" s="6">
        <v>-0.79</v>
      </c>
    </row>
    <row r="241" spans="1:14" x14ac:dyDescent="0.2">
      <c r="A241" s="1" t="s">
        <v>83</v>
      </c>
      <c r="B241" s="1" t="s">
        <v>56</v>
      </c>
      <c r="C241" s="1" t="s">
        <v>343</v>
      </c>
      <c r="D241" s="2">
        <v>886</v>
      </c>
      <c r="E241" s="2">
        <v>606</v>
      </c>
      <c r="F241" s="2">
        <f t="shared" si="9"/>
        <v>1492</v>
      </c>
      <c r="G241" s="3">
        <f t="shared" si="10"/>
        <v>0.59383378016085786</v>
      </c>
      <c r="H241" s="3">
        <f t="shared" si="11"/>
        <v>0.40616621983914208</v>
      </c>
      <c r="I241" s="1" t="s">
        <v>532</v>
      </c>
      <c r="J241" s="2">
        <v>906</v>
      </c>
      <c r="K241" s="2">
        <v>586</v>
      </c>
      <c r="L241" s="2">
        <v>1492</v>
      </c>
      <c r="M241" s="3">
        <v>0.60723860589812328</v>
      </c>
      <c r="N241" s="6">
        <v>-1.34</v>
      </c>
    </row>
    <row r="242" spans="1:14" x14ac:dyDescent="0.2">
      <c r="A242" s="1" t="s">
        <v>83</v>
      </c>
      <c r="B242" s="1" t="s">
        <v>56</v>
      </c>
      <c r="C242" s="1" t="s">
        <v>344</v>
      </c>
      <c r="D242" s="2">
        <v>906</v>
      </c>
      <c r="E242" s="2">
        <v>524</v>
      </c>
      <c r="F242" s="2">
        <f t="shared" si="9"/>
        <v>1430</v>
      </c>
      <c r="G242" s="3">
        <f t="shared" si="10"/>
        <v>0.63356643356643361</v>
      </c>
      <c r="H242" s="3">
        <f t="shared" si="11"/>
        <v>0.36643356643356645</v>
      </c>
      <c r="I242" s="1" t="s">
        <v>532</v>
      </c>
      <c r="J242" s="2">
        <v>954</v>
      </c>
      <c r="K242" s="2">
        <v>416</v>
      </c>
      <c r="L242" s="2">
        <v>1370</v>
      </c>
      <c r="M242" s="3">
        <v>0.69635036496350367</v>
      </c>
      <c r="N242" s="6">
        <v>-6.28</v>
      </c>
    </row>
    <row r="243" spans="1:14" x14ac:dyDescent="0.2">
      <c r="A243" s="1" t="s">
        <v>83</v>
      </c>
      <c r="B243" s="1" t="s">
        <v>56</v>
      </c>
      <c r="C243" s="1" t="s">
        <v>345</v>
      </c>
      <c r="D243" s="2">
        <v>686</v>
      </c>
      <c r="E243" s="2">
        <v>452</v>
      </c>
      <c r="F243" s="2">
        <f t="shared" si="9"/>
        <v>1138</v>
      </c>
      <c r="G243" s="3">
        <f t="shared" si="10"/>
        <v>0.60281195079086114</v>
      </c>
      <c r="H243" s="3">
        <f t="shared" si="11"/>
        <v>0.39718804920913886</v>
      </c>
      <c r="I243" s="1" t="s">
        <v>532</v>
      </c>
      <c r="J243" s="2">
        <v>821</v>
      </c>
      <c r="K243" s="2">
        <v>474</v>
      </c>
      <c r="L243" s="2">
        <v>1295</v>
      </c>
      <c r="M243" s="3">
        <v>0.63397683397683402</v>
      </c>
      <c r="N243" s="6">
        <v>-3.12</v>
      </c>
    </row>
    <row r="244" spans="1:14" x14ac:dyDescent="0.2">
      <c r="A244" s="1" t="s">
        <v>83</v>
      </c>
      <c r="B244" s="1" t="s">
        <v>56</v>
      </c>
      <c r="C244" s="1" t="s">
        <v>346</v>
      </c>
      <c r="D244" s="2">
        <v>298</v>
      </c>
      <c r="E244" s="2">
        <v>134</v>
      </c>
      <c r="F244" s="2">
        <f t="shared" si="9"/>
        <v>432</v>
      </c>
      <c r="G244" s="3">
        <f t="shared" si="10"/>
        <v>0.68981481481481477</v>
      </c>
      <c r="H244" s="3">
        <f t="shared" si="11"/>
        <v>0.31018518518518517</v>
      </c>
      <c r="I244" s="1" t="s">
        <v>532</v>
      </c>
      <c r="J244" s="2">
        <v>283</v>
      </c>
      <c r="K244" s="2">
        <v>110</v>
      </c>
      <c r="L244" s="2">
        <v>393</v>
      </c>
      <c r="M244" s="3">
        <v>0.72010178117048351</v>
      </c>
      <c r="N244" s="6">
        <v>-3.03</v>
      </c>
    </row>
    <row r="245" spans="1:14" x14ac:dyDescent="0.2">
      <c r="A245" s="1" t="s">
        <v>83</v>
      </c>
      <c r="B245" s="1" t="s">
        <v>56</v>
      </c>
      <c r="C245" s="1" t="s">
        <v>347</v>
      </c>
      <c r="D245" s="2">
        <v>466</v>
      </c>
      <c r="E245" s="2">
        <v>150</v>
      </c>
      <c r="F245" s="2">
        <f t="shared" si="9"/>
        <v>616</v>
      </c>
      <c r="G245" s="3">
        <f t="shared" si="10"/>
        <v>0.75649350649350644</v>
      </c>
      <c r="H245" s="3">
        <f t="shared" si="11"/>
        <v>0.2435064935064935</v>
      </c>
      <c r="I245" s="1" t="s">
        <v>532</v>
      </c>
      <c r="J245" s="2">
        <v>450</v>
      </c>
      <c r="K245" s="2">
        <v>179</v>
      </c>
      <c r="L245" s="2">
        <v>629</v>
      </c>
      <c r="M245" s="3">
        <v>0.71542130365659773</v>
      </c>
      <c r="N245" s="6">
        <v>4.1100000000000003</v>
      </c>
    </row>
    <row r="246" spans="1:14" x14ac:dyDescent="0.2">
      <c r="A246" s="1" t="s">
        <v>83</v>
      </c>
      <c r="B246" s="1" t="s">
        <v>56</v>
      </c>
      <c r="C246" s="1" t="s">
        <v>348</v>
      </c>
      <c r="D246" s="2">
        <v>475</v>
      </c>
      <c r="E246" s="2">
        <v>189</v>
      </c>
      <c r="F246" s="2">
        <f t="shared" si="9"/>
        <v>664</v>
      </c>
      <c r="G246" s="3">
        <f t="shared" si="10"/>
        <v>0.71536144578313254</v>
      </c>
      <c r="H246" s="3">
        <f t="shared" si="11"/>
        <v>0.28463855421686746</v>
      </c>
      <c r="I246" s="1" t="s">
        <v>532</v>
      </c>
      <c r="J246" s="2">
        <v>442</v>
      </c>
      <c r="K246" s="2">
        <v>161</v>
      </c>
      <c r="L246" s="2">
        <v>603</v>
      </c>
      <c r="M246" s="3">
        <v>0.7330016583747927</v>
      </c>
      <c r="N246" s="6">
        <v>-1.76</v>
      </c>
    </row>
    <row r="247" spans="1:14" x14ac:dyDescent="0.2">
      <c r="A247" s="1" t="s">
        <v>83</v>
      </c>
      <c r="B247" s="1" t="s">
        <v>56</v>
      </c>
      <c r="C247" s="1" t="s">
        <v>349</v>
      </c>
      <c r="D247" s="2">
        <v>714</v>
      </c>
      <c r="E247" s="2">
        <v>201</v>
      </c>
      <c r="F247" s="2">
        <f t="shared" si="9"/>
        <v>915</v>
      </c>
      <c r="G247" s="3">
        <f t="shared" si="10"/>
        <v>0.78032786885245897</v>
      </c>
      <c r="H247" s="3">
        <f t="shared" si="11"/>
        <v>0.21967213114754097</v>
      </c>
      <c r="I247" s="1" t="s">
        <v>532</v>
      </c>
      <c r="J247" s="2">
        <v>599</v>
      </c>
      <c r="K247" s="2">
        <v>203</v>
      </c>
      <c r="L247" s="2">
        <v>802</v>
      </c>
      <c r="M247" s="3">
        <v>0.74688279301745641</v>
      </c>
      <c r="N247" s="6">
        <v>3.34</v>
      </c>
    </row>
    <row r="248" spans="1:14" x14ac:dyDescent="0.2">
      <c r="A248" s="1" t="s">
        <v>83</v>
      </c>
      <c r="B248" s="1" t="s">
        <v>56</v>
      </c>
      <c r="C248" s="1" t="s">
        <v>350</v>
      </c>
      <c r="D248" s="2">
        <v>1523</v>
      </c>
      <c r="E248" s="2">
        <v>267</v>
      </c>
      <c r="F248" s="2">
        <f t="shared" si="9"/>
        <v>1790</v>
      </c>
      <c r="G248" s="3">
        <f t="shared" si="10"/>
        <v>0.85083798882681561</v>
      </c>
      <c r="H248" s="3">
        <f t="shared" si="11"/>
        <v>0.14916201117318437</v>
      </c>
      <c r="I248" s="1" t="s">
        <v>532</v>
      </c>
      <c r="J248" s="2">
        <v>1506</v>
      </c>
      <c r="K248" s="2">
        <v>338</v>
      </c>
      <c r="L248" s="2">
        <v>1844</v>
      </c>
      <c r="M248" s="3">
        <v>0.81670281995661609</v>
      </c>
      <c r="N248" s="6">
        <v>3.41</v>
      </c>
    </row>
    <row r="249" spans="1:14" x14ac:dyDescent="0.2">
      <c r="A249" s="1" t="s">
        <v>83</v>
      </c>
      <c r="B249" s="1" t="s">
        <v>56</v>
      </c>
      <c r="C249" s="1" t="s">
        <v>351</v>
      </c>
      <c r="D249" s="2">
        <v>795</v>
      </c>
      <c r="E249" s="2">
        <v>245</v>
      </c>
      <c r="F249" s="2">
        <f t="shared" si="9"/>
        <v>1040</v>
      </c>
      <c r="G249" s="3">
        <f t="shared" si="10"/>
        <v>0.76442307692307687</v>
      </c>
      <c r="H249" s="3">
        <f t="shared" si="11"/>
        <v>0.23557692307692307</v>
      </c>
      <c r="I249" s="1" t="s">
        <v>532</v>
      </c>
      <c r="J249" s="2">
        <v>645</v>
      </c>
      <c r="K249" s="2">
        <v>243</v>
      </c>
      <c r="L249" s="2">
        <v>888</v>
      </c>
      <c r="M249" s="3">
        <v>0.72635135135135132</v>
      </c>
      <c r="N249" s="6">
        <v>3.81</v>
      </c>
    </row>
    <row r="250" spans="1:14" x14ac:dyDescent="0.2">
      <c r="A250" s="1" t="s">
        <v>83</v>
      </c>
      <c r="B250" s="1" t="s">
        <v>56</v>
      </c>
      <c r="C250" s="1" t="s">
        <v>352</v>
      </c>
      <c r="D250" s="2">
        <v>705</v>
      </c>
      <c r="E250" s="2">
        <v>261</v>
      </c>
      <c r="F250" s="2">
        <f t="shared" si="9"/>
        <v>966</v>
      </c>
      <c r="G250" s="3">
        <f t="shared" si="10"/>
        <v>0.72981366459627328</v>
      </c>
      <c r="H250" s="3">
        <f t="shared" si="11"/>
        <v>0.27018633540372672</v>
      </c>
      <c r="I250" s="1" t="s">
        <v>532</v>
      </c>
      <c r="J250" s="2">
        <v>628</v>
      </c>
      <c r="K250" s="2">
        <v>267</v>
      </c>
      <c r="L250" s="2">
        <v>895</v>
      </c>
      <c r="M250" s="3">
        <v>0.70167597765363132</v>
      </c>
      <c r="N250" s="6">
        <v>2.81</v>
      </c>
    </row>
    <row r="251" spans="1:14" x14ac:dyDescent="0.2">
      <c r="A251" s="1" t="s">
        <v>83</v>
      </c>
      <c r="B251" s="1" t="s">
        <v>56</v>
      </c>
      <c r="C251" s="1" t="s">
        <v>353</v>
      </c>
      <c r="D251" s="2">
        <v>371</v>
      </c>
      <c r="E251" s="2">
        <v>157</v>
      </c>
      <c r="F251" s="2">
        <f t="shared" si="9"/>
        <v>528</v>
      </c>
      <c r="G251" s="3">
        <f t="shared" si="10"/>
        <v>0.70265151515151514</v>
      </c>
      <c r="H251" s="3">
        <f t="shared" si="11"/>
        <v>0.29734848484848486</v>
      </c>
      <c r="I251" s="1" t="s">
        <v>532</v>
      </c>
      <c r="J251" s="2">
        <v>473</v>
      </c>
      <c r="K251" s="2">
        <v>153</v>
      </c>
      <c r="L251" s="2">
        <v>626</v>
      </c>
      <c r="M251" s="3">
        <v>0.75559105431309903</v>
      </c>
      <c r="N251" s="6">
        <v>-5.29</v>
      </c>
    </row>
    <row r="252" spans="1:14" x14ac:dyDescent="0.2">
      <c r="A252" s="1" t="s">
        <v>83</v>
      </c>
      <c r="B252" s="1" t="s">
        <v>56</v>
      </c>
      <c r="C252" s="1" t="s">
        <v>354</v>
      </c>
      <c r="D252" s="2">
        <v>661</v>
      </c>
      <c r="E252" s="2">
        <v>274</v>
      </c>
      <c r="F252" s="2">
        <f t="shared" si="9"/>
        <v>935</v>
      </c>
      <c r="G252" s="3">
        <f t="shared" si="10"/>
        <v>0.70695187165775397</v>
      </c>
      <c r="H252" s="3">
        <f t="shared" si="11"/>
        <v>0.29304812834224597</v>
      </c>
      <c r="I252" s="1" t="s">
        <v>532</v>
      </c>
      <c r="J252" s="2">
        <v>745</v>
      </c>
      <c r="K252" s="2">
        <v>301</v>
      </c>
      <c r="L252" s="2">
        <v>1046</v>
      </c>
      <c r="M252" s="3">
        <v>0.71223709369024857</v>
      </c>
      <c r="N252" s="6">
        <v>-0.53</v>
      </c>
    </row>
    <row r="253" spans="1:14" x14ac:dyDescent="0.2">
      <c r="A253" s="1" t="s">
        <v>83</v>
      </c>
      <c r="B253" s="1" t="s">
        <v>56</v>
      </c>
      <c r="C253" s="1" t="s">
        <v>355</v>
      </c>
      <c r="D253" s="2">
        <v>658</v>
      </c>
      <c r="E253" s="2">
        <v>297</v>
      </c>
      <c r="F253" s="2">
        <f t="shared" si="9"/>
        <v>955</v>
      </c>
      <c r="G253" s="3">
        <f t="shared" si="10"/>
        <v>0.68900523560209426</v>
      </c>
      <c r="H253" s="3">
        <f t="shared" si="11"/>
        <v>0.31099476439790574</v>
      </c>
      <c r="I253" s="1" t="s">
        <v>532</v>
      </c>
      <c r="J253" s="2">
        <v>682</v>
      </c>
      <c r="K253" s="2">
        <v>313</v>
      </c>
      <c r="L253" s="2">
        <v>995</v>
      </c>
      <c r="M253" s="3">
        <v>0.68542713567839197</v>
      </c>
      <c r="N253" s="6">
        <v>0.36</v>
      </c>
    </row>
    <row r="254" spans="1:14" x14ac:dyDescent="0.2">
      <c r="A254" s="1" t="s">
        <v>83</v>
      </c>
      <c r="B254" s="1" t="s">
        <v>56</v>
      </c>
      <c r="C254" s="1" t="s">
        <v>356</v>
      </c>
      <c r="D254" s="2">
        <v>685</v>
      </c>
      <c r="E254" s="2">
        <v>313</v>
      </c>
      <c r="F254" s="2">
        <f t="shared" si="9"/>
        <v>998</v>
      </c>
      <c r="G254" s="3">
        <f t="shared" si="10"/>
        <v>0.68637274549098193</v>
      </c>
      <c r="H254" s="3">
        <f t="shared" si="11"/>
        <v>0.31362725450901802</v>
      </c>
      <c r="I254" s="1" t="s">
        <v>532</v>
      </c>
      <c r="J254" s="2">
        <v>711</v>
      </c>
      <c r="K254" s="2">
        <v>341</v>
      </c>
      <c r="L254" s="2">
        <v>1052</v>
      </c>
      <c r="M254" s="3">
        <v>0.67585551330798477</v>
      </c>
      <c r="N254" s="6">
        <v>1.05</v>
      </c>
    </row>
    <row r="255" spans="1:14" x14ac:dyDescent="0.2">
      <c r="A255" s="1" t="s">
        <v>83</v>
      </c>
      <c r="B255" s="1" t="s">
        <v>56</v>
      </c>
      <c r="C255" s="1" t="s">
        <v>357</v>
      </c>
      <c r="D255" s="2">
        <v>684</v>
      </c>
      <c r="E255" s="2">
        <v>312</v>
      </c>
      <c r="F255" s="2">
        <f t="shared" si="9"/>
        <v>996</v>
      </c>
      <c r="G255" s="3">
        <f t="shared" si="10"/>
        <v>0.68674698795180722</v>
      </c>
      <c r="H255" s="3">
        <f t="shared" si="11"/>
        <v>0.31325301204819278</v>
      </c>
      <c r="I255" s="1" t="s">
        <v>532</v>
      </c>
      <c r="J255" s="2">
        <v>718</v>
      </c>
      <c r="K255" s="2">
        <v>347</v>
      </c>
      <c r="L255" s="2">
        <v>1065</v>
      </c>
      <c r="M255" s="3">
        <v>0.67417840375586857</v>
      </c>
      <c r="N255" s="6">
        <v>1.26</v>
      </c>
    </row>
    <row r="256" spans="1:14" x14ac:dyDescent="0.2">
      <c r="A256" s="1" t="s">
        <v>83</v>
      </c>
      <c r="B256" s="1" t="s">
        <v>87</v>
      </c>
      <c r="C256" s="1" t="s">
        <v>358</v>
      </c>
      <c r="D256" s="2">
        <v>425</v>
      </c>
      <c r="E256" s="2">
        <v>437</v>
      </c>
      <c r="F256" s="2">
        <f t="shared" si="9"/>
        <v>862</v>
      </c>
      <c r="G256" s="3">
        <f t="shared" si="10"/>
        <v>0.49303944315545245</v>
      </c>
      <c r="H256" s="3">
        <f t="shared" si="11"/>
        <v>0.50696055684454755</v>
      </c>
      <c r="I256" s="1" t="s">
        <v>532</v>
      </c>
      <c r="J256" s="2">
        <v>466</v>
      </c>
      <c r="K256" s="2">
        <v>405</v>
      </c>
      <c r="L256" s="2">
        <v>871</v>
      </c>
      <c r="M256" s="3">
        <v>0.5350172215843858</v>
      </c>
      <c r="N256" s="6">
        <v>-4.2</v>
      </c>
    </row>
    <row r="257" spans="1:14" x14ac:dyDescent="0.2">
      <c r="A257" s="1" t="s">
        <v>83</v>
      </c>
      <c r="B257" s="1" t="s">
        <v>87</v>
      </c>
      <c r="C257" s="1" t="s">
        <v>359</v>
      </c>
      <c r="D257" s="2">
        <v>539</v>
      </c>
      <c r="E257" s="2">
        <v>542</v>
      </c>
      <c r="F257" s="2">
        <f t="shared" si="9"/>
        <v>1081</v>
      </c>
      <c r="G257" s="3">
        <f t="shared" si="10"/>
        <v>0.49861239592969475</v>
      </c>
      <c r="H257" s="3">
        <f t="shared" si="11"/>
        <v>0.50138760407030525</v>
      </c>
      <c r="I257" s="1" t="s">
        <v>532</v>
      </c>
      <c r="J257" s="2">
        <v>552</v>
      </c>
      <c r="K257" s="2">
        <v>506</v>
      </c>
      <c r="L257" s="2">
        <v>1058</v>
      </c>
      <c r="M257" s="3">
        <v>0.52173913043478259</v>
      </c>
      <c r="N257" s="6">
        <v>-2.31</v>
      </c>
    </row>
    <row r="258" spans="1:14" x14ac:dyDescent="0.2">
      <c r="A258" s="1" t="s">
        <v>83</v>
      </c>
      <c r="B258" s="1" t="s">
        <v>87</v>
      </c>
      <c r="C258" s="1" t="s">
        <v>360</v>
      </c>
      <c r="D258" s="2">
        <v>639</v>
      </c>
      <c r="E258" s="2">
        <v>578</v>
      </c>
      <c r="F258" s="2">
        <f t="shared" si="9"/>
        <v>1217</v>
      </c>
      <c r="G258" s="3">
        <f t="shared" si="10"/>
        <v>0.52506162695152014</v>
      </c>
      <c r="H258" s="3">
        <f t="shared" si="11"/>
        <v>0.47493837304847986</v>
      </c>
      <c r="I258" s="1" t="s">
        <v>532</v>
      </c>
      <c r="J258" s="2">
        <v>722</v>
      </c>
      <c r="K258" s="2">
        <v>596</v>
      </c>
      <c r="L258" s="2">
        <v>1318</v>
      </c>
      <c r="M258" s="3">
        <v>0.54779969650986338</v>
      </c>
      <c r="N258" s="6">
        <v>-2.27</v>
      </c>
    </row>
    <row r="259" spans="1:14" x14ac:dyDescent="0.2">
      <c r="A259" s="1" t="s">
        <v>83</v>
      </c>
      <c r="B259" s="1" t="s">
        <v>87</v>
      </c>
      <c r="C259" s="1" t="s">
        <v>361</v>
      </c>
      <c r="D259" s="2">
        <v>320</v>
      </c>
      <c r="E259" s="2">
        <v>383</v>
      </c>
      <c r="F259" s="2">
        <f t="shared" si="9"/>
        <v>703</v>
      </c>
      <c r="G259" s="3">
        <f t="shared" si="10"/>
        <v>0.45519203413940257</v>
      </c>
      <c r="H259" s="3">
        <f t="shared" si="11"/>
        <v>0.54480796586059743</v>
      </c>
      <c r="I259" s="1" t="s">
        <v>532</v>
      </c>
      <c r="J259" s="2">
        <v>339</v>
      </c>
      <c r="K259" s="2">
        <v>338</v>
      </c>
      <c r="L259" s="2">
        <v>677</v>
      </c>
      <c r="M259" s="3">
        <v>0.50073855243722309</v>
      </c>
      <c r="N259" s="6">
        <v>-4.55</v>
      </c>
    </row>
    <row r="260" spans="1:14" x14ac:dyDescent="0.2">
      <c r="A260" s="1" t="s">
        <v>83</v>
      </c>
      <c r="B260" s="1" t="s">
        <v>87</v>
      </c>
      <c r="C260" s="1" t="s">
        <v>362</v>
      </c>
      <c r="D260" s="2">
        <v>556</v>
      </c>
      <c r="E260" s="2">
        <v>499</v>
      </c>
      <c r="F260" s="2">
        <f t="shared" si="9"/>
        <v>1055</v>
      </c>
      <c r="G260" s="3">
        <f t="shared" si="10"/>
        <v>0.52701421800947867</v>
      </c>
      <c r="H260" s="3">
        <f t="shared" si="11"/>
        <v>0.47298578199052133</v>
      </c>
      <c r="I260" s="1" t="s">
        <v>532</v>
      </c>
      <c r="J260" s="2">
        <v>579</v>
      </c>
      <c r="K260" s="2">
        <v>482</v>
      </c>
      <c r="L260" s="2">
        <v>1061</v>
      </c>
      <c r="M260" s="3">
        <v>0.54571159283694626</v>
      </c>
      <c r="N260" s="6">
        <v>-1.87</v>
      </c>
    </row>
    <row r="261" spans="1:14" x14ac:dyDescent="0.2">
      <c r="A261" s="1" t="s">
        <v>83</v>
      </c>
      <c r="B261" s="1" t="s">
        <v>87</v>
      </c>
      <c r="C261" s="1" t="s">
        <v>363</v>
      </c>
      <c r="D261" s="2">
        <v>531</v>
      </c>
      <c r="E261" s="2">
        <v>531</v>
      </c>
      <c r="F261" s="2">
        <f t="shared" si="9"/>
        <v>1062</v>
      </c>
      <c r="G261" s="3">
        <f t="shared" si="10"/>
        <v>0.5</v>
      </c>
      <c r="H261" s="3">
        <f t="shared" si="11"/>
        <v>0.5</v>
      </c>
      <c r="I261" s="1" t="s">
        <v>532</v>
      </c>
      <c r="J261" s="2">
        <v>562</v>
      </c>
      <c r="K261" s="2">
        <v>525</v>
      </c>
      <c r="L261" s="2">
        <v>1087</v>
      </c>
      <c r="M261" s="3">
        <v>0.51701931922723088</v>
      </c>
      <c r="N261" s="6">
        <v>-1.7</v>
      </c>
    </row>
    <row r="262" spans="1:14" x14ac:dyDescent="0.2">
      <c r="A262" s="1" t="s">
        <v>83</v>
      </c>
      <c r="B262" s="1" t="s">
        <v>87</v>
      </c>
      <c r="C262" s="1" t="s">
        <v>364</v>
      </c>
      <c r="D262" s="2">
        <v>329</v>
      </c>
      <c r="E262" s="2">
        <v>306</v>
      </c>
      <c r="F262" s="2">
        <f t="shared" si="9"/>
        <v>635</v>
      </c>
      <c r="G262" s="3">
        <f t="shared" si="10"/>
        <v>0.51811023622047248</v>
      </c>
      <c r="H262" s="3">
        <f t="shared" si="11"/>
        <v>0.48188976377952758</v>
      </c>
      <c r="I262" s="1" t="s">
        <v>532</v>
      </c>
      <c r="J262" s="2">
        <v>337</v>
      </c>
      <c r="K262" s="2">
        <v>296</v>
      </c>
      <c r="L262" s="2">
        <v>633</v>
      </c>
      <c r="M262" s="3">
        <v>0.53238546603475512</v>
      </c>
      <c r="N262" s="6">
        <v>-1.43</v>
      </c>
    </row>
    <row r="263" spans="1:14" x14ac:dyDescent="0.2">
      <c r="A263" s="1" t="s">
        <v>83</v>
      </c>
      <c r="B263" s="1" t="s">
        <v>87</v>
      </c>
      <c r="C263" s="1" t="s">
        <v>365</v>
      </c>
      <c r="D263" s="2">
        <v>473</v>
      </c>
      <c r="E263" s="2">
        <v>381</v>
      </c>
      <c r="F263" s="2">
        <f t="shared" si="9"/>
        <v>854</v>
      </c>
      <c r="G263" s="3">
        <f t="shared" si="10"/>
        <v>0.55386416861826693</v>
      </c>
      <c r="H263" s="3">
        <f t="shared" si="11"/>
        <v>0.44613583138173302</v>
      </c>
      <c r="I263" s="1" t="s">
        <v>532</v>
      </c>
      <c r="J263" s="2">
        <v>517</v>
      </c>
      <c r="K263" s="2">
        <v>388</v>
      </c>
      <c r="L263" s="2">
        <v>905</v>
      </c>
      <c r="M263" s="3">
        <v>0.57127071823204423</v>
      </c>
      <c r="N263" s="6">
        <v>-1.74</v>
      </c>
    </row>
    <row r="264" spans="1:14" x14ac:dyDescent="0.2">
      <c r="A264" s="1" t="s">
        <v>83</v>
      </c>
      <c r="B264" s="1" t="s">
        <v>87</v>
      </c>
      <c r="C264" s="1" t="s">
        <v>366</v>
      </c>
      <c r="D264" s="2">
        <v>304</v>
      </c>
      <c r="E264" s="2">
        <v>246</v>
      </c>
      <c r="F264" s="2">
        <f t="shared" si="9"/>
        <v>550</v>
      </c>
      <c r="G264" s="3">
        <f t="shared" si="10"/>
        <v>0.55272727272727273</v>
      </c>
      <c r="H264" s="3">
        <f t="shared" si="11"/>
        <v>0.44727272727272727</v>
      </c>
      <c r="I264" s="1" t="s">
        <v>532</v>
      </c>
      <c r="J264" s="2">
        <v>329</v>
      </c>
      <c r="K264" s="2">
        <v>217</v>
      </c>
      <c r="L264" s="2">
        <v>546</v>
      </c>
      <c r="M264" s="3">
        <v>0.60256410256410253</v>
      </c>
      <c r="N264" s="6">
        <v>-4.9800000000000004</v>
      </c>
    </row>
    <row r="265" spans="1:14" x14ac:dyDescent="0.2">
      <c r="A265" s="1" t="s">
        <v>83</v>
      </c>
      <c r="B265" s="1" t="s">
        <v>87</v>
      </c>
      <c r="C265" s="1" t="s">
        <v>367</v>
      </c>
      <c r="D265" s="2">
        <v>306</v>
      </c>
      <c r="E265" s="2">
        <v>358</v>
      </c>
      <c r="F265" s="2">
        <f t="shared" si="9"/>
        <v>664</v>
      </c>
      <c r="G265" s="3">
        <f t="shared" si="10"/>
        <v>0.46084337349397592</v>
      </c>
      <c r="H265" s="3">
        <f t="shared" si="11"/>
        <v>0.53915662650602414</v>
      </c>
      <c r="I265" s="1" t="s">
        <v>532</v>
      </c>
      <c r="J265" s="2">
        <v>352</v>
      </c>
      <c r="K265" s="2">
        <v>326</v>
      </c>
      <c r="L265" s="2">
        <v>678</v>
      </c>
      <c r="M265" s="3">
        <v>0.5191740412979351</v>
      </c>
      <c r="N265" s="6">
        <v>-5.83</v>
      </c>
    </row>
    <row r="266" spans="1:14" x14ac:dyDescent="0.2">
      <c r="A266" s="1" t="s">
        <v>83</v>
      </c>
      <c r="B266" s="1" t="s">
        <v>87</v>
      </c>
      <c r="C266" s="1" t="s">
        <v>368</v>
      </c>
      <c r="D266" s="2">
        <v>413</v>
      </c>
      <c r="E266" s="2">
        <v>398</v>
      </c>
      <c r="F266" s="2">
        <f t="shared" si="9"/>
        <v>811</v>
      </c>
      <c r="G266" s="3">
        <f t="shared" si="10"/>
        <v>0.50924784217016028</v>
      </c>
      <c r="H266" s="3">
        <f t="shared" si="11"/>
        <v>0.49075215782983972</v>
      </c>
      <c r="I266" s="1" t="s">
        <v>532</v>
      </c>
      <c r="J266" s="2">
        <v>420</v>
      </c>
      <c r="K266" s="2">
        <v>378</v>
      </c>
      <c r="L266" s="2">
        <v>798</v>
      </c>
      <c r="M266" s="3">
        <v>0.52631578947368418</v>
      </c>
      <c r="N266" s="6">
        <v>-1.71</v>
      </c>
    </row>
    <row r="267" spans="1:14" x14ac:dyDescent="0.2">
      <c r="A267" s="1" t="s">
        <v>83</v>
      </c>
      <c r="B267" s="1" t="s">
        <v>87</v>
      </c>
      <c r="C267" s="1" t="s">
        <v>369</v>
      </c>
      <c r="D267" s="2">
        <v>494</v>
      </c>
      <c r="E267" s="2">
        <v>448</v>
      </c>
      <c r="F267" s="2">
        <f t="shared" si="9"/>
        <v>942</v>
      </c>
      <c r="G267" s="3">
        <f t="shared" si="10"/>
        <v>0.52441613588110403</v>
      </c>
      <c r="H267" s="3">
        <f t="shared" si="11"/>
        <v>0.47558386411889597</v>
      </c>
      <c r="I267" s="1" t="s">
        <v>532</v>
      </c>
      <c r="J267" s="2">
        <v>522</v>
      </c>
      <c r="K267" s="2">
        <v>400</v>
      </c>
      <c r="L267" s="2">
        <v>922</v>
      </c>
      <c r="M267" s="3">
        <v>0.56616052060737532</v>
      </c>
      <c r="N267" s="6">
        <v>-4.17</v>
      </c>
    </row>
    <row r="268" spans="1:14" x14ac:dyDescent="0.2">
      <c r="A268" s="1" t="s">
        <v>83</v>
      </c>
      <c r="B268" s="1" t="s">
        <v>87</v>
      </c>
      <c r="C268" s="1" t="s">
        <v>370</v>
      </c>
      <c r="D268" s="2">
        <v>430</v>
      </c>
      <c r="E268" s="2">
        <v>479</v>
      </c>
      <c r="F268" s="2">
        <f t="shared" ref="F268:F331" si="12">IF(COUNTA(D268:E268)=0,"",SUM(D268:E268))</f>
        <v>909</v>
      </c>
      <c r="G268" s="3">
        <f t="shared" ref="G268:G331" si="13">IF(OR(F268="",F268=0),"",D268/F268)</f>
        <v>0.47304730473047307</v>
      </c>
      <c r="H268" s="3">
        <f t="shared" ref="H268:H331" si="14">IF(OR(F268="",F268=0),"",E268/F268)</f>
        <v>0.52695269526952693</v>
      </c>
      <c r="I268" s="1" t="s">
        <v>532</v>
      </c>
      <c r="J268" s="2">
        <v>436</v>
      </c>
      <c r="K268" s="2">
        <v>423</v>
      </c>
      <c r="L268" s="2">
        <v>859</v>
      </c>
      <c r="M268" s="3">
        <v>0.50756693830034927</v>
      </c>
      <c r="N268" s="6">
        <v>-3.45</v>
      </c>
    </row>
    <row r="269" spans="1:14" x14ac:dyDescent="0.2">
      <c r="A269" s="1" t="s">
        <v>83</v>
      </c>
      <c r="B269" s="1" t="s">
        <v>87</v>
      </c>
      <c r="C269" s="1" t="s">
        <v>371</v>
      </c>
      <c r="D269" s="2">
        <v>820</v>
      </c>
      <c r="E269" s="2">
        <v>728</v>
      </c>
      <c r="F269" s="2">
        <f t="shared" si="12"/>
        <v>1548</v>
      </c>
      <c r="G269" s="3">
        <f t="shared" si="13"/>
        <v>0.52971576227390182</v>
      </c>
      <c r="H269" s="3">
        <f t="shared" si="14"/>
        <v>0.47028423772609818</v>
      </c>
      <c r="I269" s="1" t="s">
        <v>532</v>
      </c>
      <c r="J269" s="2">
        <v>925</v>
      </c>
      <c r="K269" s="2">
        <v>710</v>
      </c>
      <c r="L269" s="2">
        <v>1635</v>
      </c>
      <c r="M269" s="3">
        <v>0.56574923547400613</v>
      </c>
      <c r="N269" s="6">
        <v>-3.6</v>
      </c>
    </row>
    <row r="270" spans="1:14" x14ac:dyDescent="0.2">
      <c r="A270" s="1" t="s">
        <v>83</v>
      </c>
      <c r="B270" s="1" t="s">
        <v>87</v>
      </c>
      <c r="C270" s="1" t="s">
        <v>372</v>
      </c>
      <c r="D270" s="2">
        <v>492</v>
      </c>
      <c r="E270" s="2">
        <v>559</v>
      </c>
      <c r="F270" s="2">
        <f t="shared" si="12"/>
        <v>1051</v>
      </c>
      <c r="G270" s="3">
        <f t="shared" si="13"/>
        <v>0.4681255946717412</v>
      </c>
      <c r="H270" s="3">
        <f t="shared" si="14"/>
        <v>0.5318744053282588</v>
      </c>
      <c r="I270" s="1" t="s">
        <v>532</v>
      </c>
      <c r="J270" s="2">
        <v>535</v>
      </c>
      <c r="K270" s="2">
        <v>514</v>
      </c>
      <c r="L270" s="2">
        <v>1049</v>
      </c>
      <c r="M270" s="3">
        <v>0.51000953288846518</v>
      </c>
      <c r="N270" s="6">
        <v>-4.1900000000000004</v>
      </c>
    </row>
    <row r="271" spans="1:14" x14ac:dyDescent="0.2">
      <c r="A271" s="1" t="s">
        <v>83</v>
      </c>
      <c r="B271" s="1" t="s">
        <v>87</v>
      </c>
      <c r="C271" s="1" t="s">
        <v>373</v>
      </c>
      <c r="D271" s="2">
        <v>458</v>
      </c>
      <c r="E271" s="2">
        <v>532</v>
      </c>
      <c r="F271" s="2">
        <f t="shared" si="12"/>
        <v>990</v>
      </c>
      <c r="G271" s="3">
        <f t="shared" si="13"/>
        <v>0.46262626262626261</v>
      </c>
      <c r="H271" s="3">
        <f t="shared" si="14"/>
        <v>0.53737373737373739</v>
      </c>
      <c r="I271" s="1" t="s">
        <v>532</v>
      </c>
      <c r="J271" s="2">
        <v>499</v>
      </c>
      <c r="K271" s="2">
        <v>468</v>
      </c>
      <c r="L271" s="2">
        <v>967</v>
      </c>
      <c r="M271" s="3">
        <v>0.516028955532575</v>
      </c>
      <c r="N271" s="6">
        <v>-5.34</v>
      </c>
    </row>
    <row r="272" spans="1:14" x14ac:dyDescent="0.2">
      <c r="A272" s="1" t="s">
        <v>83</v>
      </c>
      <c r="B272" s="1" t="s">
        <v>87</v>
      </c>
      <c r="C272" s="1" t="s">
        <v>374</v>
      </c>
      <c r="D272" s="2">
        <v>497</v>
      </c>
      <c r="E272" s="2">
        <v>502</v>
      </c>
      <c r="F272" s="2">
        <f t="shared" si="12"/>
        <v>999</v>
      </c>
      <c r="G272" s="3">
        <f t="shared" si="13"/>
        <v>0.4974974974974975</v>
      </c>
      <c r="H272" s="3">
        <f t="shared" si="14"/>
        <v>0.5025025025025025</v>
      </c>
      <c r="I272" s="1" t="s">
        <v>532</v>
      </c>
      <c r="J272" s="2">
        <v>503</v>
      </c>
      <c r="K272" s="2">
        <v>468</v>
      </c>
      <c r="L272" s="2">
        <v>971</v>
      </c>
      <c r="M272" s="3">
        <v>0.51802265705458295</v>
      </c>
      <c r="N272" s="6">
        <v>-2.0499999999999998</v>
      </c>
    </row>
    <row r="273" spans="1:14" x14ac:dyDescent="0.2">
      <c r="A273" s="1" t="s">
        <v>83</v>
      </c>
      <c r="B273" s="1" t="s">
        <v>88</v>
      </c>
      <c r="C273" s="1" t="s">
        <v>375</v>
      </c>
      <c r="D273" s="2">
        <v>850</v>
      </c>
      <c r="E273" s="2">
        <v>1545</v>
      </c>
      <c r="F273" s="2">
        <f t="shared" si="12"/>
        <v>2395</v>
      </c>
      <c r="G273" s="3">
        <f t="shared" si="13"/>
        <v>0.35490605427974947</v>
      </c>
      <c r="H273" s="3">
        <f t="shared" si="14"/>
        <v>0.64509394572025047</v>
      </c>
      <c r="I273" s="1" t="s">
        <v>532</v>
      </c>
      <c r="J273" s="2">
        <v>939</v>
      </c>
      <c r="K273" s="2">
        <v>1452</v>
      </c>
      <c r="L273" s="2">
        <v>2391</v>
      </c>
      <c r="M273" s="3">
        <v>0.39272271016311172</v>
      </c>
      <c r="N273" s="6">
        <v>-3.78</v>
      </c>
    </row>
    <row r="274" spans="1:14" x14ac:dyDescent="0.2">
      <c r="A274" s="1" t="s">
        <v>83</v>
      </c>
      <c r="B274" s="1" t="s">
        <v>88</v>
      </c>
      <c r="C274" s="1" t="s">
        <v>376</v>
      </c>
      <c r="D274" s="2">
        <v>785</v>
      </c>
      <c r="E274" s="2">
        <v>1225</v>
      </c>
      <c r="F274" s="2">
        <f t="shared" si="12"/>
        <v>2010</v>
      </c>
      <c r="G274" s="3">
        <f t="shared" si="13"/>
        <v>0.39054726368159204</v>
      </c>
      <c r="H274" s="3">
        <f t="shared" si="14"/>
        <v>0.60945273631840791</v>
      </c>
      <c r="I274" s="1" t="s">
        <v>532</v>
      </c>
      <c r="J274" s="2">
        <v>820</v>
      </c>
      <c r="K274" s="2">
        <v>1185</v>
      </c>
      <c r="L274" s="2">
        <v>2005</v>
      </c>
      <c r="M274" s="3">
        <v>0.40897755610972569</v>
      </c>
      <c r="N274" s="6">
        <v>-1.84</v>
      </c>
    </row>
    <row r="275" spans="1:14" x14ac:dyDescent="0.2">
      <c r="A275" s="1" t="s">
        <v>83</v>
      </c>
      <c r="B275" s="1" t="s">
        <v>88</v>
      </c>
      <c r="C275" s="1" t="s">
        <v>377</v>
      </c>
      <c r="D275" s="2">
        <v>373</v>
      </c>
      <c r="E275" s="2">
        <v>838</v>
      </c>
      <c r="F275" s="2">
        <f t="shared" si="12"/>
        <v>1211</v>
      </c>
      <c r="G275" s="3">
        <f t="shared" si="13"/>
        <v>0.30800990916597853</v>
      </c>
      <c r="H275" s="3">
        <f t="shared" si="14"/>
        <v>0.69199009083402152</v>
      </c>
      <c r="I275" s="1" t="s">
        <v>532</v>
      </c>
      <c r="J275" s="2">
        <v>410</v>
      </c>
      <c r="K275" s="2">
        <v>822</v>
      </c>
      <c r="L275" s="2">
        <v>1232</v>
      </c>
      <c r="M275" s="3">
        <v>0.33279220779220781</v>
      </c>
      <c r="N275" s="6">
        <v>-2.48</v>
      </c>
    </row>
    <row r="276" spans="1:14" x14ac:dyDescent="0.2">
      <c r="A276" s="1" t="s">
        <v>83</v>
      </c>
      <c r="B276" s="1" t="s">
        <v>89</v>
      </c>
      <c r="C276" s="1" t="s">
        <v>89</v>
      </c>
      <c r="D276" s="2">
        <v>39</v>
      </c>
      <c r="E276" s="2">
        <v>82</v>
      </c>
      <c r="F276" s="2">
        <f t="shared" si="12"/>
        <v>121</v>
      </c>
      <c r="G276" s="3">
        <f t="shared" si="13"/>
        <v>0.32231404958677684</v>
      </c>
      <c r="H276" s="3">
        <f t="shared" si="14"/>
        <v>0.6776859504132231</v>
      </c>
      <c r="I276" s="1" t="s">
        <v>532</v>
      </c>
      <c r="J276" s="2">
        <v>40</v>
      </c>
      <c r="K276" s="2">
        <v>83</v>
      </c>
      <c r="L276" s="2">
        <v>123</v>
      </c>
      <c r="M276" s="3">
        <v>0.32520325203252032</v>
      </c>
      <c r="N276" s="6">
        <v>-0.28999999999999998</v>
      </c>
    </row>
    <row r="277" spans="1:14" x14ac:dyDescent="0.2">
      <c r="A277" s="1" t="s">
        <v>83</v>
      </c>
      <c r="B277" s="1" t="s">
        <v>90</v>
      </c>
      <c r="C277" s="1" t="s">
        <v>378</v>
      </c>
      <c r="D277" s="2">
        <v>678</v>
      </c>
      <c r="E277" s="2">
        <v>1038</v>
      </c>
      <c r="F277" s="2">
        <f t="shared" si="12"/>
        <v>1716</v>
      </c>
      <c r="G277" s="3">
        <f t="shared" si="13"/>
        <v>0.3951048951048951</v>
      </c>
      <c r="H277" s="3">
        <f t="shared" si="14"/>
        <v>0.6048951048951049</v>
      </c>
      <c r="I277" s="1" t="s">
        <v>532</v>
      </c>
      <c r="J277" s="2">
        <v>774</v>
      </c>
      <c r="K277" s="2">
        <v>1032</v>
      </c>
      <c r="L277" s="2">
        <v>1806</v>
      </c>
      <c r="M277" s="3">
        <v>0.42857142857142849</v>
      </c>
      <c r="N277" s="6">
        <v>-3.35</v>
      </c>
    </row>
    <row r="278" spans="1:14" x14ac:dyDescent="0.2">
      <c r="A278" s="1" t="s">
        <v>83</v>
      </c>
      <c r="B278" s="1" t="s">
        <v>90</v>
      </c>
      <c r="C278" s="1" t="s">
        <v>379</v>
      </c>
      <c r="D278" s="2">
        <v>687</v>
      </c>
      <c r="E278" s="2">
        <v>965</v>
      </c>
      <c r="F278" s="2">
        <f t="shared" si="12"/>
        <v>1652</v>
      </c>
      <c r="G278" s="3">
        <f t="shared" si="13"/>
        <v>0.41585956416464892</v>
      </c>
      <c r="H278" s="3">
        <f t="shared" si="14"/>
        <v>0.58414043583535114</v>
      </c>
      <c r="I278" s="1" t="s">
        <v>532</v>
      </c>
      <c r="J278" s="2">
        <v>710</v>
      </c>
      <c r="K278" s="2">
        <v>927</v>
      </c>
      <c r="L278" s="2">
        <v>1637</v>
      </c>
      <c r="M278" s="3">
        <v>0.43372021991447768</v>
      </c>
      <c r="N278" s="6">
        <v>-1.79</v>
      </c>
    </row>
    <row r="279" spans="1:14" x14ac:dyDescent="0.2">
      <c r="A279" s="1" t="s">
        <v>83</v>
      </c>
      <c r="B279" s="1" t="s">
        <v>91</v>
      </c>
      <c r="C279" s="1" t="s">
        <v>91</v>
      </c>
      <c r="D279" s="2">
        <v>183</v>
      </c>
      <c r="E279" s="2">
        <v>328</v>
      </c>
      <c r="F279" s="2">
        <f t="shared" si="12"/>
        <v>511</v>
      </c>
      <c r="G279" s="3">
        <f t="shared" si="13"/>
        <v>0.35812133072407043</v>
      </c>
      <c r="H279" s="3">
        <f t="shared" si="14"/>
        <v>0.64187866927592951</v>
      </c>
      <c r="I279" s="1" t="s">
        <v>532</v>
      </c>
      <c r="J279" s="2">
        <v>217</v>
      </c>
      <c r="K279" s="2">
        <v>309</v>
      </c>
      <c r="L279" s="2">
        <v>526</v>
      </c>
      <c r="M279" s="3">
        <v>0.41254752851711018</v>
      </c>
      <c r="N279" s="6">
        <v>-5.44</v>
      </c>
    </row>
    <row r="280" spans="1:14" x14ac:dyDescent="0.2">
      <c r="A280" s="1" t="s">
        <v>83</v>
      </c>
      <c r="B280" s="1" t="s">
        <v>92</v>
      </c>
      <c r="C280" s="1" t="s">
        <v>380</v>
      </c>
      <c r="D280" s="2">
        <v>670</v>
      </c>
      <c r="E280" s="2">
        <v>360</v>
      </c>
      <c r="F280" s="2">
        <f t="shared" si="12"/>
        <v>1030</v>
      </c>
      <c r="G280" s="3">
        <f t="shared" si="13"/>
        <v>0.65048543689320393</v>
      </c>
      <c r="H280" s="3">
        <f t="shared" si="14"/>
        <v>0.34951456310679613</v>
      </c>
      <c r="I280" s="1" t="s">
        <v>532</v>
      </c>
      <c r="J280" s="2">
        <v>738</v>
      </c>
      <c r="K280" s="2">
        <v>384</v>
      </c>
      <c r="L280" s="2">
        <v>1122</v>
      </c>
      <c r="M280" s="3">
        <v>0.65775401069518713</v>
      </c>
      <c r="N280" s="6">
        <v>-0.73</v>
      </c>
    </row>
    <row r="281" spans="1:14" x14ac:dyDescent="0.2">
      <c r="A281" s="1" t="s">
        <v>83</v>
      </c>
      <c r="B281" s="1" t="s">
        <v>92</v>
      </c>
      <c r="C281" s="1" t="s">
        <v>381</v>
      </c>
      <c r="D281" s="2">
        <v>759</v>
      </c>
      <c r="E281" s="2">
        <v>379</v>
      </c>
      <c r="F281" s="2">
        <f t="shared" si="12"/>
        <v>1138</v>
      </c>
      <c r="G281" s="3">
        <f t="shared" si="13"/>
        <v>0.66695957820738139</v>
      </c>
      <c r="H281" s="3">
        <f t="shared" si="14"/>
        <v>0.33304042179261861</v>
      </c>
      <c r="I281" s="1" t="s">
        <v>532</v>
      </c>
      <c r="J281" s="2">
        <v>757</v>
      </c>
      <c r="K281" s="2">
        <v>343</v>
      </c>
      <c r="L281" s="2">
        <v>1100</v>
      </c>
      <c r="M281" s="3">
        <v>0.68818181818181823</v>
      </c>
      <c r="N281" s="6">
        <v>-2.12</v>
      </c>
    </row>
    <row r="282" spans="1:14" x14ac:dyDescent="0.2">
      <c r="A282" s="1" t="s">
        <v>83</v>
      </c>
      <c r="B282" s="1" t="s">
        <v>92</v>
      </c>
      <c r="C282" s="1" t="s">
        <v>382</v>
      </c>
      <c r="D282" s="2">
        <v>486</v>
      </c>
      <c r="E282" s="2">
        <v>175</v>
      </c>
      <c r="F282" s="2">
        <f t="shared" si="12"/>
        <v>661</v>
      </c>
      <c r="G282" s="3">
        <f t="shared" si="13"/>
        <v>0.73524962178517395</v>
      </c>
      <c r="H282" s="3">
        <f t="shared" si="14"/>
        <v>0.264750378214826</v>
      </c>
      <c r="I282" s="1" t="s">
        <v>532</v>
      </c>
      <c r="J282" s="2">
        <v>492</v>
      </c>
      <c r="K282" s="2">
        <v>197</v>
      </c>
      <c r="L282" s="2">
        <v>689</v>
      </c>
      <c r="M282" s="3">
        <v>0.71407837445573297</v>
      </c>
      <c r="N282" s="6">
        <v>2.12</v>
      </c>
    </row>
    <row r="283" spans="1:14" x14ac:dyDescent="0.2">
      <c r="A283" s="1" t="s">
        <v>83</v>
      </c>
      <c r="B283" s="1" t="s">
        <v>92</v>
      </c>
      <c r="C283" s="1" t="s">
        <v>383</v>
      </c>
      <c r="D283" s="2">
        <v>713</v>
      </c>
      <c r="E283" s="2">
        <v>247</v>
      </c>
      <c r="F283" s="2">
        <f t="shared" si="12"/>
        <v>960</v>
      </c>
      <c r="G283" s="3">
        <f t="shared" si="13"/>
        <v>0.7427083333333333</v>
      </c>
      <c r="H283" s="3">
        <f t="shared" si="14"/>
        <v>0.25729166666666664</v>
      </c>
      <c r="I283" s="1" t="s">
        <v>532</v>
      </c>
      <c r="J283" s="2">
        <v>743</v>
      </c>
      <c r="K283" s="2">
        <v>265</v>
      </c>
      <c r="L283" s="2">
        <v>1008</v>
      </c>
      <c r="M283" s="3">
        <v>0.73710317460317465</v>
      </c>
      <c r="N283" s="6">
        <v>0.56000000000000005</v>
      </c>
    </row>
    <row r="284" spans="1:14" x14ac:dyDescent="0.2">
      <c r="A284" s="1" t="s">
        <v>83</v>
      </c>
      <c r="B284" s="1" t="s">
        <v>92</v>
      </c>
      <c r="C284" s="1" t="s">
        <v>384</v>
      </c>
      <c r="D284" s="2">
        <v>1022</v>
      </c>
      <c r="E284" s="2">
        <v>219</v>
      </c>
      <c r="F284" s="2">
        <f t="shared" si="12"/>
        <v>1241</v>
      </c>
      <c r="G284" s="3">
        <f t="shared" si="13"/>
        <v>0.82352941176470584</v>
      </c>
      <c r="H284" s="3">
        <f t="shared" si="14"/>
        <v>0.17647058823529413</v>
      </c>
      <c r="I284" s="1" t="s">
        <v>532</v>
      </c>
      <c r="J284" s="2">
        <v>1109</v>
      </c>
      <c r="K284" s="2">
        <v>290</v>
      </c>
      <c r="L284" s="2">
        <v>1399</v>
      </c>
      <c r="M284" s="3">
        <v>0.79270907791279488</v>
      </c>
      <c r="N284" s="6">
        <v>3.08</v>
      </c>
    </row>
    <row r="285" spans="1:14" x14ac:dyDescent="0.2">
      <c r="A285" s="1" t="s">
        <v>83</v>
      </c>
      <c r="B285" s="1" t="s">
        <v>92</v>
      </c>
      <c r="C285" s="1" t="s">
        <v>385</v>
      </c>
      <c r="D285" s="2">
        <v>540</v>
      </c>
      <c r="E285" s="2">
        <v>213</v>
      </c>
      <c r="F285" s="2">
        <f t="shared" si="12"/>
        <v>753</v>
      </c>
      <c r="G285" s="3">
        <f t="shared" si="13"/>
        <v>0.71713147410358569</v>
      </c>
      <c r="H285" s="3">
        <f t="shared" si="14"/>
        <v>0.28286852589641437</v>
      </c>
      <c r="I285" s="1" t="s">
        <v>532</v>
      </c>
      <c r="J285" s="2">
        <v>566</v>
      </c>
      <c r="K285" s="2">
        <v>257</v>
      </c>
      <c r="L285" s="2">
        <v>823</v>
      </c>
      <c r="M285" s="3">
        <v>0.68772782503037666</v>
      </c>
      <c r="N285" s="6">
        <v>2.94</v>
      </c>
    </row>
    <row r="286" spans="1:14" x14ac:dyDescent="0.2">
      <c r="A286" s="1" t="s">
        <v>83</v>
      </c>
      <c r="B286" s="1" t="s">
        <v>92</v>
      </c>
      <c r="C286" s="1" t="s">
        <v>386</v>
      </c>
      <c r="D286" s="2">
        <v>528</v>
      </c>
      <c r="E286" s="2">
        <v>273</v>
      </c>
      <c r="F286" s="2">
        <f t="shared" si="12"/>
        <v>801</v>
      </c>
      <c r="G286" s="3">
        <f t="shared" si="13"/>
        <v>0.65917602996254676</v>
      </c>
      <c r="H286" s="3">
        <f t="shared" si="14"/>
        <v>0.34082397003745318</v>
      </c>
      <c r="I286" s="1" t="s">
        <v>532</v>
      </c>
      <c r="J286" s="2">
        <v>517</v>
      </c>
      <c r="K286" s="2">
        <v>265</v>
      </c>
      <c r="L286" s="2">
        <v>782</v>
      </c>
      <c r="M286" s="3">
        <v>0.66112531969309463</v>
      </c>
      <c r="N286" s="6">
        <v>-0.19</v>
      </c>
    </row>
    <row r="287" spans="1:14" x14ac:dyDescent="0.2">
      <c r="A287" s="1" t="s">
        <v>83</v>
      </c>
      <c r="B287" s="1" t="s">
        <v>92</v>
      </c>
      <c r="C287" s="1" t="s">
        <v>387</v>
      </c>
      <c r="D287" s="2">
        <v>192</v>
      </c>
      <c r="E287" s="2">
        <v>85</v>
      </c>
      <c r="F287" s="2">
        <f t="shared" si="12"/>
        <v>277</v>
      </c>
      <c r="G287" s="3">
        <f t="shared" si="13"/>
        <v>0.69314079422382668</v>
      </c>
      <c r="H287" s="3">
        <f t="shared" si="14"/>
        <v>0.30685920577617326</v>
      </c>
      <c r="I287" s="1" t="s">
        <v>532</v>
      </c>
      <c r="J287" s="2">
        <v>233</v>
      </c>
      <c r="K287" s="2">
        <v>84</v>
      </c>
      <c r="L287" s="2">
        <v>317</v>
      </c>
      <c r="M287" s="3">
        <v>0.73501577287066244</v>
      </c>
      <c r="N287" s="6">
        <v>-4.1900000000000004</v>
      </c>
    </row>
    <row r="288" spans="1:14" x14ac:dyDescent="0.2">
      <c r="A288" s="1" t="s">
        <v>83</v>
      </c>
      <c r="B288" s="1" t="s">
        <v>92</v>
      </c>
      <c r="C288" s="1" t="s">
        <v>388</v>
      </c>
      <c r="D288" s="2">
        <v>386</v>
      </c>
      <c r="E288" s="2">
        <v>144</v>
      </c>
      <c r="F288" s="2">
        <f t="shared" si="12"/>
        <v>530</v>
      </c>
      <c r="G288" s="3">
        <f t="shared" si="13"/>
        <v>0.72830188679245278</v>
      </c>
      <c r="H288" s="3">
        <f t="shared" si="14"/>
        <v>0.27169811320754716</v>
      </c>
      <c r="I288" s="1" t="s">
        <v>532</v>
      </c>
      <c r="J288" s="2">
        <v>391</v>
      </c>
      <c r="K288" s="2">
        <v>126</v>
      </c>
      <c r="L288" s="2">
        <v>517</v>
      </c>
      <c r="M288" s="3">
        <v>0.7562862669245648</v>
      </c>
      <c r="N288" s="6">
        <v>-2.8</v>
      </c>
    </row>
    <row r="289" spans="1:14" x14ac:dyDescent="0.2">
      <c r="A289" s="1" t="s">
        <v>83</v>
      </c>
      <c r="B289" s="1" t="s">
        <v>92</v>
      </c>
      <c r="C289" s="1" t="s">
        <v>389</v>
      </c>
      <c r="D289" s="2">
        <v>435</v>
      </c>
      <c r="E289" s="2">
        <v>162</v>
      </c>
      <c r="F289" s="2">
        <f t="shared" si="12"/>
        <v>597</v>
      </c>
      <c r="G289" s="3">
        <f t="shared" si="13"/>
        <v>0.72864321608040206</v>
      </c>
      <c r="H289" s="3">
        <f t="shared" si="14"/>
        <v>0.271356783919598</v>
      </c>
      <c r="I289" s="1" t="s">
        <v>532</v>
      </c>
      <c r="J289" s="2">
        <v>381</v>
      </c>
      <c r="K289" s="2">
        <v>184</v>
      </c>
      <c r="L289" s="2">
        <v>565</v>
      </c>
      <c r="M289" s="3">
        <v>0.67433628318584071</v>
      </c>
      <c r="N289" s="6">
        <v>5.43</v>
      </c>
    </row>
    <row r="290" spans="1:14" x14ac:dyDescent="0.2">
      <c r="A290" s="1" t="s">
        <v>83</v>
      </c>
      <c r="B290" s="1" t="s">
        <v>92</v>
      </c>
      <c r="C290" s="1" t="s">
        <v>390</v>
      </c>
      <c r="D290" s="2">
        <v>756</v>
      </c>
      <c r="E290" s="2">
        <v>444</v>
      </c>
      <c r="F290" s="2">
        <f t="shared" si="12"/>
        <v>1200</v>
      </c>
      <c r="G290" s="3">
        <f t="shared" si="13"/>
        <v>0.63</v>
      </c>
      <c r="H290" s="3">
        <f t="shared" si="14"/>
        <v>0.37</v>
      </c>
      <c r="I290" s="1" t="s">
        <v>532</v>
      </c>
      <c r="J290" s="2">
        <v>765</v>
      </c>
      <c r="K290" s="2">
        <v>463</v>
      </c>
      <c r="L290" s="2">
        <v>1228</v>
      </c>
      <c r="M290" s="3">
        <v>0.62296416938110755</v>
      </c>
      <c r="N290" s="6">
        <v>0.7</v>
      </c>
    </row>
    <row r="291" spans="1:14" x14ac:dyDescent="0.2">
      <c r="A291" s="1" t="s">
        <v>83</v>
      </c>
      <c r="B291" s="1" t="s">
        <v>92</v>
      </c>
      <c r="C291" s="1" t="s">
        <v>391</v>
      </c>
      <c r="D291" s="2">
        <v>891</v>
      </c>
      <c r="E291" s="2">
        <v>451</v>
      </c>
      <c r="F291" s="2">
        <f t="shared" si="12"/>
        <v>1342</v>
      </c>
      <c r="G291" s="3">
        <f t="shared" si="13"/>
        <v>0.66393442622950816</v>
      </c>
      <c r="H291" s="3">
        <f t="shared" si="14"/>
        <v>0.33606557377049179</v>
      </c>
      <c r="I291" s="1" t="s">
        <v>532</v>
      </c>
      <c r="J291" s="2">
        <v>912</v>
      </c>
      <c r="K291" s="2">
        <v>445</v>
      </c>
      <c r="L291" s="2">
        <v>1357</v>
      </c>
      <c r="M291" s="3">
        <v>0.67207074428887248</v>
      </c>
      <c r="N291" s="6">
        <v>-0.81</v>
      </c>
    </row>
    <row r="292" spans="1:14" x14ac:dyDescent="0.2">
      <c r="A292" s="1" t="s">
        <v>83</v>
      </c>
      <c r="B292" s="1" t="s">
        <v>93</v>
      </c>
      <c r="C292" s="1" t="s">
        <v>392</v>
      </c>
      <c r="D292" s="2">
        <v>824</v>
      </c>
      <c r="E292" s="2">
        <v>868</v>
      </c>
      <c r="F292" s="2">
        <f t="shared" si="12"/>
        <v>1692</v>
      </c>
      <c r="G292" s="3">
        <f t="shared" si="13"/>
        <v>0.48699763593380613</v>
      </c>
      <c r="H292" s="3">
        <f t="shared" si="14"/>
        <v>0.51300236406619382</v>
      </c>
      <c r="I292" s="1" t="s">
        <v>538</v>
      </c>
    </row>
    <row r="293" spans="1:14" x14ac:dyDescent="0.2">
      <c r="A293" s="1" t="s">
        <v>83</v>
      </c>
      <c r="B293" s="1" t="s">
        <v>93</v>
      </c>
      <c r="C293" s="1" t="s">
        <v>393</v>
      </c>
      <c r="D293" s="2">
        <v>648</v>
      </c>
      <c r="E293" s="2">
        <v>669</v>
      </c>
      <c r="F293" s="2">
        <f t="shared" si="12"/>
        <v>1317</v>
      </c>
      <c r="G293" s="3">
        <f t="shared" si="13"/>
        <v>0.49202733485193623</v>
      </c>
      <c r="H293" s="3">
        <f t="shared" si="14"/>
        <v>0.50797266514806383</v>
      </c>
      <c r="I293" s="1" t="s">
        <v>538</v>
      </c>
    </row>
    <row r="294" spans="1:14" x14ac:dyDescent="0.2">
      <c r="A294" s="1" t="s">
        <v>83</v>
      </c>
      <c r="B294" s="1" t="s">
        <v>93</v>
      </c>
      <c r="C294" s="1" t="s">
        <v>394</v>
      </c>
      <c r="D294" s="2">
        <v>753</v>
      </c>
      <c r="E294" s="2">
        <v>787</v>
      </c>
      <c r="F294" s="2">
        <f t="shared" si="12"/>
        <v>1540</v>
      </c>
      <c r="G294" s="3">
        <f t="shared" si="13"/>
        <v>0.48896103896103899</v>
      </c>
      <c r="H294" s="3">
        <f t="shared" si="14"/>
        <v>0.51103896103896107</v>
      </c>
      <c r="I294" s="1" t="s">
        <v>538</v>
      </c>
    </row>
    <row r="295" spans="1:14" x14ac:dyDescent="0.2">
      <c r="A295" s="1" t="s">
        <v>83</v>
      </c>
      <c r="B295" s="1" t="s">
        <v>93</v>
      </c>
      <c r="C295" s="1" t="s">
        <v>395</v>
      </c>
      <c r="D295" s="2">
        <v>716</v>
      </c>
      <c r="E295" s="2">
        <v>757</v>
      </c>
      <c r="F295" s="2">
        <f t="shared" si="12"/>
        <v>1473</v>
      </c>
      <c r="G295" s="3">
        <f t="shared" si="13"/>
        <v>0.4860828241683639</v>
      </c>
      <c r="H295" s="3">
        <f t="shared" si="14"/>
        <v>0.5139171758316361</v>
      </c>
      <c r="I295" s="1" t="s">
        <v>538</v>
      </c>
    </row>
    <row r="296" spans="1:14" x14ac:dyDescent="0.2">
      <c r="A296" s="1" t="s">
        <v>83</v>
      </c>
      <c r="B296" s="1" t="s">
        <v>93</v>
      </c>
      <c r="C296" s="1" t="s">
        <v>396</v>
      </c>
      <c r="D296" s="2">
        <v>638</v>
      </c>
      <c r="E296" s="2">
        <v>664</v>
      </c>
      <c r="F296" s="2">
        <f t="shared" si="12"/>
        <v>1302</v>
      </c>
      <c r="G296" s="3">
        <f t="shared" si="13"/>
        <v>0.49001536098310294</v>
      </c>
      <c r="H296" s="3">
        <f t="shared" si="14"/>
        <v>0.50998463901689706</v>
      </c>
      <c r="I296" s="1" t="s">
        <v>538</v>
      </c>
    </row>
    <row r="297" spans="1:14" x14ac:dyDescent="0.2">
      <c r="A297" s="1" t="s">
        <v>83</v>
      </c>
      <c r="B297" s="1" t="s">
        <v>93</v>
      </c>
      <c r="C297" s="1" t="s">
        <v>397</v>
      </c>
      <c r="D297" s="2">
        <v>752</v>
      </c>
      <c r="E297" s="2">
        <v>781</v>
      </c>
      <c r="F297" s="2">
        <f t="shared" si="12"/>
        <v>1533</v>
      </c>
      <c r="G297" s="3">
        <f t="shared" si="13"/>
        <v>0.49054142204827134</v>
      </c>
      <c r="H297" s="3">
        <f t="shared" si="14"/>
        <v>0.50945857795172866</v>
      </c>
      <c r="I297" s="1" t="s">
        <v>538</v>
      </c>
    </row>
    <row r="298" spans="1:14" x14ac:dyDescent="0.2">
      <c r="A298" s="1" t="s">
        <v>83</v>
      </c>
      <c r="B298" s="1" t="s">
        <v>93</v>
      </c>
      <c r="C298" s="1" t="s">
        <v>398</v>
      </c>
      <c r="D298" s="2">
        <v>697</v>
      </c>
      <c r="E298" s="2">
        <v>725</v>
      </c>
      <c r="F298" s="2">
        <f t="shared" si="12"/>
        <v>1422</v>
      </c>
      <c r="G298" s="3">
        <f t="shared" si="13"/>
        <v>0.49015471167369901</v>
      </c>
      <c r="H298" s="3">
        <f t="shared" si="14"/>
        <v>0.50984528832630094</v>
      </c>
      <c r="I298" s="1" t="s">
        <v>538</v>
      </c>
    </row>
    <row r="299" spans="1:14" x14ac:dyDescent="0.2">
      <c r="A299" s="1" t="s">
        <v>83</v>
      </c>
      <c r="B299" s="1" t="s">
        <v>94</v>
      </c>
      <c r="C299" s="1" t="s">
        <v>94</v>
      </c>
      <c r="D299" s="2">
        <v>683</v>
      </c>
      <c r="E299" s="2">
        <v>581</v>
      </c>
      <c r="F299" s="2">
        <f t="shared" si="12"/>
        <v>1264</v>
      </c>
      <c r="G299" s="3">
        <f t="shared" si="13"/>
        <v>0.54034810126582278</v>
      </c>
      <c r="H299" s="3">
        <f t="shared" si="14"/>
        <v>0.45965189873417722</v>
      </c>
      <c r="I299" s="1" t="s">
        <v>532</v>
      </c>
      <c r="J299" s="2">
        <v>714</v>
      </c>
      <c r="K299" s="2">
        <v>484</v>
      </c>
      <c r="L299" s="2">
        <v>1198</v>
      </c>
      <c r="M299" s="3">
        <v>0.59599332220367274</v>
      </c>
      <c r="N299" s="6">
        <v>-5.56</v>
      </c>
    </row>
    <row r="300" spans="1:14" x14ac:dyDescent="0.2">
      <c r="A300" s="1" t="s">
        <v>83</v>
      </c>
      <c r="B300" s="1" t="s">
        <v>95</v>
      </c>
      <c r="C300" s="1" t="s">
        <v>95</v>
      </c>
      <c r="D300" s="2">
        <v>95</v>
      </c>
      <c r="E300" s="2">
        <v>109</v>
      </c>
      <c r="F300" s="2">
        <f t="shared" si="12"/>
        <v>204</v>
      </c>
      <c r="G300" s="3">
        <f t="shared" si="13"/>
        <v>0.46568627450980393</v>
      </c>
      <c r="H300" s="3">
        <f t="shared" si="14"/>
        <v>0.53431372549019607</v>
      </c>
      <c r="I300" s="1" t="s">
        <v>532</v>
      </c>
      <c r="J300" s="2">
        <v>109</v>
      </c>
      <c r="K300" s="2">
        <v>97</v>
      </c>
      <c r="L300" s="2">
        <v>206</v>
      </c>
      <c r="M300" s="3">
        <v>0.529126213592233</v>
      </c>
      <c r="N300" s="6">
        <v>-6.34</v>
      </c>
    </row>
    <row r="301" spans="1:14" x14ac:dyDescent="0.2">
      <c r="A301" s="1" t="s">
        <v>83</v>
      </c>
      <c r="B301" s="1" t="s">
        <v>62</v>
      </c>
      <c r="C301" s="1" t="s">
        <v>399</v>
      </c>
      <c r="D301" s="2">
        <v>887</v>
      </c>
      <c r="E301" s="2">
        <v>748</v>
      </c>
      <c r="F301" s="2">
        <f t="shared" si="12"/>
        <v>1635</v>
      </c>
      <c r="G301" s="3">
        <f t="shared" si="13"/>
        <v>0.54250764525993889</v>
      </c>
      <c r="H301" s="3">
        <f t="shared" si="14"/>
        <v>0.45749235474006117</v>
      </c>
      <c r="I301" s="1" t="s">
        <v>532</v>
      </c>
      <c r="J301" s="2">
        <v>955</v>
      </c>
      <c r="K301" s="2">
        <v>692</v>
      </c>
      <c r="L301" s="2">
        <v>1647</v>
      </c>
      <c r="M301" s="3">
        <v>0.57984213721918643</v>
      </c>
      <c r="N301" s="6">
        <v>-3.73</v>
      </c>
    </row>
    <row r="302" spans="1:14" x14ac:dyDescent="0.2">
      <c r="A302" s="1" t="s">
        <v>83</v>
      </c>
      <c r="B302" s="1" t="s">
        <v>62</v>
      </c>
      <c r="C302" s="1" t="s">
        <v>400</v>
      </c>
      <c r="D302" s="2">
        <v>876</v>
      </c>
      <c r="E302" s="2">
        <v>842</v>
      </c>
      <c r="F302" s="2">
        <f t="shared" si="12"/>
        <v>1718</v>
      </c>
      <c r="G302" s="3">
        <f t="shared" si="13"/>
        <v>0.50989522700814904</v>
      </c>
      <c r="H302" s="3">
        <f t="shared" si="14"/>
        <v>0.49010477299185101</v>
      </c>
      <c r="I302" s="1" t="s">
        <v>532</v>
      </c>
      <c r="J302" s="2">
        <v>910</v>
      </c>
      <c r="K302" s="2">
        <v>742</v>
      </c>
      <c r="L302" s="2">
        <v>1652</v>
      </c>
      <c r="M302" s="3">
        <v>0.55084745762711862</v>
      </c>
      <c r="N302" s="6">
        <v>-4.0999999999999996</v>
      </c>
    </row>
    <row r="303" spans="1:14" x14ac:dyDescent="0.2">
      <c r="A303" s="1" t="s">
        <v>83</v>
      </c>
      <c r="B303" s="1" t="s">
        <v>62</v>
      </c>
      <c r="C303" s="1" t="s">
        <v>401</v>
      </c>
      <c r="D303" s="2">
        <v>418</v>
      </c>
      <c r="E303" s="2">
        <v>423</v>
      </c>
      <c r="F303" s="2">
        <f t="shared" si="12"/>
        <v>841</v>
      </c>
      <c r="G303" s="3">
        <f t="shared" si="13"/>
        <v>0.49702734839476814</v>
      </c>
      <c r="H303" s="3">
        <f t="shared" si="14"/>
        <v>0.50297265160523186</v>
      </c>
      <c r="I303" s="1" t="s">
        <v>532</v>
      </c>
      <c r="J303" s="2">
        <v>446</v>
      </c>
      <c r="K303" s="2">
        <v>410</v>
      </c>
      <c r="L303" s="2">
        <v>856</v>
      </c>
      <c r="M303" s="3">
        <v>0.5210280373831776</v>
      </c>
      <c r="N303" s="6">
        <v>-2.4</v>
      </c>
    </row>
    <row r="304" spans="1:14" x14ac:dyDescent="0.2">
      <c r="A304" s="1" t="s">
        <v>83</v>
      </c>
      <c r="B304" s="1" t="s">
        <v>62</v>
      </c>
      <c r="C304" s="1" t="s">
        <v>402</v>
      </c>
      <c r="D304" s="2">
        <v>703</v>
      </c>
      <c r="E304" s="2">
        <v>732</v>
      </c>
      <c r="F304" s="2">
        <f t="shared" si="12"/>
        <v>1435</v>
      </c>
      <c r="G304" s="3">
        <f t="shared" si="13"/>
        <v>0.48989547038327524</v>
      </c>
      <c r="H304" s="3">
        <f t="shared" si="14"/>
        <v>0.5101045296167247</v>
      </c>
      <c r="I304" s="1" t="s">
        <v>532</v>
      </c>
      <c r="J304" s="2">
        <v>744</v>
      </c>
      <c r="K304" s="2">
        <v>678</v>
      </c>
      <c r="L304" s="2">
        <v>1422</v>
      </c>
      <c r="M304" s="3">
        <v>0.52320675105485237</v>
      </c>
      <c r="N304" s="6">
        <v>-3.33</v>
      </c>
    </row>
    <row r="305" spans="1:14" x14ac:dyDescent="0.2">
      <c r="A305" s="1" t="s">
        <v>83</v>
      </c>
      <c r="B305" s="1" t="s">
        <v>62</v>
      </c>
      <c r="C305" s="1" t="s">
        <v>403</v>
      </c>
      <c r="D305" s="2">
        <v>745</v>
      </c>
      <c r="E305" s="2">
        <v>679</v>
      </c>
      <c r="F305" s="2">
        <f t="shared" si="12"/>
        <v>1424</v>
      </c>
      <c r="G305" s="3">
        <f t="shared" si="13"/>
        <v>0.5231741573033708</v>
      </c>
      <c r="H305" s="3">
        <f t="shared" si="14"/>
        <v>0.4768258426966292</v>
      </c>
      <c r="I305" s="1" t="s">
        <v>532</v>
      </c>
      <c r="J305" s="2">
        <v>775</v>
      </c>
      <c r="K305" s="2">
        <v>645</v>
      </c>
      <c r="L305" s="2">
        <v>1420</v>
      </c>
      <c r="M305" s="3">
        <v>0.54577464788732399</v>
      </c>
      <c r="N305" s="6">
        <v>-2.2599999999999998</v>
      </c>
    </row>
    <row r="306" spans="1:14" x14ac:dyDescent="0.2">
      <c r="A306" s="1" t="s">
        <v>83</v>
      </c>
      <c r="B306" s="1" t="s">
        <v>62</v>
      </c>
      <c r="C306" s="1" t="s">
        <v>404</v>
      </c>
      <c r="D306" s="2">
        <v>462</v>
      </c>
      <c r="E306" s="2">
        <v>434</v>
      </c>
      <c r="F306" s="2">
        <f t="shared" si="12"/>
        <v>896</v>
      </c>
      <c r="G306" s="3">
        <f t="shared" si="13"/>
        <v>0.515625</v>
      </c>
      <c r="H306" s="3">
        <f t="shared" si="14"/>
        <v>0.484375</v>
      </c>
      <c r="I306" s="1" t="s">
        <v>532</v>
      </c>
      <c r="J306" s="2">
        <v>511</v>
      </c>
      <c r="K306" s="2">
        <v>453</v>
      </c>
      <c r="L306" s="2">
        <v>964</v>
      </c>
      <c r="M306" s="3">
        <v>0.53008298755186722</v>
      </c>
      <c r="N306" s="6">
        <v>-1.45</v>
      </c>
    </row>
    <row r="307" spans="1:14" x14ac:dyDescent="0.2">
      <c r="A307" s="1" t="s">
        <v>83</v>
      </c>
      <c r="B307" s="1" t="s">
        <v>96</v>
      </c>
      <c r="C307" s="1" t="s">
        <v>405</v>
      </c>
      <c r="D307" s="2">
        <v>513</v>
      </c>
      <c r="E307" s="2">
        <v>614</v>
      </c>
      <c r="F307" s="2">
        <f t="shared" si="12"/>
        <v>1127</v>
      </c>
      <c r="G307" s="3">
        <f t="shared" si="13"/>
        <v>0.45519077196095831</v>
      </c>
      <c r="H307" s="3">
        <f t="shared" si="14"/>
        <v>0.54480922803904175</v>
      </c>
      <c r="I307" s="1" t="s">
        <v>532</v>
      </c>
      <c r="J307" s="2">
        <v>553</v>
      </c>
      <c r="K307" s="2">
        <v>581</v>
      </c>
      <c r="L307" s="2">
        <v>1134</v>
      </c>
      <c r="M307" s="3">
        <v>0.48765432098765432</v>
      </c>
      <c r="N307" s="6">
        <v>-3.25</v>
      </c>
    </row>
    <row r="308" spans="1:14" x14ac:dyDescent="0.2">
      <c r="A308" s="1" t="s">
        <v>83</v>
      </c>
      <c r="B308" s="1" t="s">
        <v>96</v>
      </c>
      <c r="C308" s="1" t="s">
        <v>406</v>
      </c>
      <c r="D308" s="2">
        <v>457</v>
      </c>
      <c r="E308" s="2">
        <v>464</v>
      </c>
      <c r="F308" s="2">
        <f t="shared" si="12"/>
        <v>921</v>
      </c>
      <c r="G308" s="3">
        <f t="shared" si="13"/>
        <v>0.49619978284473398</v>
      </c>
      <c r="H308" s="3">
        <f t="shared" si="14"/>
        <v>0.50380021715526602</v>
      </c>
      <c r="I308" s="1" t="s">
        <v>532</v>
      </c>
      <c r="J308" s="2">
        <v>473</v>
      </c>
      <c r="K308" s="2">
        <v>465</v>
      </c>
      <c r="L308" s="2">
        <v>938</v>
      </c>
      <c r="M308" s="3">
        <v>0.50426439232409381</v>
      </c>
      <c r="N308" s="6">
        <v>-0.81</v>
      </c>
    </row>
    <row r="309" spans="1:14" x14ac:dyDescent="0.2">
      <c r="A309" s="1" t="s">
        <v>83</v>
      </c>
      <c r="B309" s="1" t="s">
        <v>96</v>
      </c>
      <c r="C309" s="1" t="s">
        <v>407</v>
      </c>
      <c r="D309" s="2">
        <v>692</v>
      </c>
      <c r="E309" s="2">
        <v>618</v>
      </c>
      <c r="F309" s="2">
        <f t="shared" si="12"/>
        <v>1310</v>
      </c>
      <c r="G309" s="3">
        <f t="shared" si="13"/>
        <v>0.52824427480916025</v>
      </c>
      <c r="H309" s="3">
        <f t="shared" si="14"/>
        <v>0.47175572519083969</v>
      </c>
      <c r="I309" s="1" t="s">
        <v>532</v>
      </c>
      <c r="J309" s="2">
        <v>700</v>
      </c>
      <c r="K309" s="2">
        <v>639</v>
      </c>
      <c r="L309" s="2">
        <v>1339</v>
      </c>
      <c r="M309" s="3">
        <v>0.52277819268110526</v>
      </c>
      <c r="N309" s="6">
        <v>0.55000000000000004</v>
      </c>
    </row>
    <row r="310" spans="1:14" x14ac:dyDescent="0.2">
      <c r="A310" s="1" t="s">
        <v>83</v>
      </c>
      <c r="B310" s="1" t="s">
        <v>97</v>
      </c>
      <c r="C310" s="1" t="s">
        <v>408</v>
      </c>
      <c r="D310" s="2">
        <v>520</v>
      </c>
      <c r="E310" s="2">
        <v>1124</v>
      </c>
      <c r="F310" s="2">
        <f t="shared" si="12"/>
        <v>1644</v>
      </c>
      <c r="G310" s="3">
        <f t="shared" si="13"/>
        <v>0.31630170316301703</v>
      </c>
      <c r="H310" s="3">
        <f t="shared" si="14"/>
        <v>0.68369829683698302</v>
      </c>
      <c r="I310" s="1" t="s">
        <v>532</v>
      </c>
      <c r="J310" s="2">
        <v>546</v>
      </c>
      <c r="K310" s="2">
        <v>1089</v>
      </c>
      <c r="L310" s="2">
        <v>1635</v>
      </c>
      <c r="M310" s="3">
        <v>0.33394495412844039</v>
      </c>
      <c r="N310" s="6">
        <v>-1.76</v>
      </c>
    </row>
    <row r="311" spans="1:14" x14ac:dyDescent="0.2">
      <c r="A311" s="1" t="s">
        <v>83</v>
      </c>
      <c r="B311" s="1" t="s">
        <v>97</v>
      </c>
      <c r="C311" s="1" t="s">
        <v>409</v>
      </c>
      <c r="D311" s="2">
        <v>613</v>
      </c>
      <c r="E311" s="2">
        <v>1272</v>
      </c>
      <c r="F311" s="2">
        <f t="shared" si="12"/>
        <v>1885</v>
      </c>
      <c r="G311" s="3">
        <f t="shared" si="13"/>
        <v>0.32519893899204244</v>
      </c>
      <c r="H311" s="3">
        <f t="shared" si="14"/>
        <v>0.67480106100795756</v>
      </c>
      <c r="I311" s="1" t="s">
        <v>532</v>
      </c>
      <c r="J311" s="2">
        <v>636</v>
      </c>
      <c r="K311" s="2">
        <v>1262</v>
      </c>
      <c r="L311" s="2">
        <v>1898</v>
      </c>
      <c r="M311" s="3">
        <v>0.33508956796628031</v>
      </c>
      <c r="N311" s="6">
        <v>-0.99</v>
      </c>
    </row>
    <row r="312" spans="1:14" x14ac:dyDescent="0.2">
      <c r="A312" s="1" t="s">
        <v>83</v>
      </c>
      <c r="B312" s="1" t="s">
        <v>97</v>
      </c>
      <c r="C312" s="1" t="s">
        <v>410</v>
      </c>
      <c r="D312" s="2">
        <v>172</v>
      </c>
      <c r="E312" s="2">
        <v>507</v>
      </c>
      <c r="F312" s="2">
        <f t="shared" si="12"/>
        <v>679</v>
      </c>
      <c r="G312" s="3">
        <f t="shared" si="13"/>
        <v>0.25331369661266567</v>
      </c>
      <c r="H312" s="3">
        <f t="shared" si="14"/>
        <v>0.74668630338733433</v>
      </c>
      <c r="I312" s="1" t="s">
        <v>532</v>
      </c>
      <c r="J312" s="2">
        <v>224</v>
      </c>
      <c r="K312" s="2">
        <v>495</v>
      </c>
      <c r="L312" s="2">
        <v>719</v>
      </c>
      <c r="M312" s="3">
        <v>0.31154381084840049</v>
      </c>
      <c r="N312" s="6">
        <v>-5.82</v>
      </c>
    </row>
    <row r="313" spans="1:14" x14ac:dyDescent="0.2">
      <c r="A313" s="1" t="s">
        <v>83</v>
      </c>
      <c r="B313" s="1" t="s">
        <v>97</v>
      </c>
      <c r="C313" s="1" t="s">
        <v>411</v>
      </c>
      <c r="D313" s="2">
        <v>456</v>
      </c>
      <c r="E313" s="2">
        <v>980</v>
      </c>
      <c r="F313" s="2">
        <f t="shared" si="12"/>
        <v>1436</v>
      </c>
      <c r="G313" s="3">
        <f t="shared" si="13"/>
        <v>0.31754874651810583</v>
      </c>
      <c r="H313" s="3">
        <f t="shared" si="14"/>
        <v>0.68245125348189417</v>
      </c>
      <c r="I313" s="1" t="s">
        <v>532</v>
      </c>
      <c r="J313" s="2">
        <v>478</v>
      </c>
      <c r="K313" s="2">
        <v>948</v>
      </c>
      <c r="L313" s="2">
        <v>1426</v>
      </c>
      <c r="M313" s="3">
        <v>0.33520336605890599</v>
      </c>
      <c r="N313" s="6">
        <v>-1.77</v>
      </c>
    </row>
    <row r="314" spans="1:14" x14ac:dyDescent="0.2">
      <c r="A314" s="1" t="s">
        <v>83</v>
      </c>
      <c r="B314" s="1" t="s">
        <v>97</v>
      </c>
      <c r="C314" s="1" t="s">
        <v>412</v>
      </c>
      <c r="D314" s="2">
        <v>324</v>
      </c>
      <c r="E314" s="2">
        <v>682</v>
      </c>
      <c r="F314" s="2">
        <f t="shared" si="12"/>
        <v>1006</v>
      </c>
      <c r="G314" s="3">
        <f t="shared" si="13"/>
        <v>0.32206759443339961</v>
      </c>
      <c r="H314" s="3">
        <f t="shared" si="14"/>
        <v>0.67793240556660039</v>
      </c>
      <c r="I314" s="1" t="s">
        <v>532</v>
      </c>
      <c r="J314" s="2">
        <v>360</v>
      </c>
      <c r="K314" s="2">
        <v>645</v>
      </c>
      <c r="L314" s="2">
        <v>1005</v>
      </c>
      <c r="M314" s="3">
        <v>0.35820895522388058</v>
      </c>
      <c r="N314" s="6">
        <v>-3.61</v>
      </c>
    </row>
    <row r="315" spans="1:14" x14ac:dyDescent="0.2">
      <c r="A315" s="1" t="s">
        <v>83</v>
      </c>
      <c r="B315" s="1" t="s">
        <v>98</v>
      </c>
      <c r="C315" s="1" t="s">
        <v>413</v>
      </c>
      <c r="D315" s="2">
        <v>230</v>
      </c>
      <c r="E315" s="2">
        <v>451</v>
      </c>
      <c r="F315" s="2">
        <f t="shared" si="12"/>
        <v>681</v>
      </c>
      <c r="G315" s="3">
        <f t="shared" si="13"/>
        <v>0.33773861967694568</v>
      </c>
      <c r="H315" s="3">
        <f t="shared" si="14"/>
        <v>0.66226138032305437</v>
      </c>
      <c r="I315" s="1" t="s">
        <v>532</v>
      </c>
      <c r="J315" s="2">
        <v>264</v>
      </c>
      <c r="K315" s="2">
        <v>439</v>
      </c>
      <c r="L315" s="2">
        <v>703</v>
      </c>
      <c r="M315" s="3">
        <v>0.37553342816500712</v>
      </c>
      <c r="N315" s="6">
        <v>-3.78</v>
      </c>
    </row>
    <row r="316" spans="1:14" x14ac:dyDescent="0.2">
      <c r="A316" s="1" t="s">
        <v>83</v>
      </c>
      <c r="B316" s="1" t="s">
        <v>98</v>
      </c>
      <c r="C316" s="1" t="s">
        <v>414</v>
      </c>
      <c r="D316" s="2">
        <v>345</v>
      </c>
      <c r="E316" s="2">
        <v>766</v>
      </c>
      <c r="F316" s="2">
        <f t="shared" si="12"/>
        <v>1111</v>
      </c>
      <c r="G316" s="3">
        <f t="shared" si="13"/>
        <v>0.31053105310531054</v>
      </c>
      <c r="H316" s="3">
        <f t="shared" si="14"/>
        <v>0.68946894689468952</v>
      </c>
      <c r="I316" s="1" t="s">
        <v>532</v>
      </c>
      <c r="J316" s="2">
        <v>361</v>
      </c>
      <c r="K316" s="2">
        <v>775</v>
      </c>
      <c r="L316" s="2">
        <v>1136</v>
      </c>
      <c r="M316" s="3">
        <v>0.31778169014084512</v>
      </c>
      <c r="N316" s="6">
        <v>-0.73</v>
      </c>
    </row>
    <row r="317" spans="1:14" x14ac:dyDescent="0.2">
      <c r="A317" s="1" t="s">
        <v>83</v>
      </c>
      <c r="B317" s="1" t="s">
        <v>99</v>
      </c>
      <c r="C317" s="1" t="s">
        <v>415</v>
      </c>
      <c r="D317" s="2">
        <v>241</v>
      </c>
      <c r="E317" s="2">
        <v>345</v>
      </c>
      <c r="F317" s="2">
        <f t="shared" si="12"/>
        <v>586</v>
      </c>
      <c r="G317" s="3">
        <f t="shared" si="13"/>
        <v>0.4112627986348123</v>
      </c>
      <c r="H317" s="3">
        <f t="shared" si="14"/>
        <v>0.5887372013651877</v>
      </c>
      <c r="I317" s="1" t="s">
        <v>538</v>
      </c>
    </row>
    <row r="318" spans="1:14" x14ac:dyDescent="0.2">
      <c r="A318" s="1" t="s">
        <v>83</v>
      </c>
      <c r="B318" s="1" t="s">
        <v>99</v>
      </c>
      <c r="C318" s="1" t="s">
        <v>416</v>
      </c>
      <c r="D318" s="2">
        <v>576</v>
      </c>
      <c r="E318" s="2">
        <v>824</v>
      </c>
      <c r="F318" s="2">
        <f t="shared" si="12"/>
        <v>1400</v>
      </c>
      <c r="G318" s="3">
        <f t="shared" si="13"/>
        <v>0.41142857142857142</v>
      </c>
      <c r="H318" s="3">
        <f t="shared" si="14"/>
        <v>0.58857142857142852</v>
      </c>
      <c r="I318" s="1" t="s">
        <v>538</v>
      </c>
    </row>
    <row r="319" spans="1:14" x14ac:dyDescent="0.2">
      <c r="A319" s="1" t="s">
        <v>83</v>
      </c>
      <c r="B319" s="1" t="s">
        <v>99</v>
      </c>
      <c r="C319" s="1" t="s">
        <v>417</v>
      </c>
      <c r="D319" s="2">
        <v>503</v>
      </c>
      <c r="E319" s="2">
        <v>721</v>
      </c>
      <c r="F319" s="2">
        <f t="shared" si="12"/>
        <v>1224</v>
      </c>
      <c r="G319" s="3">
        <f t="shared" si="13"/>
        <v>0.41094771241830064</v>
      </c>
      <c r="H319" s="3">
        <f t="shared" si="14"/>
        <v>0.58905228758169936</v>
      </c>
      <c r="I319" s="1" t="s">
        <v>538</v>
      </c>
    </row>
    <row r="320" spans="1:14" x14ac:dyDescent="0.2">
      <c r="A320" s="1" t="s">
        <v>83</v>
      </c>
      <c r="B320" s="1" t="s">
        <v>99</v>
      </c>
      <c r="C320" s="1" t="s">
        <v>418</v>
      </c>
      <c r="D320" s="2">
        <v>552</v>
      </c>
      <c r="E320" s="2">
        <v>792</v>
      </c>
      <c r="F320" s="2">
        <f t="shared" si="12"/>
        <v>1344</v>
      </c>
      <c r="G320" s="3">
        <f t="shared" si="13"/>
        <v>0.4107142857142857</v>
      </c>
      <c r="H320" s="3">
        <f t="shared" si="14"/>
        <v>0.5892857142857143</v>
      </c>
      <c r="I320" s="1" t="s">
        <v>538</v>
      </c>
    </row>
    <row r="321" spans="1:14" x14ac:dyDescent="0.2">
      <c r="A321" s="1" t="s">
        <v>83</v>
      </c>
      <c r="B321" s="1" t="s">
        <v>100</v>
      </c>
      <c r="C321" s="1" t="s">
        <v>419</v>
      </c>
      <c r="D321" s="2">
        <v>568</v>
      </c>
      <c r="E321" s="2">
        <v>556</v>
      </c>
      <c r="F321" s="2">
        <f t="shared" si="12"/>
        <v>1124</v>
      </c>
      <c r="G321" s="3">
        <f t="shared" si="13"/>
        <v>0.50533807829181498</v>
      </c>
      <c r="H321" s="3">
        <f t="shared" si="14"/>
        <v>0.49466192170818507</v>
      </c>
      <c r="I321" s="1" t="s">
        <v>532</v>
      </c>
      <c r="J321" s="2">
        <v>585</v>
      </c>
      <c r="K321" s="2">
        <v>527</v>
      </c>
      <c r="L321" s="2">
        <v>1112</v>
      </c>
      <c r="M321" s="3">
        <v>0.52607913669064743</v>
      </c>
      <c r="N321" s="6">
        <v>-2.0699999999999998</v>
      </c>
    </row>
    <row r="322" spans="1:14" x14ac:dyDescent="0.2">
      <c r="A322" s="1" t="s">
        <v>83</v>
      </c>
      <c r="B322" s="1" t="s">
        <v>100</v>
      </c>
      <c r="C322" s="1" t="s">
        <v>420</v>
      </c>
      <c r="D322" s="2">
        <v>615</v>
      </c>
      <c r="E322" s="2">
        <v>914</v>
      </c>
      <c r="F322" s="2">
        <f t="shared" si="12"/>
        <v>1529</v>
      </c>
      <c r="G322" s="3">
        <f t="shared" si="13"/>
        <v>0.40222367560497058</v>
      </c>
      <c r="H322" s="3">
        <f t="shared" si="14"/>
        <v>0.59777632439502948</v>
      </c>
      <c r="I322" s="1" t="s">
        <v>532</v>
      </c>
      <c r="J322" s="2">
        <v>639</v>
      </c>
      <c r="K322" s="2">
        <v>886</v>
      </c>
      <c r="L322" s="2">
        <v>1525</v>
      </c>
      <c r="M322" s="3">
        <v>0.41901639344262293</v>
      </c>
      <c r="N322" s="6">
        <v>-1.68</v>
      </c>
    </row>
    <row r="323" spans="1:14" x14ac:dyDescent="0.2">
      <c r="A323" s="1" t="s">
        <v>83</v>
      </c>
      <c r="B323" s="1" t="s">
        <v>100</v>
      </c>
      <c r="C323" s="1" t="s">
        <v>421</v>
      </c>
      <c r="D323" s="2">
        <v>388</v>
      </c>
      <c r="E323" s="2">
        <v>587</v>
      </c>
      <c r="F323" s="2">
        <f t="shared" si="12"/>
        <v>975</v>
      </c>
      <c r="G323" s="3">
        <f t="shared" si="13"/>
        <v>0.39794871794871794</v>
      </c>
      <c r="H323" s="3">
        <f t="shared" si="14"/>
        <v>0.602051282051282</v>
      </c>
      <c r="I323" s="1" t="s">
        <v>532</v>
      </c>
      <c r="J323" s="2">
        <v>405</v>
      </c>
      <c r="K323" s="2">
        <v>562</v>
      </c>
      <c r="L323" s="2">
        <v>967</v>
      </c>
      <c r="M323" s="3">
        <v>0.4188210961737332</v>
      </c>
      <c r="N323" s="6">
        <v>-2.09</v>
      </c>
    </row>
    <row r="324" spans="1:14" x14ac:dyDescent="0.2">
      <c r="A324" s="1" t="s">
        <v>83</v>
      </c>
      <c r="B324" s="1" t="s">
        <v>100</v>
      </c>
      <c r="C324" s="1" t="s">
        <v>422</v>
      </c>
      <c r="D324" s="2">
        <v>447</v>
      </c>
      <c r="E324" s="2">
        <v>469</v>
      </c>
      <c r="F324" s="2">
        <f t="shared" si="12"/>
        <v>916</v>
      </c>
      <c r="G324" s="3">
        <f t="shared" si="13"/>
        <v>0.48799126637554585</v>
      </c>
      <c r="H324" s="3">
        <f t="shared" si="14"/>
        <v>0.51200873362445409</v>
      </c>
      <c r="I324" s="1" t="s">
        <v>532</v>
      </c>
      <c r="J324" s="2">
        <v>496</v>
      </c>
      <c r="K324" s="2">
        <v>458</v>
      </c>
      <c r="L324" s="2">
        <v>954</v>
      </c>
      <c r="M324" s="3">
        <v>0.51991614255765195</v>
      </c>
      <c r="N324" s="6">
        <v>-3.19</v>
      </c>
    </row>
    <row r="325" spans="1:14" x14ac:dyDescent="0.2">
      <c r="A325" s="1" t="s">
        <v>83</v>
      </c>
      <c r="B325" s="1" t="s">
        <v>100</v>
      </c>
      <c r="C325" s="1" t="s">
        <v>423</v>
      </c>
      <c r="D325" s="2">
        <v>388</v>
      </c>
      <c r="E325" s="2">
        <v>622</v>
      </c>
      <c r="F325" s="2">
        <f t="shared" si="12"/>
        <v>1010</v>
      </c>
      <c r="G325" s="3">
        <f t="shared" si="13"/>
        <v>0.38415841584158417</v>
      </c>
      <c r="H325" s="3">
        <f t="shared" si="14"/>
        <v>0.61584158415841583</v>
      </c>
      <c r="I325" s="1" t="s">
        <v>532</v>
      </c>
      <c r="J325" s="2">
        <v>423</v>
      </c>
      <c r="K325" s="2">
        <v>592</v>
      </c>
      <c r="L325" s="2">
        <v>1015</v>
      </c>
      <c r="M325" s="3">
        <v>0.41674876847290637</v>
      </c>
      <c r="N325" s="6">
        <v>-3.26</v>
      </c>
    </row>
    <row r="326" spans="1:14" x14ac:dyDescent="0.2">
      <c r="A326" s="1" t="s">
        <v>83</v>
      </c>
      <c r="B326" s="1" t="s">
        <v>100</v>
      </c>
      <c r="C326" s="1" t="s">
        <v>424</v>
      </c>
      <c r="D326" s="2">
        <v>859</v>
      </c>
      <c r="E326" s="2">
        <v>810</v>
      </c>
      <c r="F326" s="2">
        <f t="shared" si="12"/>
        <v>1669</v>
      </c>
      <c r="G326" s="3">
        <f t="shared" si="13"/>
        <v>0.51467944877171956</v>
      </c>
      <c r="H326" s="3">
        <f t="shared" si="14"/>
        <v>0.48532055122828038</v>
      </c>
      <c r="I326" s="1" t="s">
        <v>532</v>
      </c>
      <c r="J326" s="2">
        <v>909</v>
      </c>
      <c r="K326" s="2">
        <v>780</v>
      </c>
      <c r="L326" s="2">
        <v>1689</v>
      </c>
      <c r="M326" s="3">
        <v>0.53818827708703376</v>
      </c>
      <c r="N326" s="6">
        <v>-2.35</v>
      </c>
    </row>
    <row r="327" spans="1:14" x14ac:dyDescent="0.2">
      <c r="A327" s="1" t="s">
        <v>83</v>
      </c>
      <c r="B327" s="1" t="s">
        <v>101</v>
      </c>
      <c r="C327" s="1" t="s">
        <v>425</v>
      </c>
      <c r="D327" s="2">
        <v>365</v>
      </c>
      <c r="E327" s="2">
        <v>799</v>
      </c>
      <c r="F327" s="2">
        <f t="shared" si="12"/>
        <v>1164</v>
      </c>
      <c r="G327" s="3">
        <f t="shared" si="13"/>
        <v>0.31357388316151202</v>
      </c>
      <c r="H327" s="3">
        <f t="shared" si="14"/>
        <v>0.68642611683848798</v>
      </c>
      <c r="I327" s="1" t="s">
        <v>532</v>
      </c>
      <c r="J327" s="2">
        <v>409</v>
      </c>
      <c r="K327" s="2">
        <v>764</v>
      </c>
      <c r="L327" s="2">
        <v>1173</v>
      </c>
      <c r="M327" s="3">
        <v>0.34867860187553279</v>
      </c>
      <c r="N327" s="6">
        <v>-3.51</v>
      </c>
    </row>
    <row r="328" spans="1:14" x14ac:dyDescent="0.2">
      <c r="A328" s="1" t="s">
        <v>83</v>
      </c>
      <c r="B328" s="1" t="s">
        <v>101</v>
      </c>
      <c r="C328" s="1" t="s">
        <v>426</v>
      </c>
      <c r="D328" s="2">
        <v>727</v>
      </c>
      <c r="E328" s="2">
        <v>1593</v>
      </c>
      <c r="F328" s="2">
        <f t="shared" si="12"/>
        <v>2320</v>
      </c>
      <c r="G328" s="3">
        <f t="shared" si="13"/>
        <v>0.31336206896551722</v>
      </c>
      <c r="H328" s="3">
        <f t="shared" si="14"/>
        <v>0.68663793103448278</v>
      </c>
      <c r="I328" s="1" t="s">
        <v>532</v>
      </c>
      <c r="J328" s="2">
        <v>805</v>
      </c>
      <c r="K328" s="2">
        <v>1577</v>
      </c>
      <c r="L328" s="2">
        <v>2382</v>
      </c>
      <c r="M328" s="3">
        <v>0.33795130142737201</v>
      </c>
      <c r="N328" s="6">
        <v>-2.46</v>
      </c>
    </row>
    <row r="329" spans="1:14" x14ac:dyDescent="0.2">
      <c r="A329" s="1" t="s">
        <v>83</v>
      </c>
      <c r="B329" s="1" t="s">
        <v>101</v>
      </c>
      <c r="C329" s="1" t="s">
        <v>427</v>
      </c>
      <c r="D329" s="2">
        <v>512</v>
      </c>
      <c r="E329" s="2">
        <v>1186</v>
      </c>
      <c r="F329" s="2">
        <f t="shared" si="12"/>
        <v>1698</v>
      </c>
      <c r="G329" s="3">
        <f t="shared" si="13"/>
        <v>0.30153121319199055</v>
      </c>
      <c r="H329" s="3">
        <f t="shared" si="14"/>
        <v>0.69846878680800939</v>
      </c>
      <c r="I329" s="1" t="s">
        <v>532</v>
      </c>
      <c r="J329" s="2">
        <v>547</v>
      </c>
      <c r="K329" s="2">
        <v>1179</v>
      </c>
      <c r="L329" s="2">
        <v>1726</v>
      </c>
      <c r="M329" s="3">
        <v>0.31691772885283892</v>
      </c>
      <c r="N329" s="6">
        <v>-1.54</v>
      </c>
    </row>
    <row r="330" spans="1:14" x14ac:dyDescent="0.2">
      <c r="A330" s="1" t="s">
        <v>83</v>
      </c>
      <c r="B330" s="1" t="s">
        <v>101</v>
      </c>
      <c r="C330" s="1" t="s">
        <v>428</v>
      </c>
      <c r="D330" s="2">
        <v>248</v>
      </c>
      <c r="E330" s="2">
        <v>517</v>
      </c>
      <c r="F330" s="2">
        <f t="shared" si="12"/>
        <v>765</v>
      </c>
      <c r="G330" s="3">
        <f t="shared" si="13"/>
        <v>0.32418300653594773</v>
      </c>
      <c r="H330" s="3">
        <f t="shared" si="14"/>
        <v>0.67581699346405233</v>
      </c>
      <c r="I330" s="1" t="s">
        <v>532</v>
      </c>
      <c r="J330" s="2">
        <v>245</v>
      </c>
      <c r="K330" s="2">
        <v>537</v>
      </c>
      <c r="L330" s="2">
        <v>782</v>
      </c>
      <c r="M330" s="3">
        <v>0.3132992327365729</v>
      </c>
      <c r="N330" s="6">
        <v>1.0900000000000001</v>
      </c>
    </row>
    <row r="331" spans="1:14" x14ac:dyDescent="0.2">
      <c r="A331" s="1" t="s">
        <v>83</v>
      </c>
      <c r="B331" s="1" t="s">
        <v>102</v>
      </c>
      <c r="C331" s="1" t="s">
        <v>429</v>
      </c>
      <c r="D331" s="2">
        <v>538</v>
      </c>
      <c r="E331" s="2">
        <v>634</v>
      </c>
      <c r="F331" s="2">
        <f t="shared" si="12"/>
        <v>1172</v>
      </c>
      <c r="G331" s="3">
        <f t="shared" si="13"/>
        <v>0.4590443686006826</v>
      </c>
      <c r="H331" s="3">
        <f t="shared" si="14"/>
        <v>0.54095563139931746</v>
      </c>
      <c r="I331" s="1" t="s">
        <v>532</v>
      </c>
      <c r="J331" s="2">
        <v>601</v>
      </c>
      <c r="K331" s="2">
        <v>605</v>
      </c>
      <c r="L331" s="2">
        <v>1206</v>
      </c>
      <c r="M331" s="3">
        <v>0.49834162520729691</v>
      </c>
      <c r="N331" s="6">
        <v>-3.93</v>
      </c>
    </row>
    <row r="332" spans="1:14" x14ac:dyDescent="0.2">
      <c r="A332" s="1" t="s">
        <v>83</v>
      </c>
      <c r="B332" s="1" t="s">
        <v>102</v>
      </c>
      <c r="C332" s="1" t="s">
        <v>430</v>
      </c>
      <c r="D332" s="2">
        <v>518</v>
      </c>
      <c r="E332" s="2">
        <v>494</v>
      </c>
      <c r="F332" s="2">
        <f t="shared" ref="F332:F395" si="15">IF(COUNTA(D332:E332)=0,"",SUM(D332:E332))</f>
        <v>1012</v>
      </c>
      <c r="G332" s="3">
        <f t="shared" ref="G332:G395" si="16">IF(OR(F332="",F332=0),"",D332/F332)</f>
        <v>0.51185770750988147</v>
      </c>
      <c r="H332" s="3">
        <f t="shared" ref="H332:H381" si="17">IF(OR(F332="",F332=0),"",E332/F332)</f>
        <v>0.48814229249011859</v>
      </c>
      <c r="I332" s="1" t="s">
        <v>532</v>
      </c>
      <c r="J332" s="2">
        <v>523</v>
      </c>
      <c r="K332" s="2">
        <v>542</v>
      </c>
      <c r="L332" s="2">
        <v>1065</v>
      </c>
      <c r="M332" s="3">
        <v>0.49107981220657282</v>
      </c>
      <c r="N332" s="6">
        <v>2.08</v>
      </c>
    </row>
    <row r="333" spans="1:14" x14ac:dyDescent="0.2">
      <c r="A333" s="1" t="s">
        <v>83</v>
      </c>
      <c r="B333" s="1" t="s">
        <v>102</v>
      </c>
      <c r="C333" s="1" t="s">
        <v>431</v>
      </c>
      <c r="D333" s="2">
        <v>463</v>
      </c>
      <c r="E333" s="2">
        <v>520</v>
      </c>
      <c r="F333" s="2">
        <f t="shared" si="15"/>
        <v>983</v>
      </c>
      <c r="G333" s="3">
        <f t="shared" si="16"/>
        <v>0.47100712105798576</v>
      </c>
      <c r="H333" s="3">
        <f t="shared" si="17"/>
        <v>0.52899287894201419</v>
      </c>
      <c r="I333" s="1" t="s">
        <v>532</v>
      </c>
      <c r="J333" s="2">
        <v>472</v>
      </c>
      <c r="K333" s="2">
        <v>517</v>
      </c>
      <c r="L333" s="2">
        <v>989</v>
      </c>
      <c r="M333" s="3">
        <v>0.47724974721941349</v>
      </c>
      <c r="N333" s="6">
        <v>-0.62</v>
      </c>
    </row>
    <row r="334" spans="1:14" x14ac:dyDescent="0.2">
      <c r="A334" s="1" t="s">
        <v>83</v>
      </c>
      <c r="B334" s="1" t="s">
        <v>103</v>
      </c>
      <c r="C334" s="1" t="s">
        <v>432</v>
      </c>
      <c r="D334" s="2">
        <v>220</v>
      </c>
      <c r="E334" s="2">
        <v>289</v>
      </c>
      <c r="F334" s="2">
        <f t="shared" si="15"/>
        <v>509</v>
      </c>
      <c r="G334" s="3">
        <f t="shared" si="16"/>
        <v>0.43222003929273084</v>
      </c>
      <c r="H334" s="3">
        <f t="shared" si="17"/>
        <v>0.5677799607072691</v>
      </c>
      <c r="I334" s="1" t="s">
        <v>532</v>
      </c>
      <c r="J334" s="2">
        <v>222</v>
      </c>
      <c r="K334" s="2">
        <v>276</v>
      </c>
      <c r="L334" s="2">
        <v>498</v>
      </c>
      <c r="M334" s="3">
        <v>0.44578313253012047</v>
      </c>
      <c r="N334" s="6">
        <v>-1.36</v>
      </c>
    </row>
    <row r="335" spans="1:14" x14ac:dyDescent="0.2">
      <c r="A335" s="1" t="s">
        <v>83</v>
      </c>
      <c r="B335" s="1" t="s">
        <v>103</v>
      </c>
      <c r="C335" s="1" t="s">
        <v>433</v>
      </c>
      <c r="D335" s="2">
        <v>609</v>
      </c>
      <c r="E335" s="2">
        <v>657</v>
      </c>
      <c r="F335" s="2">
        <f t="shared" si="15"/>
        <v>1266</v>
      </c>
      <c r="G335" s="3">
        <f t="shared" si="16"/>
        <v>0.48104265402843605</v>
      </c>
      <c r="H335" s="3">
        <f t="shared" si="17"/>
        <v>0.51895734597156395</v>
      </c>
      <c r="I335" s="1" t="s">
        <v>532</v>
      </c>
      <c r="J335" s="2">
        <v>625</v>
      </c>
      <c r="K335" s="2">
        <v>613</v>
      </c>
      <c r="L335" s="2">
        <v>1238</v>
      </c>
      <c r="M335" s="3">
        <v>0.50484652665589658</v>
      </c>
      <c r="N335" s="6">
        <v>-2.38</v>
      </c>
    </row>
    <row r="336" spans="1:14" x14ac:dyDescent="0.2">
      <c r="A336" s="1" t="s">
        <v>83</v>
      </c>
      <c r="B336" s="1" t="s">
        <v>104</v>
      </c>
      <c r="C336" s="1" t="s">
        <v>434</v>
      </c>
      <c r="D336" s="2">
        <v>652</v>
      </c>
      <c r="E336" s="2">
        <v>768</v>
      </c>
      <c r="F336" s="2">
        <f t="shared" si="15"/>
        <v>1420</v>
      </c>
      <c r="G336" s="3">
        <f t="shared" si="16"/>
        <v>0.45915492957746479</v>
      </c>
      <c r="H336" s="3">
        <f t="shared" si="17"/>
        <v>0.54084507042253516</v>
      </c>
      <c r="I336" s="1" t="s">
        <v>532</v>
      </c>
      <c r="J336" s="2">
        <v>628</v>
      </c>
      <c r="K336" s="2">
        <v>719</v>
      </c>
      <c r="L336" s="2">
        <v>1347</v>
      </c>
      <c r="M336" s="3">
        <v>0.46622123236822571</v>
      </c>
      <c r="N336" s="6">
        <v>-0.71</v>
      </c>
    </row>
    <row r="337" spans="1:14" x14ac:dyDescent="0.2">
      <c r="A337" s="1" t="s">
        <v>83</v>
      </c>
      <c r="B337" s="1" t="s">
        <v>104</v>
      </c>
      <c r="C337" s="1" t="s">
        <v>435</v>
      </c>
      <c r="D337" s="2">
        <v>573</v>
      </c>
      <c r="E337" s="2">
        <v>643</v>
      </c>
      <c r="F337" s="2">
        <f t="shared" si="15"/>
        <v>1216</v>
      </c>
      <c r="G337" s="3">
        <f t="shared" si="16"/>
        <v>0.47121710526315791</v>
      </c>
      <c r="H337" s="3">
        <f t="shared" si="17"/>
        <v>0.52878289473684215</v>
      </c>
      <c r="I337" s="1" t="s">
        <v>532</v>
      </c>
      <c r="J337" s="2">
        <v>588</v>
      </c>
      <c r="K337" s="2">
        <v>628</v>
      </c>
      <c r="L337" s="2">
        <v>1216</v>
      </c>
      <c r="M337" s="3">
        <v>0.48355263157894729</v>
      </c>
      <c r="N337" s="6">
        <v>-1.23</v>
      </c>
    </row>
    <row r="338" spans="1:14" x14ac:dyDescent="0.2">
      <c r="A338" s="1" t="s">
        <v>83</v>
      </c>
      <c r="B338" s="1" t="s">
        <v>104</v>
      </c>
      <c r="C338" s="1" t="s">
        <v>436</v>
      </c>
      <c r="D338" s="2">
        <v>1163</v>
      </c>
      <c r="E338" s="2">
        <v>1353</v>
      </c>
      <c r="F338" s="2">
        <f t="shared" si="15"/>
        <v>2516</v>
      </c>
      <c r="G338" s="3">
        <f t="shared" si="16"/>
        <v>0.46224165341812401</v>
      </c>
      <c r="H338" s="3">
        <f t="shared" si="17"/>
        <v>0.53775834658187605</v>
      </c>
      <c r="I338" s="1" t="s">
        <v>532</v>
      </c>
      <c r="J338" s="2">
        <v>1120</v>
      </c>
      <c r="K338" s="2">
        <v>1352</v>
      </c>
      <c r="L338" s="2">
        <v>2472</v>
      </c>
      <c r="M338" s="3">
        <v>0.45307443365695788</v>
      </c>
      <c r="N338" s="6">
        <v>0.92</v>
      </c>
    </row>
    <row r="339" spans="1:14" x14ac:dyDescent="0.2">
      <c r="A339" s="1" t="s">
        <v>83</v>
      </c>
      <c r="B339" s="1" t="s">
        <v>104</v>
      </c>
      <c r="C339" s="1" t="s">
        <v>437</v>
      </c>
      <c r="D339" s="2">
        <v>255</v>
      </c>
      <c r="E339" s="2">
        <v>298</v>
      </c>
      <c r="F339" s="2">
        <f t="shared" si="15"/>
        <v>553</v>
      </c>
      <c r="G339" s="3">
        <f t="shared" si="16"/>
        <v>0.46112115732368897</v>
      </c>
      <c r="H339" s="3">
        <f t="shared" si="17"/>
        <v>0.53887884267631103</v>
      </c>
      <c r="I339" s="1" t="s">
        <v>532</v>
      </c>
      <c r="J339" s="2">
        <v>237</v>
      </c>
      <c r="K339" s="2">
        <v>324</v>
      </c>
      <c r="L339" s="2">
        <v>561</v>
      </c>
      <c r="M339" s="3">
        <v>0.42245989304812842</v>
      </c>
      <c r="N339" s="6">
        <v>3.87</v>
      </c>
    </row>
    <row r="340" spans="1:14" x14ac:dyDescent="0.2">
      <c r="A340" s="1" t="s">
        <v>83</v>
      </c>
      <c r="B340" s="1" t="s">
        <v>105</v>
      </c>
      <c r="C340" s="1" t="s">
        <v>438</v>
      </c>
      <c r="D340" s="2">
        <v>812</v>
      </c>
      <c r="E340" s="2">
        <v>846</v>
      </c>
      <c r="F340" s="2">
        <f t="shared" si="15"/>
        <v>1658</v>
      </c>
      <c r="G340" s="3">
        <f t="shared" si="16"/>
        <v>0.48974668275030159</v>
      </c>
      <c r="H340" s="3">
        <f t="shared" si="17"/>
        <v>0.51025331724969847</v>
      </c>
      <c r="I340" s="1" t="s">
        <v>538</v>
      </c>
    </row>
    <row r="341" spans="1:14" x14ac:dyDescent="0.2">
      <c r="A341" s="1" t="s">
        <v>83</v>
      </c>
      <c r="B341" s="1" t="s">
        <v>105</v>
      </c>
      <c r="C341" s="1" t="s">
        <v>439</v>
      </c>
      <c r="D341" s="2">
        <v>528</v>
      </c>
      <c r="E341" s="2">
        <v>546</v>
      </c>
      <c r="F341" s="2">
        <f t="shared" si="15"/>
        <v>1074</v>
      </c>
      <c r="G341" s="3">
        <f t="shared" si="16"/>
        <v>0.49162011173184356</v>
      </c>
      <c r="H341" s="3">
        <f t="shared" si="17"/>
        <v>0.50837988826815639</v>
      </c>
      <c r="I341" s="1" t="s">
        <v>538</v>
      </c>
    </row>
    <row r="342" spans="1:14" x14ac:dyDescent="0.2">
      <c r="A342" s="1" t="s">
        <v>83</v>
      </c>
      <c r="B342" s="1" t="s">
        <v>105</v>
      </c>
      <c r="C342" s="1" t="s">
        <v>440</v>
      </c>
      <c r="D342" s="2">
        <v>768</v>
      </c>
      <c r="E342" s="2">
        <v>803</v>
      </c>
      <c r="F342" s="2">
        <f t="shared" si="15"/>
        <v>1571</v>
      </c>
      <c r="G342" s="3">
        <f t="shared" si="16"/>
        <v>0.48886059834500317</v>
      </c>
      <c r="H342" s="3">
        <f t="shared" si="17"/>
        <v>0.51113940165499683</v>
      </c>
      <c r="I342" s="1" t="s">
        <v>538</v>
      </c>
    </row>
    <row r="343" spans="1:14" x14ac:dyDescent="0.2">
      <c r="A343" s="1" t="s">
        <v>83</v>
      </c>
      <c r="B343" s="1" t="s">
        <v>105</v>
      </c>
      <c r="C343" s="1" t="s">
        <v>441</v>
      </c>
      <c r="D343" s="2">
        <v>886</v>
      </c>
      <c r="E343" s="2">
        <v>939</v>
      </c>
      <c r="F343" s="2">
        <f t="shared" si="15"/>
        <v>1825</v>
      </c>
      <c r="G343" s="3">
        <f t="shared" si="16"/>
        <v>0.48547945205479454</v>
      </c>
      <c r="H343" s="3">
        <f t="shared" si="17"/>
        <v>0.51452054794520552</v>
      </c>
      <c r="I343" s="1" t="s">
        <v>538</v>
      </c>
    </row>
    <row r="344" spans="1:14" x14ac:dyDescent="0.2">
      <c r="A344" s="1" t="s">
        <v>83</v>
      </c>
      <c r="B344" s="1" t="s">
        <v>105</v>
      </c>
      <c r="C344" s="1" t="s">
        <v>442</v>
      </c>
      <c r="D344" s="2">
        <v>794</v>
      </c>
      <c r="E344" s="2">
        <v>823</v>
      </c>
      <c r="F344" s="2">
        <f t="shared" si="15"/>
        <v>1617</v>
      </c>
      <c r="G344" s="3">
        <f t="shared" si="16"/>
        <v>0.49103277674706247</v>
      </c>
      <c r="H344" s="3">
        <f t="shared" si="17"/>
        <v>0.50896722325293753</v>
      </c>
      <c r="I344" s="1" t="s">
        <v>538</v>
      </c>
    </row>
    <row r="345" spans="1:14" x14ac:dyDescent="0.2">
      <c r="A345" s="1" t="s">
        <v>83</v>
      </c>
      <c r="B345" s="1" t="s">
        <v>105</v>
      </c>
      <c r="C345" s="1" t="s">
        <v>443</v>
      </c>
      <c r="D345" s="2">
        <v>726</v>
      </c>
      <c r="E345" s="2">
        <v>757</v>
      </c>
      <c r="F345" s="2">
        <f t="shared" si="15"/>
        <v>1483</v>
      </c>
      <c r="G345" s="3">
        <f t="shared" si="16"/>
        <v>0.48954821308159135</v>
      </c>
      <c r="H345" s="3">
        <f t="shared" si="17"/>
        <v>0.51045178691840865</v>
      </c>
      <c r="I345" s="1" t="s">
        <v>538</v>
      </c>
    </row>
    <row r="346" spans="1:14" x14ac:dyDescent="0.2">
      <c r="A346" s="1" t="s">
        <v>83</v>
      </c>
      <c r="B346" s="1" t="s">
        <v>105</v>
      </c>
      <c r="C346" s="1" t="s">
        <v>444</v>
      </c>
      <c r="D346" s="2">
        <v>715</v>
      </c>
      <c r="E346" s="2">
        <v>757</v>
      </c>
      <c r="F346" s="2">
        <f t="shared" si="15"/>
        <v>1472</v>
      </c>
      <c r="G346" s="3">
        <f t="shared" si="16"/>
        <v>0.48573369565217389</v>
      </c>
      <c r="H346" s="3">
        <f t="shared" si="17"/>
        <v>0.51426630434782605</v>
      </c>
      <c r="I346" s="1" t="s">
        <v>538</v>
      </c>
    </row>
    <row r="347" spans="1:14" x14ac:dyDescent="0.2">
      <c r="A347" s="1" t="s">
        <v>83</v>
      </c>
      <c r="B347" s="1" t="s">
        <v>105</v>
      </c>
      <c r="C347" s="1" t="s">
        <v>445</v>
      </c>
      <c r="D347" s="2">
        <v>693</v>
      </c>
      <c r="E347" s="2">
        <v>722</v>
      </c>
      <c r="F347" s="2">
        <f t="shared" si="15"/>
        <v>1415</v>
      </c>
      <c r="G347" s="3">
        <f t="shared" si="16"/>
        <v>0.48975265017667846</v>
      </c>
      <c r="H347" s="3">
        <f t="shared" si="17"/>
        <v>0.51024734982332154</v>
      </c>
      <c r="I347" s="1" t="s">
        <v>538</v>
      </c>
    </row>
    <row r="348" spans="1:14" x14ac:dyDescent="0.2">
      <c r="A348" s="1" t="s">
        <v>83</v>
      </c>
      <c r="B348" s="1" t="s">
        <v>105</v>
      </c>
      <c r="C348" s="1" t="s">
        <v>446</v>
      </c>
      <c r="D348" s="2">
        <v>822</v>
      </c>
      <c r="E348" s="2">
        <v>857</v>
      </c>
      <c r="F348" s="2">
        <f t="shared" si="15"/>
        <v>1679</v>
      </c>
      <c r="G348" s="3">
        <f t="shared" si="16"/>
        <v>0.48957712924359736</v>
      </c>
      <c r="H348" s="3">
        <f t="shared" si="17"/>
        <v>0.51042287075640258</v>
      </c>
      <c r="I348" s="1" t="s">
        <v>538</v>
      </c>
    </row>
    <row r="349" spans="1:14" x14ac:dyDescent="0.2">
      <c r="A349" s="1" t="s">
        <v>83</v>
      </c>
      <c r="B349" s="1" t="s">
        <v>106</v>
      </c>
      <c r="C349" s="1" t="s">
        <v>447</v>
      </c>
      <c r="D349" s="2">
        <v>105</v>
      </c>
      <c r="E349" s="2">
        <v>181</v>
      </c>
      <c r="F349" s="2">
        <f t="shared" si="15"/>
        <v>286</v>
      </c>
      <c r="G349" s="3">
        <f t="shared" si="16"/>
        <v>0.36713286713286714</v>
      </c>
      <c r="H349" s="3">
        <f t="shared" si="17"/>
        <v>0.63286713286713292</v>
      </c>
      <c r="I349" s="1" t="s">
        <v>532</v>
      </c>
      <c r="J349" s="2">
        <v>112</v>
      </c>
      <c r="K349" s="2">
        <v>199</v>
      </c>
      <c r="L349" s="2">
        <v>311</v>
      </c>
      <c r="M349" s="3">
        <v>0.36012861736334412</v>
      </c>
      <c r="N349" s="6">
        <v>0.7</v>
      </c>
    </row>
    <row r="350" spans="1:14" x14ac:dyDescent="0.2">
      <c r="A350" s="1" t="s">
        <v>83</v>
      </c>
      <c r="B350" s="1" t="s">
        <v>106</v>
      </c>
      <c r="C350" s="1" t="s">
        <v>448</v>
      </c>
      <c r="D350" s="2">
        <v>236</v>
      </c>
      <c r="E350" s="2">
        <v>513</v>
      </c>
      <c r="F350" s="2">
        <f t="shared" si="15"/>
        <v>749</v>
      </c>
      <c r="G350" s="3">
        <f t="shared" si="16"/>
        <v>0.31508678237650201</v>
      </c>
      <c r="H350" s="3">
        <f t="shared" si="17"/>
        <v>0.68491321762349799</v>
      </c>
      <c r="I350" s="1" t="s">
        <v>532</v>
      </c>
      <c r="J350" s="2">
        <v>259</v>
      </c>
      <c r="K350" s="2">
        <v>480</v>
      </c>
      <c r="L350" s="2">
        <v>739</v>
      </c>
      <c r="M350" s="3">
        <v>0.35047361299052782</v>
      </c>
      <c r="N350" s="6">
        <v>-3.54</v>
      </c>
    </row>
    <row r="351" spans="1:14" x14ac:dyDescent="0.2">
      <c r="A351" s="1" t="s">
        <v>83</v>
      </c>
      <c r="B351" s="1" t="s">
        <v>106</v>
      </c>
      <c r="C351" s="1" t="s">
        <v>449</v>
      </c>
      <c r="D351" s="2">
        <v>198</v>
      </c>
      <c r="E351" s="2">
        <v>305</v>
      </c>
      <c r="F351" s="2">
        <f t="shared" si="15"/>
        <v>503</v>
      </c>
      <c r="G351" s="3">
        <f t="shared" si="16"/>
        <v>0.39363817097415504</v>
      </c>
      <c r="H351" s="3">
        <f t="shared" si="17"/>
        <v>0.6063618290258449</v>
      </c>
      <c r="I351" s="1" t="s">
        <v>532</v>
      </c>
      <c r="J351" s="2">
        <v>204</v>
      </c>
      <c r="K351" s="2">
        <v>301</v>
      </c>
      <c r="L351" s="2">
        <v>505</v>
      </c>
      <c r="M351" s="3">
        <v>0.40396039603960399</v>
      </c>
      <c r="N351" s="6">
        <v>-1.03</v>
      </c>
    </row>
    <row r="352" spans="1:14" x14ac:dyDescent="0.2">
      <c r="A352" s="1" t="s">
        <v>83</v>
      </c>
      <c r="B352" s="1" t="s">
        <v>106</v>
      </c>
      <c r="C352" s="1" t="s">
        <v>450</v>
      </c>
      <c r="D352" s="2">
        <v>129</v>
      </c>
      <c r="E352" s="2">
        <v>179</v>
      </c>
      <c r="F352" s="2">
        <f t="shared" si="15"/>
        <v>308</v>
      </c>
      <c r="G352" s="3">
        <f t="shared" si="16"/>
        <v>0.41883116883116883</v>
      </c>
      <c r="H352" s="3">
        <f t="shared" si="17"/>
        <v>0.58116883116883122</v>
      </c>
      <c r="I352" s="1" t="s">
        <v>532</v>
      </c>
      <c r="J352" s="2">
        <v>128</v>
      </c>
      <c r="K352" s="2">
        <v>200</v>
      </c>
      <c r="L352" s="2">
        <v>328</v>
      </c>
      <c r="M352" s="3">
        <v>0.3902439024390244</v>
      </c>
      <c r="N352" s="6">
        <v>2.86</v>
      </c>
    </row>
    <row r="353" spans="1:14" x14ac:dyDescent="0.2">
      <c r="A353" s="1" t="s">
        <v>83</v>
      </c>
      <c r="B353" s="1" t="s">
        <v>107</v>
      </c>
      <c r="C353" s="1" t="s">
        <v>451</v>
      </c>
      <c r="D353" s="2">
        <v>368</v>
      </c>
      <c r="E353" s="2">
        <v>846</v>
      </c>
      <c r="F353" s="2">
        <f t="shared" si="15"/>
        <v>1214</v>
      </c>
      <c r="G353" s="3">
        <f t="shared" si="16"/>
        <v>0.3031301482701812</v>
      </c>
      <c r="H353" s="3">
        <f t="shared" si="17"/>
        <v>0.69686985172981875</v>
      </c>
      <c r="I353" s="1" t="s">
        <v>532</v>
      </c>
      <c r="J353" s="2">
        <v>412</v>
      </c>
      <c r="K353" s="2">
        <v>767</v>
      </c>
      <c r="L353" s="2">
        <v>1179</v>
      </c>
      <c r="M353" s="3">
        <v>0.34944868532654788</v>
      </c>
      <c r="N353" s="6">
        <v>-4.63</v>
      </c>
    </row>
    <row r="354" spans="1:14" x14ac:dyDescent="0.2">
      <c r="A354" s="1" t="s">
        <v>83</v>
      </c>
      <c r="B354" s="1" t="s">
        <v>107</v>
      </c>
      <c r="C354" s="1" t="s">
        <v>452</v>
      </c>
      <c r="D354" s="2">
        <v>310</v>
      </c>
      <c r="E354" s="2">
        <v>658</v>
      </c>
      <c r="F354" s="2">
        <f t="shared" si="15"/>
        <v>968</v>
      </c>
      <c r="G354" s="3">
        <f t="shared" si="16"/>
        <v>0.32024793388429751</v>
      </c>
      <c r="H354" s="3">
        <f t="shared" si="17"/>
        <v>0.67975206611570249</v>
      </c>
      <c r="I354" s="1" t="s">
        <v>532</v>
      </c>
      <c r="J354" s="2">
        <v>361</v>
      </c>
      <c r="K354" s="2">
        <v>633</v>
      </c>
      <c r="L354" s="2">
        <v>994</v>
      </c>
      <c r="M354" s="3">
        <v>0.36317907444668007</v>
      </c>
      <c r="N354" s="6">
        <v>-4.29</v>
      </c>
    </row>
    <row r="355" spans="1:14" x14ac:dyDescent="0.2">
      <c r="A355" s="1" t="s">
        <v>83</v>
      </c>
      <c r="B355" s="1" t="s">
        <v>107</v>
      </c>
      <c r="C355" s="1" t="s">
        <v>453</v>
      </c>
      <c r="D355" s="2">
        <v>259</v>
      </c>
      <c r="E355" s="2">
        <v>590</v>
      </c>
      <c r="F355" s="2">
        <f t="shared" si="15"/>
        <v>849</v>
      </c>
      <c r="G355" s="3">
        <f t="shared" si="16"/>
        <v>0.30506478209658422</v>
      </c>
      <c r="H355" s="3">
        <f t="shared" si="17"/>
        <v>0.69493521790341584</v>
      </c>
      <c r="I355" s="1" t="s">
        <v>532</v>
      </c>
      <c r="J355" s="2">
        <v>286</v>
      </c>
      <c r="K355" s="2">
        <v>553</v>
      </c>
      <c r="L355" s="2">
        <v>839</v>
      </c>
      <c r="M355" s="3">
        <v>0.34088200238379018</v>
      </c>
      <c r="N355" s="6">
        <v>-3.58</v>
      </c>
    </row>
    <row r="356" spans="1:14" x14ac:dyDescent="0.2">
      <c r="A356" s="1" t="s">
        <v>83</v>
      </c>
      <c r="B356" s="1" t="s">
        <v>107</v>
      </c>
      <c r="C356" s="1" t="s">
        <v>454</v>
      </c>
      <c r="D356" s="2">
        <v>279</v>
      </c>
      <c r="E356" s="2">
        <v>640</v>
      </c>
      <c r="F356" s="2">
        <f t="shared" si="15"/>
        <v>919</v>
      </c>
      <c r="G356" s="3">
        <f t="shared" si="16"/>
        <v>0.30359085963003263</v>
      </c>
      <c r="H356" s="3">
        <f t="shared" si="17"/>
        <v>0.69640914036996737</v>
      </c>
      <c r="I356" s="1" t="s">
        <v>532</v>
      </c>
      <c r="J356" s="2">
        <v>302</v>
      </c>
      <c r="K356" s="2">
        <v>608</v>
      </c>
      <c r="L356" s="2">
        <v>910</v>
      </c>
      <c r="M356" s="3">
        <v>0.33186813186813191</v>
      </c>
      <c r="N356" s="6">
        <v>-2.83</v>
      </c>
    </row>
    <row r="357" spans="1:14" x14ac:dyDescent="0.2">
      <c r="A357" s="1" t="s">
        <v>83</v>
      </c>
      <c r="B357" s="1" t="s">
        <v>108</v>
      </c>
      <c r="C357" s="1" t="s">
        <v>108</v>
      </c>
      <c r="D357" s="2">
        <v>73</v>
      </c>
      <c r="E357" s="2">
        <v>176</v>
      </c>
      <c r="F357" s="2">
        <f t="shared" si="15"/>
        <v>249</v>
      </c>
      <c r="G357" s="3">
        <f t="shared" si="16"/>
        <v>0.29317269076305219</v>
      </c>
      <c r="H357" s="3">
        <f t="shared" si="17"/>
        <v>0.70682730923694781</v>
      </c>
      <c r="I357" s="1" t="s">
        <v>532</v>
      </c>
      <c r="J357" s="2">
        <v>92</v>
      </c>
      <c r="K357" s="2">
        <v>167</v>
      </c>
      <c r="L357" s="2">
        <v>259</v>
      </c>
      <c r="M357" s="3">
        <v>0.35521235521235522</v>
      </c>
      <c r="N357" s="6">
        <v>-6.2</v>
      </c>
    </row>
    <row r="358" spans="1:14" x14ac:dyDescent="0.2">
      <c r="A358" s="1" t="s">
        <v>83</v>
      </c>
      <c r="B358" s="1" t="s">
        <v>109</v>
      </c>
      <c r="C358" s="1" t="s">
        <v>109</v>
      </c>
      <c r="D358" s="2">
        <v>328</v>
      </c>
      <c r="E358" s="2">
        <v>604</v>
      </c>
      <c r="F358" s="2">
        <f t="shared" si="15"/>
        <v>932</v>
      </c>
      <c r="G358" s="3">
        <f t="shared" si="16"/>
        <v>0.35193133047210301</v>
      </c>
      <c r="H358" s="3">
        <f t="shared" si="17"/>
        <v>0.64806866952789699</v>
      </c>
      <c r="I358" s="1" t="s">
        <v>532</v>
      </c>
      <c r="J358" s="2">
        <v>335</v>
      </c>
      <c r="K358" s="2">
        <v>581</v>
      </c>
      <c r="L358" s="2">
        <v>916</v>
      </c>
      <c r="M358" s="3">
        <v>0.36572052401746719</v>
      </c>
      <c r="N358" s="6">
        <v>-1.38</v>
      </c>
    </row>
    <row r="359" spans="1:14" x14ac:dyDescent="0.2">
      <c r="A359" s="1" t="s">
        <v>83</v>
      </c>
      <c r="B359" s="1" t="s">
        <v>110</v>
      </c>
      <c r="C359" s="1" t="s">
        <v>110</v>
      </c>
      <c r="D359" s="2">
        <v>193</v>
      </c>
      <c r="E359" s="2">
        <v>321</v>
      </c>
      <c r="F359" s="2">
        <f t="shared" si="15"/>
        <v>514</v>
      </c>
      <c r="G359" s="3">
        <f t="shared" si="16"/>
        <v>0.3754863813229572</v>
      </c>
      <c r="H359" s="3">
        <f t="shared" si="17"/>
        <v>0.6245136186770428</v>
      </c>
      <c r="I359" s="1" t="s">
        <v>532</v>
      </c>
      <c r="J359" s="2">
        <v>210</v>
      </c>
      <c r="K359" s="2">
        <v>309</v>
      </c>
      <c r="L359" s="2">
        <v>519</v>
      </c>
      <c r="M359" s="3">
        <v>0.40462427745664742</v>
      </c>
      <c r="N359" s="6">
        <v>-2.91</v>
      </c>
    </row>
    <row r="360" spans="1:14" x14ac:dyDescent="0.2">
      <c r="A360" s="1" t="s">
        <v>83</v>
      </c>
      <c r="B360" s="1" t="s">
        <v>111</v>
      </c>
      <c r="C360" s="1" t="s">
        <v>111</v>
      </c>
      <c r="D360" s="2">
        <v>310</v>
      </c>
      <c r="E360" s="2">
        <v>462</v>
      </c>
      <c r="F360" s="2">
        <f t="shared" si="15"/>
        <v>772</v>
      </c>
      <c r="G360" s="3">
        <f t="shared" si="16"/>
        <v>0.4015544041450777</v>
      </c>
      <c r="H360" s="3">
        <f t="shared" si="17"/>
        <v>0.5984455958549223</v>
      </c>
      <c r="I360" s="1" t="s">
        <v>532</v>
      </c>
      <c r="J360" s="2">
        <v>331</v>
      </c>
      <c r="K360" s="2">
        <v>458</v>
      </c>
      <c r="L360" s="2">
        <v>789</v>
      </c>
      <c r="M360" s="3">
        <v>0.41951837769328271</v>
      </c>
      <c r="N360" s="6">
        <v>-1.8</v>
      </c>
    </row>
    <row r="361" spans="1:14" x14ac:dyDescent="0.2">
      <c r="A361" s="1" t="s">
        <v>83</v>
      </c>
      <c r="B361" s="1" t="s">
        <v>112</v>
      </c>
      <c r="C361" s="1" t="s">
        <v>455</v>
      </c>
      <c r="D361" s="2">
        <v>258</v>
      </c>
      <c r="E361" s="2">
        <v>751</v>
      </c>
      <c r="F361" s="2">
        <f t="shared" si="15"/>
        <v>1009</v>
      </c>
      <c r="G361" s="3">
        <f t="shared" si="16"/>
        <v>0.25569871159563923</v>
      </c>
      <c r="H361" s="3">
        <f t="shared" si="17"/>
        <v>0.74430128840436072</v>
      </c>
      <c r="I361" s="1" t="s">
        <v>532</v>
      </c>
      <c r="J361" s="2">
        <v>307</v>
      </c>
      <c r="K361" s="2">
        <v>746</v>
      </c>
      <c r="L361" s="2">
        <v>1053</v>
      </c>
      <c r="M361" s="3">
        <v>0.29154795821462492</v>
      </c>
      <c r="N361" s="6">
        <v>-3.58</v>
      </c>
    </row>
    <row r="362" spans="1:14" x14ac:dyDescent="0.2">
      <c r="A362" s="1" t="s">
        <v>83</v>
      </c>
      <c r="B362" s="1" t="s">
        <v>112</v>
      </c>
      <c r="C362" s="1" t="s">
        <v>456</v>
      </c>
      <c r="D362" s="2">
        <v>207</v>
      </c>
      <c r="E362" s="2">
        <v>517</v>
      </c>
      <c r="F362" s="2">
        <f t="shared" si="15"/>
        <v>724</v>
      </c>
      <c r="G362" s="3">
        <f t="shared" si="16"/>
        <v>0.28591160220994477</v>
      </c>
      <c r="H362" s="3">
        <f t="shared" si="17"/>
        <v>0.71408839779005528</v>
      </c>
      <c r="I362" s="1" t="s">
        <v>532</v>
      </c>
      <c r="J362" s="2">
        <v>232</v>
      </c>
      <c r="K362" s="2">
        <v>487</v>
      </c>
      <c r="L362" s="2">
        <v>719</v>
      </c>
      <c r="M362" s="3">
        <v>0.3226703755215577</v>
      </c>
      <c r="N362" s="6">
        <v>-3.68</v>
      </c>
    </row>
    <row r="363" spans="1:14" x14ac:dyDescent="0.2">
      <c r="A363" s="1" t="s">
        <v>83</v>
      </c>
      <c r="B363" s="1" t="s">
        <v>112</v>
      </c>
      <c r="C363" s="1" t="s">
        <v>457</v>
      </c>
      <c r="D363" s="2">
        <v>160</v>
      </c>
      <c r="E363" s="2">
        <v>458</v>
      </c>
      <c r="F363" s="2">
        <f t="shared" si="15"/>
        <v>618</v>
      </c>
      <c r="G363" s="3">
        <f t="shared" si="16"/>
        <v>0.25889967637540451</v>
      </c>
      <c r="H363" s="3">
        <f t="shared" si="17"/>
        <v>0.74110032362459544</v>
      </c>
      <c r="I363" s="1" t="s">
        <v>532</v>
      </c>
      <c r="J363" s="2">
        <v>178</v>
      </c>
      <c r="K363" s="2">
        <v>480</v>
      </c>
      <c r="L363" s="2">
        <v>658</v>
      </c>
      <c r="M363" s="3">
        <v>0.27051671732522797</v>
      </c>
      <c r="N363" s="6">
        <v>-1.1599999999999999</v>
      </c>
    </row>
    <row r="364" spans="1:14" x14ac:dyDescent="0.2">
      <c r="A364" s="1" t="s">
        <v>83</v>
      </c>
      <c r="B364" s="1" t="s">
        <v>112</v>
      </c>
      <c r="C364" s="1" t="s">
        <v>458</v>
      </c>
      <c r="D364" s="2">
        <v>177</v>
      </c>
      <c r="E364" s="2">
        <v>417</v>
      </c>
      <c r="F364" s="2">
        <f t="shared" si="15"/>
        <v>594</v>
      </c>
      <c r="G364" s="3">
        <f t="shared" si="16"/>
        <v>0.29797979797979796</v>
      </c>
      <c r="H364" s="3">
        <f t="shared" si="17"/>
        <v>0.70202020202020199</v>
      </c>
      <c r="I364" s="1" t="s">
        <v>532</v>
      </c>
      <c r="J364" s="2">
        <v>180</v>
      </c>
      <c r="K364" s="2">
        <v>430</v>
      </c>
      <c r="L364" s="2">
        <v>610</v>
      </c>
      <c r="M364" s="3">
        <v>0.29508196721311469</v>
      </c>
      <c r="N364" s="6">
        <v>0.28999999999999998</v>
      </c>
    </row>
    <row r="365" spans="1:14" x14ac:dyDescent="0.2">
      <c r="A365" s="1" t="s">
        <v>83</v>
      </c>
      <c r="B365" s="1" t="s">
        <v>112</v>
      </c>
      <c r="C365" s="1" t="s">
        <v>459</v>
      </c>
      <c r="D365" s="2">
        <v>315</v>
      </c>
      <c r="E365" s="2">
        <v>598</v>
      </c>
      <c r="F365" s="2">
        <f t="shared" si="15"/>
        <v>913</v>
      </c>
      <c r="G365" s="3">
        <f t="shared" si="16"/>
        <v>0.34501642935377874</v>
      </c>
      <c r="H365" s="3">
        <f t="shared" si="17"/>
        <v>0.65498357064622126</v>
      </c>
      <c r="I365" s="1" t="s">
        <v>532</v>
      </c>
      <c r="J365" s="2">
        <v>345</v>
      </c>
      <c r="K365" s="2">
        <v>573</v>
      </c>
      <c r="L365" s="2">
        <v>918</v>
      </c>
      <c r="M365" s="3">
        <v>0.37581699346405228</v>
      </c>
      <c r="N365" s="6">
        <v>-3.08</v>
      </c>
    </row>
    <row r="366" spans="1:14" x14ac:dyDescent="0.2">
      <c r="A366" s="1" t="s">
        <v>83</v>
      </c>
      <c r="B366" s="1" t="s">
        <v>113</v>
      </c>
      <c r="C366" s="1" t="s">
        <v>460</v>
      </c>
      <c r="D366" s="2">
        <v>698</v>
      </c>
      <c r="E366" s="2">
        <v>811</v>
      </c>
      <c r="F366" s="2">
        <f t="shared" si="15"/>
        <v>1509</v>
      </c>
      <c r="G366" s="3">
        <f t="shared" si="16"/>
        <v>0.4625579854208085</v>
      </c>
      <c r="H366" s="3">
        <f t="shared" si="17"/>
        <v>0.5374420145791915</v>
      </c>
      <c r="I366" s="1" t="s">
        <v>538</v>
      </c>
    </row>
    <row r="367" spans="1:14" x14ac:dyDescent="0.2">
      <c r="A367" s="1" t="s">
        <v>83</v>
      </c>
      <c r="B367" s="1" t="s">
        <v>113</v>
      </c>
      <c r="C367" s="1" t="s">
        <v>461</v>
      </c>
      <c r="D367" s="2">
        <v>339</v>
      </c>
      <c r="E367" s="2">
        <v>394</v>
      </c>
      <c r="F367" s="2">
        <f t="shared" si="15"/>
        <v>733</v>
      </c>
      <c r="G367" s="3">
        <f t="shared" si="16"/>
        <v>0.46248294679399726</v>
      </c>
      <c r="H367" s="3">
        <f t="shared" si="17"/>
        <v>0.53751705320600274</v>
      </c>
      <c r="I367" s="1" t="s">
        <v>538</v>
      </c>
    </row>
    <row r="368" spans="1:14" x14ac:dyDescent="0.2">
      <c r="A368" s="1" t="s">
        <v>83</v>
      </c>
      <c r="B368" s="1" t="s">
        <v>113</v>
      </c>
      <c r="C368" s="1" t="s">
        <v>462</v>
      </c>
      <c r="D368" s="2">
        <v>588</v>
      </c>
      <c r="E368" s="2">
        <v>686</v>
      </c>
      <c r="F368" s="2">
        <f t="shared" si="15"/>
        <v>1274</v>
      </c>
      <c r="G368" s="3">
        <f t="shared" si="16"/>
        <v>0.46153846153846156</v>
      </c>
      <c r="H368" s="3">
        <f t="shared" si="17"/>
        <v>0.53846153846153844</v>
      </c>
      <c r="I368" s="1" t="s">
        <v>538</v>
      </c>
    </row>
    <row r="369" spans="1:14" x14ac:dyDescent="0.2">
      <c r="A369" s="1" t="s">
        <v>83</v>
      </c>
      <c r="B369" s="1" t="s">
        <v>113</v>
      </c>
      <c r="C369" s="1" t="s">
        <v>463</v>
      </c>
      <c r="D369" s="2">
        <v>255</v>
      </c>
      <c r="E369" s="2">
        <v>298</v>
      </c>
      <c r="F369" s="2">
        <f t="shared" si="15"/>
        <v>553</v>
      </c>
      <c r="G369" s="3">
        <f t="shared" si="16"/>
        <v>0.46112115732368897</v>
      </c>
      <c r="H369" s="3">
        <f t="shared" si="17"/>
        <v>0.53887884267631103</v>
      </c>
      <c r="I369" s="1" t="s">
        <v>538</v>
      </c>
    </row>
    <row r="370" spans="1:14" x14ac:dyDescent="0.2">
      <c r="A370" s="1" t="s">
        <v>83</v>
      </c>
      <c r="B370" s="1" t="s">
        <v>114</v>
      </c>
      <c r="C370" s="1" t="s">
        <v>114</v>
      </c>
      <c r="D370" s="2">
        <v>405</v>
      </c>
      <c r="E370" s="2">
        <v>656</v>
      </c>
      <c r="F370" s="2">
        <f t="shared" si="15"/>
        <v>1061</v>
      </c>
      <c r="G370" s="3">
        <f t="shared" si="16"/>
        <v>0.38171536286522151</v>
      </c>
      <c r="H370" s="3">
        <f t="shared" si="17"/>
        <v>0.61828463713477855</v>
      </c>
      <c r="I370" s="1" t="s">
        <v>532</v>
      </c>
      <c r="J370" s="2">
        <v>416</v>
      </c>
      <c r="K370" s="2">
        <v>658</v>
      </c>
      <c r="L370" s="2">
        <v>1074</v>
      </c>
      <c r="M370" s="3">
        <v>0.38733705772811922</v>
      </c>
      <c r="N370" s="6">
        <v>-0.56000000000000005</v>
      </c>
    </row>
    <row r="371" spans="1:14" x14ac:dyDescent="0.2">
      <c r="A371" s="1" t="s">
        <v>83</v>
      </c>
      <c r="B371" s="1" t="s">
        <v>115</v>
      </c>
      <c r="C371" s="1" t="s">
        <v>464</v>
      </c>
      <c r="D371" s="2">
        <v>519</v>
      </c>
      <c r="E371" s="2">
        <v>1130</v>
      </c>
      <c r="F371" s="2">
        <f t="shared" si="15"/>
        <v>1649</v>
      </c>
      <c r="G371" s="3">
        <f t="shared" si="16"/>
        <v>0.31473620375985445</v>
      </c>
      <c r="H371" s="3">
        <f t="shared" si="17"/>
        <v>0.68526379624014555</v>
      </c>
      <c r="I371" s="1" t="s">
        <v>539</v>
      </c>
      <c r="J371" s="2">
        <v>541</v>
      </c>
      <c r="K371" s="2">
        <v>1106</v>
      </c>
      <c r="L371" s="2">
        <v>1647</v>
      </c>
      <c r="M371" s="3">
        <v>0.32847601700060719</v>
      </c>
      <c r="N371" s="6">
        <v>-1.37</v>
      </c>
    </row>
    <row r="372" spans="1:14" x14ac:dyDescent="0.2">
      <c r="A372" s="1" t="s">
        <v>83</v>
      </c>
      <c r="B372" s="1" t="s">
        <v>115</v>
      </c>
      <c r="C372" s="1" t="s">
        <v>465</v>
      </c>
      <c r="D372" s="2">
        <v>448</v>
      </c>
      <c r="E372" s="2">
        <v>979</v>
      </c>
      <c r="F372" s="2">
        <f t="shared" si="15"/>
        <v>1427</v>
      </c>
      <c r="G372" s="3">
        <f t="shared" si="16"/>
        <v>0.31394533987386125</v>
      </c>
      <c r="H372" s="3">
        <f t="shared" si="17"/>
        <v>0.6860546601261388</v>
      </c>
      <c r="I372" s="1" t="s">
        <v>539</v>
      </c>
      <c r="J372" s="2">
        <v>500</v>
      </c>
      <c r="K372" s="2">
        <v>982</v>
      </c>
      <c r="L372" s="2">
        <v>1482</v>
      </c>
      <c r="M372" s="3">
        <v>0.33738191632928483</v>
      </c>
      <c r="N372" s="6">
        <v>-2.34</v>
      </c>
    </row>
    <row r="373" spans="1:14" x14ac:dyDescent="0.2">
      <c r="A373" s="1" t="s">
        <v>83</v>
      </c>
      <c r="B373" s="1" t="s">
        <v>116</v>
      </c>
      <c r="C373" s="1" t="s">
        <v>116</v>
      </c>
      <c r="D373" s="2">
        <v>273</v>
      </c>
      <c r="E373" s="2">
        <v>334</v>
      </c>
      <c r="F373" s="2">
        <f t="shared" si="15"/>
        <v>607</v>
      </c>
      <c r="G373" s="3">
        <f t="shared" si="16"/>
        <v>0.44975288303130151</v>
      </c>
      <c r="H373" s="3">
        <f t="shared" si="17"/>
        <v>0.55024711696869855</v>
      </c>
      <c r="I373" s="1" t="s">
        <v>532</v>
      </c>
      <c r="J373" s="2">
        <v>281</v>
      </c>
      <c r="K373" s="2">
        <v>310</v>
      </c>
      <c r="L373" s="2">
        <v>591</v>
      </c>
      <c r="M373" s="3">
        <v>0.47546531302876482</v>
      </c>
      <c r="N373" s="6">
        <v>-2.57</v>
      </c>
    </row>
    <row r="374" spans="1:14" x14ac:dyDescent="0.2">
      <c r="A374" s="1" t="s">
        <v>83</v>
      </c>
      <c r="B374" s="1" t="s">
        <v>117</v>
      </c>
      <c r="C374" s="1" t="s">
        <v>466</v>
      </c>
      <c r="D374" s="2">
        <v>457</v>
      </c>
      <c r="E374" s="2">
        <v>705</v>
      </c>
      <c r="F374" s="2">
        <f t="shared" si="15"/>
        <v>1162</v>
      </c>
      <c r="G374" s="3">
        <f t="shared" si="16"/>
        <v>0.39328743545611017</v>
      </c>
      <c r="H374" s="3">
        <f t="shared" si="17"/>
        <v>0.60671256454388989</v>
      </c>
      <c r="I374" s="1" t="s">
        <v>532</v>
      </c>
      <c r="J374" s="2">
        <v>514</v>
      </c>
      <c r="K374" s="2">
        <v>713</v>
      </c>
      <c r="L374" s="2">
        <v>1227</v>
      </c>
      <c r="M374" s="3">
        <v>0.41890790546047268</v>
      </c>
      <c r="N374" s="6">
        <v>-2.56</v>
      </c>
    </row>
    <row r="375" spans="1:14" x14ac:dyDescent="0.2">
      <c r="A375" s="1" t="s">
        <v>83</v>
      </c>
      <c r="B375" s="1" t="s">
        <v>117</v>
      </c>
      <c r="C375" s="1" t="s">
        <v>467</v>
      </c>
      <c r="D375" s="2">
        <v>398</v>
      </c>
      <c r="E375" s="2">
        <v>696</v>
      </c>
      <c r="F375" s="2">
        <f t="shared" si="15"/>
        <v>1094</v>
      </c>
      <c r="G375" s="3">
        <f t="shared" si="16"/>
        <v>0.36380255941499084</v>
      </c>
      <c r="H375" s="3">
        <f t="shared" si="17"/>
        <v>0.63619744058500916</v>
      </c>
      <c r="I375" s="1" t="s">
        <v>532</v>
      </c>
      <c r="J375" s="2">
        <v>425</v>
      </c>
      <c r="K375" s="2">
        <v>656</v>
      </c>
      <c r="L375" s="2">
        <v>1081</v>
      </c>
      <c r="M375" s="3">
        <v>0.39315448658649399</v>
      </c>
      <c r="N375" s="6">
        <v>-2.94</v>
      </c>
    </row>
    <row r="376" spans="1:14" x14ac:dyDescent="0.2">
      <c r="A376" s="1" t="s">
        <v>83</v>
      </c>
      <c r="B376" s="1" t="s">
        <v>117</v>
      </c>
      <c r="C376" s="1" t="s">
        <v>468</v>
      </c>
      <c r="D376" s="2">
        <v>567</v>
      </c>
      <c r="E376" s="2">
        <v>678</v>
      </c>
      <c r="F376" s="2">
        <f t="shared" si="15"/>
        <v>1245</v>
      </c>
      <c r="G376" s="3">
        <f t="shared" si="16"/>
        <v>0.45542168674698796</v>
      </c>
      <c r="H376" s="3">
        <f t="shared" si="17"/>
        <v>0.54457831325301209</v>
      </c>
      <c r="I376" s="1" t="s">
        <v>532</v>
      </c>
      <c r="J376" s="2">
        <v>624</v>
      </c>
      <c r="K376" s="2">
        <v>618</v>
      </c>
      <c r="L376" s="2">
        <v>1242</v>
      </c>
      <c r="M376" s="3">
        <v>0.50241545893719808</v>
      </c>
      <c r="N376" s="6">
        <v>-4.7</v>
      </c>
    </row>
    <row r="377" spans="1:14" x14ac:dyDescent="0.2">
      <c r="A377" s="1" t="s">
        <v>83</v>
      </c>
      <c r="B377" s="1" t="s">
        <v>117</v>
      </c>
      <c r="C377" s="1" t="s">
        <v>469</v>
      </c>
      <c r="D377" s="2">
        <v>264</v>
      </c>
      <c r="E377" s="2">
        <v>424</v>
      </c>
      <c r="F377" s="2">
        <f t="shared" si="15"/>
        <v>688</v>
      </c>
      <c r="G377" s="3">
        <f t="shared" si="16"/>
        <v>0.38372093023255816</v>
      </c>
      <c r="H377" s="3">
        <f t="shared" si="17"/>
        <v>0.61627906976744184</v>
      </c>
      <c r="I377" s="1" t="s">
        <v>532</v>
      </c>
      <c r="J377" s="2">
        <v>284</v>
      </c>
      <c r="K377" s="2">
        <v>414</v>
      </c>
      <c r="L377" s="2">
        <v>698</v>
      </c>
      <c r="M377" s="3">
        <v>0.40687679083094558</v>
      </c>
      <c r="N377" s="6">
        <v>-2.3199999999999998</v>
      </c>
    </row>
    <row r="378" spans="1:14" x14ac:dyDescent="0.2">
      <c r="A378" s="1" t="s">
        <v>83</v>
      </c>
      <c r="B378" s="1" t="s">
        <v>118</v>
      </c>
      <c r="C378" s="1" t="s">
        <v>470</v>
      </c>
      <c r="D378" s="2">
        <v>616</v>
      </c>
      <c r="E378" s="2">
        <v>472</v>
      </c>
      <c r="F378" s="2">
        <f t="shared" si="15"/>
        <v>1088</v>
      </c>
      <c r="G378" s="3">
        <f t="shared" si="16"/>
        <v>0.56617647058823528</v>
      </c>
      <c r="H378" s="3">
        <f t="shared" si="17"/>
        <v>0.43382352941176472</v>
      </c>
      <c r="I378" s="1" t="s">
        <v>532</v>
      </c>
      <c r="J378" s="2">
        <v>648</v>
      </c>
      <c r="K378" s="2">
        <v>462</v>
      </c>
      <c r="L378" s="2">
        <v>1110</v>
      </c>
      <c r="M378" s="3">
        <v>0.58378378378378382</v>
      </c>
      <c r="N378" s="6">
        <v>-1.76</v>
      </c>
    </row>
    <row r="379" spans="1:14" x14ac:dyDescent="0.2">
      <c r="A379" s="1" t="s">
        <v>83</v>
      </c>
      <c r="B379" s="1" t="s">
        <v>118</v>
      </c>
      <c r="C379" s="1" t="s">
        <v>471</v>
      </c>
      <c r="D379" s="2">
        <v>466</v>
      </c>
      <c r="E379" s="2">
        <v>404</v>
      </c>
      <c r="F379" s="2">
        <f t="shared" si="15"/>
        <v>870</v>
      </c>
      <c r="G379" s="3">
        <f t="shared" si="16"/>
        <v>0.53563218390804601</v>
      </c>
      <c r="H379" s="3">
        <f t="shared" si="17"/>
        <v>0.46436781609195404</v>
      </c>
      <c r="I379" s="1" t="s">
        <v>532</v>
      </c>
      <c r="J379" s="2">
        <v>491</v>
      </c>
      <c r="K379" s="2">
        <v>402</v>
      </c>
      <c r="L379" s="2">
        <v>893</v>
      </c>
      <c r="M379" s="3">
        <v>0.54983202687569988</v>
      </c>
      <c r="N379" s="6">
        <v>-1.42</v>
      </c>
    </row>
    <row r="380" spans="1:14" x14ac:dyDescent="0.2">
      <c r="A380" s="1" t="s">
        <v>83</v>
      </c>
      <c r="B380" s="1" t="s">
        <v>118</v>
      </c>
      <c r="C380" s="1" t="s">
        <v>472</v>
      </c>
      <c r="D380" s="2">
        <v>743</v>
      </c>
      <c r="E380" s="2">
        <v>705</v>
      </c>
      <c r="F380" s="2">
        <f t="shared" si="15"/>
        <v>1448</v>
      </c>
      <c r="G380" s="3">
        <f t="shared" si="16"/>
        <v>0.51312154696132595</v>
      </c>
      <c r="H380" s="3">
        <f t="shared" si="17"/>
        <v>0.48687845303867405</v>
      </c>
      <c r="I380" s="1" t="s">
        <v>532</v>
      </c>
      <c r="J380" s="2">
        <v>758</v>
      </c>
      <c r="K380" s="2">
        <v>674</v>
      </c>
      <c r="L380" s="2">
        <v>1432</v>
      </c>
      <c r="M380" s="3">
        <v>0.52932960893854752</v>
      </c>
      <c r="N380" s="6">
        <v>-1.62</v>
      </c>
    </row>
    <row r="381" spans="1:14" x14ac:dyDescent="0.2">
      <c r="A381" s="1" t="s">
        <v>83</v>
      </c>
      <c r="B381" s="1" t="s">
        <v>119</v>
      </c>
      <c r="C381" s="1" t="s">
        <v>473</v>
      </c>
      <c r="D381" s="2">
        <v>632</v>
      </c>
      <c r="E381" s="2">
        <v>894</v>
      </c>
      <c r="F381" s="2">
        <f t="shared" si="15"/>
        <v>1526</v>
      </c>
      <c r="G381" s="3">
        <f t="shared" si="16"/>
        <v>0.41415465268676277</v>
      </c>
      <c r="H381" s="3">
        <f t="shared" si="17"/>
        <v>0.58584534731323723</v>
      </c>
      <c r="I381" s="1" t="s">
        <v>532</v>
      </c>
      <c r="J381" s="2">
        <v>634</v>
      </c>
      <c r="K381" s="2">
        <v>856</v>
      </c>
      <c r="L381" s="2">
        <v>1490</v>
      </c>
      <c r="M381" s="3">
        <v>0.42550335570469799</v>
      </c>
      <c r="N381" s="6">
        <v>-1.1299999999999999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Municipal Forecast</vt:lpstr>
      <vt:lpstr>2026 Precinct Forecast</vt:lpstr>
      <vt:lpstr>Feature Ranking</vt:lpstr>
      <vt:lpstr>2024 Backtest Municipal</vt:lpstr>
      <vt:lpstr>2024 Backtest Precinct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Weinstein</cp:lastModifiedBy>
  <dcterms:created xsi:type="dcterms:W3CDTF">2026-09-29T21:29:08Z</dcterms:created>
  <dcterms:modified xsi:type="dcterms:W3CDTF">2026-09-29T21:29:55Z</dcterms:modified>
</cp:coreProperties>
</file>