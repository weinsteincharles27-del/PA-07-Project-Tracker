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charlieweinstein/Desktop/"/>
    </mc:Choice>
  </mc:AlternateContent>
  <xr:revisionPtr revIDLastSave="0" documentId="11_B85C1D8762DDAE0FF801E627697B57108A3092FA" xr6:coauthVersionLast="47" xr6:coauthVersionMax="47" xr10:uidLastSave="{00000000-0000-0000-0000-000000000000}"/>
  <bookViews>
    <workbookView xWindow="0" yWindow="680" windowWidth="34200" windowHeight="20060" xr2:uid="{00000000-000D-0000-FFFF-FFFF00000000}"/>
  </bookViews>
  <sheets>
    <sheet name="2026 Municipal Forecast" sheetId="1" r:id="rId1"/>
    <sheet name="2026 Precinct Forecast" sheetId="2" r:id="rId2"/>
    <sheet name="Feature Ranking" sheetId="3" r:id="rId3"/>
    <sheet name="2024 Backtest Municipal" sheetId="4" r:id="rId4"/>
    <sheet name="2024 Backtest Precinc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1" i="5" l="1"/>
  <c r="H381" i="5" s="1"/>
  <c r="F380" i="5"/>
  <c r="H380" i="5" s="1"/>
  <c r="F379" i="5"/>
  <c r="H379" i="5" s="1"/>
  <c r="G378" i="5"/>
  <c r="F378" i="5"/>
  <c r="H378" i="5" s="1"/>
  <c r="G377" i="5"/>
  <c r="F377" i="5"/>
  <c r="H377" i="5" s="1"/>
  <c r="F376" i="5"/>
  <c r="G376" i="5" s="1"/>
  <c r="H375" i="5"/>
  <c r="G375" i="5"/>
  <c r="F375" i="5"/>
  <c r="H374" i="5"/>
  <c r="F374" i="5"/>
  <c r="G374" i="5" s="1"/>
  <c r="F373" i="5"/>
  <c r="F372" i="5"/>
  <c r="G372" i="5" s="1"/>
  <c r="G371" i="5"/>
  <c r="F371" i="5"/>
  <c r="H371" i="5" s="1"/>
  <c r="F370" i="5"/>
  <c r="H370" i="5" s="1"/>
  <c r="G369" i="5"/>
  <c r="F369" i="5"/>
  <c r="H369" i="5" s="1"/>
  <c r="H368" i="5"/>
  <c r="F368" i="5"/>
  <c r="G368" i="5" s="1"/>
  <c r="H367" i="5"/>
  <c r="G367" i="5"/>
  <c r="F367" i="5"/>
  <c r="F366" i="5"/>
  <c r="G366" i="5" s="1"/>
  <c r="F365" i="5"/>
  <c r="F364" i="5"/>
  <c r="G364" i="5" s="1"/>
  <c r="H363" i="5"/>
  <c r="G363" i="5"/>
  <c r="F363" i="5"/>
  <c r="F362" i="5"/>
  <c r="H362" i="5" s="1"/>
  <c r="F361" i="5"/>
  <c r="H361" i="5" s="1"/>
  <c r="H360" i="5"/>
  <c r="F360" i="5"/>
  <c r="G360" i="5" s="1"/>
  <c r="H359" i="5"/>
  <c r="G359" i="5"/>
  <c r="F359" i="5"/>
  <c r="H358" i="5"/>
  <c r="F358" i="5"/>
  <c r="G358" i="5" s="1"/>
  <c r="F357" i="5"/>
  <c r="F356" i="5"/>
  <c r="G356" i="5" s="1"/>
  <c r="H355" i="5"/>
  <c r="G355" i="5"/>
  <c r="F355" i="5"/>
  <c r="F354" i="5"/>
  <c r="H354" i="5" s="1"/>
  <c r="G353" i="5"/>
  <c r="F353" i="5"/>
  <c r="H353" i="5" s="1"/>
  <c r="H352" i="5"/>
  <c r="F352" i="5"/>
  <c r="G352" i="5" s="1"/>
  <c r="H351" i="5"/>
  <c r="G351" i="5"/>
  <c r="F351" i="5"/>
  <c r="H350" i="5"/>
  <c r="G350" i="5"/>
  <c r="F350" i="5"/>
  <c r="F349" i="5"/>
  <c r="F348" i="5"/>
  <c r="G348" i="5" s="1"/>
  <c r="H347" i="5"/>
  <c r="G347" i="5"/>
  <c r="F347" i="5"/>
  <c r="G346" i="5"/>
  <c r="F346" i="5"/>
  <c r="H346" i="5" s="1"/>
  <c r="G345" i="5"/>
  <c r="F345" i="5"/>
  <c r="H345" i="5" s="1"/>
  <c r="H344" i="5"/>
  <c r="F344" i="5"/>
  <c r="G344" i="5" s="1"/>
  <c r="H343" i="5"/>
  <c r="G343" i="5"/>
  <c r="F343" i="5"/>
  <c r="F342" i="5"/>
  <c r="H342" i="5" s="1"/>
  <c r="F341" i="5"/>
  <c r="H340" i="5"/>
  <c r="F340" i="5"/>
  <c r="G340" i="5" s="1"/>
  <c r="H339" i="5"/>
  <c r="G339" i="5"/>
  <c r="F339" i="5"/>
  <c r="F338" i="5"/>
  <c r="H338" i="5" s="1"/>
  <c r="F337" i="5"/>
  <c r="H337" i="5" s="1"/>
  <c r="H336" i="5"/>
  <c r="F336" i="5"/>
  <c r="G336" i="5" s="1"/>
  <c r="H335" i="5"/>
  <c r="G335" i="5"/>
  <c r="F335" i="5"/>
  <c r="F334" i="5"/>
  <c r="H334" i="5" s="1"/>
  <c r="F333" i="5"/>
  <c r="F332" i="5"/>
  <c r="G332" i="5" s="1"/>
  <c r="H331" i="5"/>
  <c r="G331" i="5"/>
  <c r="F331" i="5"/>
  <c r="F330" i="5"/>
  <c r="H330" i="5" s="1"/>
  <c r="F329" i="5"/>
  <c r="H329" i="5" s="1"/>
  <c r="H328" i="5"/>
  <c r="F328" i="5"/>
  <c r="G328" i="5" s="1"/>
  <c r="H327" i="5"/>
  <c r="G327" i="5"/>
  <c r="F327" i="5"/>
  <c r="H326" i="5"/>
  <c r="F326" i="5"/>
  <c r="G326" i="5" s="1"/>
  <c r="F325" i="5"/>
  <c r="F324" i="5"/>
  <c r="G324" i="5" s="1"/>
  <c r="H323" i="5"/>
  <c r="G323" i="5"/>
  <c r="F323" i="5"/>
  <c r="F322" i="5"/>
  <c r="H322" i="5" s="1"/>
  <c r="G321" i="5"/>
  <c r="F321" i="5"/>
  <c r="H321" i="5" s="1"/>
  <c r="H320" i="5"/>
  <c r="F320" i="5"/>
  <c r="G320" i="5" s="1"/>
  <c r="H319" i="5"/>
  <c r="G319" i="5"/>
  <c r="F319" i="5"/>
  <c r="H318" i="5"/>
  <c r="G318" i="5"/>
  <c r="F318" i="5"/>
  <c r="F317" i="5"/>
  <c r="F316" i="5"/>
  <c r="G316" i="5" s="1"/>
  <c r="H315" i="5"/>
  <c r="G315" i="5"/>
  <c r="F315" i="5"/>
  <c r="G314" i="5"/>
  <c r="F314" i="5"/>
  <c r="H314" i="5" s="1"/>
  <c r="G313" i="5"/>
  <c r="F313" i="5"/>
  <c r="H313" i="5" s="1"/>
  <c r="H312" i="5"/>
  <c r="F312" i="5"/>
  <c r="G312" i="5" s="1"/>
  <c r="H311" i="5"/>
  <c r="G311" i="5"/>
  <c r="F311" i="5"/>
  <c r="F310" i="5"/>
  <c r="H310" i="5" s="1"/>
  <c r="F309" i="5"/>
  <c r="H308" i="5"/>
  <c r="F308" i="5"/>
  <c r="G308" i="5" s="1"/>
  <c r="H307" i="5"/>
  <c r="G307" i="5"/>
  <c r="F307" i="5"/>
  <c r="F306" i="5"/>
  <c r="H306" i="5" s="1"/>
  <c r="F305" i="5"/>
  <c r="H305" i="5" s="1"/>
  <c r="H304" i="5"/>
  <c r="F304" i="5"/>
  <c r="G304" i="5" s="1"/>
  <c r="H303" i="5"/>
  <c r="G303" i="5"/>
  <c r="F303" i="5"/>
  <c r="F302" i="5"/>
  <c r="H302" i="5" s="1"/>
  <c r="F301" i="5"/>
  <c r="F300" i="5"/>
  <c r="G300" i="5" s="1"/>
  <c r="H299" i="5"/>
  <c r="G299" i="5"/>
  <c r="F299" i="5"/>
  <c r="F298" i="5"/>
  <c r="H298" i="5" s="1"/>
  <c r="F297" i="5"/>
  <c r="H297" i="5" s="1"/>
  <c r="H296" i="5"/>
  <c r="F296" i="5"/>
  <c r="G296" i="5" s="1"/>
  <c r="H295" i="5"/>
  <c r="G295" i="5"/>
  <c r="F295" i="5"/>
  <c r="H294" i="5"/>
  <c r="F294" i="5"/>
  <c r="G294" i="5" s="1"/>
  <c r="F293" i="5"/>
  <c r="F292" i="5"/>
  <c r="G292" i="5" s="1"/>
  <c r="H291" i="5"/>
  <c r="G291" i="5"/>
  <c r="F291" i="5"/>
  <c r="F290" i="5"/>
  <c r="H290" i="5" s="1"/>
  <c r="G289" i="5"/>
  <c r="F289" i="5"/>
  <c r="H289" i="5" s="1"/>
  <c r="H288" i="5"/>
  <c r="F288" i="5"/>
  <c r="G288" i="5" s="1"/>
  <c r="H287" i="5"/>
  <c r="G287" i="5"/>
  <c r="F287" i="5"/>
  <c r="H286" i="5"/>
  <c r="G286" i="5"/>
  <c r="F286" i="5"/>
  <c r="F285" i="5"/>
  <c r="F284" i="5"/>
  <c r="G284" i="5" s="1"/>
  <c r="H283" i="5"/>
  <c r="G283" i="5"/>
  <c r="F283" i="5"/>
  <c r="G282" i="5"/>
  <c r="F282" i="5"/>
  <c r="H282" i="5" s="1"/>
  <c r="F281" i="5"/>
  <c r="H281" i="5" s="1"/>
  <c r="H280" i="5"/>
  <c r="F280" i="5"/>
  <c r="G280" i="5" s="1"/>
  <c r="H279" i="5"/>
  <c r="G279" i="5"/>
  <c r="F279" i="5"/>
  <c r="F278" i="5"/>
  <c r="H278" i="5" s="1"/>
  <c r="F277" i="5"/>
  <c r="H276" i="5"/>
  <c r="F276" i="5"/>
  <c r="G276" i="5" s="1"/>
  <c r="H275" i="5"/>
  <c r="G275" i="5"/>
  <c r="F275" i="5"/>
  <c r="F274" i="5"/>
  <c r="H274" i="5" s="1"/>
  <c r="F273" i="5"/>
  <c r="H273" i="5" s="1"/>
  <c r="H272" i="5"/>
  <c r="F272" i="5"/>
  <c r="G272" i="5" s="1"/>
  <c r="H271" i="5"/>
  <c r="G271" i="5"/>
  <c r="F271" i="5"/>
  <c r="F270" i="5"/>
  <c r="H270" i="5" s="1"/>
  <c r="F269" i="5"/>
  <c r="F268" i="5"/>
  <c r="G268" i="5" s="1"/>
  <c r="H267" i="5"/>
  <c r="G267" i="5"/>
  <c r="F267" i="5"/>
  <c r="F266" i="5"/>
  <c r="H266" i="5" s="1"/>
  <c r="F265" i="5"/>
  <c r="H265" i="5" s="1"/>
  <c r="H264" i="5"/>
  <c r="F264" i="5"/>
  <c r="G264" i="5" s="1"/>
  <c r="H263" i="5"/>
  <c r="G263" i="5"/>
  <c r="F263" i="5"/>
  <c r="H262" i="5"/>
  <c r="F262" i="5"/>
  <c r="G262" i="5" s="1"/>
  <c r="F261" i="5"/>
  <c r="F260" i="5"/>
  <c r="G260" i="5" s="1"/>
  <c r="H259" i="5"/>
  <c r="G259" i="5"/>
  <c r="F259" i="5"/>
  <c r="F258" i="5"/>
  <c r="H258" i="5" s="1"/>
  <c r="G257" i="5"/>
  <c r="F257" i="5"/>
  <c r="H257" i="5" s="1"/>
  <c r="H256" i="5"/>
  <c r="F256" i="5"/>
  <c r="G256" i="5" s="1"/>
  <c r="H255" i="5"/>
  <c r="G255" i="5"/>
  <c r="F255" i="5"/>
  <c r="H254" i="5"/>
  <c r="G254" i="5"/>
  <c r="F254" i="5"/>
  <c r="F253" i="5"/>
  <c r="F252" i="5"/>
  <c r="G252" i="5" s="1"/>
  <c r="H251" i="5"/>
  <c r="G251" i="5"/>
  <c r="F251" i="5"/>
  <c r="G250" i="5"/>
  <c r="F250" i="5"/>
  <c r="H250" i="5" s="1"/>
  <c r="F249" i="5"/>
  <c r="H249" i="5" s="1"/>
  <c r="H248" i="5"/>
  <c r="F248" i="5"/>
  <c r="G248" i="5" s="1"/>
  <c r="H247" i="5"/>
  <c r="G247" i="5"/>
  <c r="F247" i="5"/>
  <c r="F246" i="5"/>
  <c r="H246" i="5" s="1"/>
  <c r="F245" i="5"/>
  <c r="H244" i="5"/>
  <c r="F244" i="5"/>
  <c r="G244" i="5" s="1"/>
  <c r="H243" i="5"/>
  <c r="G243" i="5"/>
  <c r="F243" i="5"/>
  <c r="F242" i="5"/>
  <c r="H242" i="5" s="1"/>
  <c r="F241" i="5"/>
  <c r="H241" i="5" s="1"/>
  <c r="H240" i="5"/>
  <c r="F240" i="5"/>
  <c r="G240" i="5" s="1"/>
  <c r="H239" i="5"/>
  <c r="G239" i="5"/>
  <c r="F239" i="5"/>
  <c r="F238" i="5"/>
  <c r="H238" i="5" s="1"/>
  <c r="F237" i="5"/>
  <c r="H236" i="5"/>
  <c r="F236" i="5"/>
  <c r="G236" i="5" s="1"/>
  <c r="H235" i="5"/>
  <c r="G235" i="5"/>
  <c r="F235" i="5"/>
  <c r="F234" i="5"/>
  <c r="H234" i="5" s="1"/>
  <c r="F233" i="5"/>
  <c r="H233" i="5" s="1"/>
  <c r="H232" i="5"/>
  <c r="F232" i="5"/>
  <c r="G232" i="5" s="1"/>
  <c r="H231" i="5"/>
  <c r="G231" i="5"/>
  <c r="F231" i="5"/>
  <c r="F230" i="5"/>
  <c r="H230" i="5" s="1"/>
  <c r="F229" i="5"/>
  <c r="F228" i="5"/>
  <c r="G228" i="5" s="1"/>
  <c r="H227" i="5"/>
  <c r="G227" i="5"/>
  <c r="F227" i="5"/>
  <c r="F226" i="5"/>
  <c r="H226" i="5" s="1"/>
  <c r="G225" i="5"/>
  <c r="F225" i="5"/>
  <c r="H225" i="5" s="1"/>
  <c r="H224" i="5"/>
  <c r="F224" i="5"/>
  <c r="G224" i="5" s="1"/>
  <c r="H223" i="5"/>
  <c r="G223" i="5"/>
  <c r="F223" i="5"/>
  <c r="H222" i="5"/>
  <c r="G222" i="5"/>
  <c r="F222" i="5"/>
  <c r="F221" i="5"/>
  <c r="F220" i="5"/>
  <c r="G220" i="5" s="1"/>
  <c r="H219" i="5"/>
  <c r="G219" i="5"/>
  <c r="F219" i="5"/>
  <c r="G218" i="5"/>
  <c r="F218" i="5"/>
  <c r="H218" i="5" s="1"/>
  <c r="F217" i="5"/>
  <c r="H217" i="5" s="1"/>
  <c r="H216" i="5"/>
  <c r="F216" i="5"/>
  <c r="G216" i="5" s="1"/>
  <c r="H215" i="5"/>
  <c r="G215" i="5"/>
  <c r="F215" i="5"/>
  <c r="F214" i="5"/>
  <c r="H214" i="5" s="1"/>
  <c r="F213" i="5"/>
  <c r="H212" i="5"/>
  <c r="F212" i="5"/>
  <c r="G212" i="5" s="1"/>
  <c r="H211" i="5"/>
  <c r="G211" i="5"/>
  <c r="F211" i="5"/>
  <c r="F210" i="5"/>
  <c r="H210" i="5" s="1"/>
  <c r="F209" i="5"/>
  <c r="H209" i="5" s="1"/>
  <c r="H208" i="5"/>
  <c r="F208" i="5"/>
  <c r="G208" i="5" s="1"/>
  <c r="H207" i="5"/>
  <c r="G207" i="5"/>
  <c r="F207" i="5"/>
  <c r="F206" i="5"/>
  <c r="H206" i="5" s="1"/>
  <c r="F205" i="5"/>
  <c r="H204" i="5"/>
  <c r="F204" i="5"/>
  <c r="G204" i="5" s="1"/>
  <c r="H203" i="5"/>
  <c r="G203" i="5"/>
  <c r="F203" i="5"/>
  <c r="F202" i="5"/>
  <c r="H202" i="5" s="1"/>
  <c r="F201" i="5"/>
  <c r="H201" i="5" s="1"/>
  <c r="H200" i="5"/>
  <c r="F200" i="5"/>
  <c r="G200" i="5" s="1"/>
  <c r="H199" i="5"/>
  <c r="G199" i="5"/>
  <c r="F199" i="5"/>
  <c r="F198" i="5"/>
  <c r="H198" i="5" s="1"/>
  <c r="F197" i="5"/>
  <c r="F196" i="5"/>
  <c r="G196" i="5" s="1"/>
  <c r="H195" i="5"/>
  <c r="G195" i="5"/>
  <c r="F195" i="5"/>
  <c r="F194" i="5"/>
  <c r="H194" i="5" s="1"/>
  <c r="G193" i="5"/>
  <c r="F193" i="5"/>
  <c r="H193" i="5" s="1"/>
  <c r="H192" i="5"/>
  <c r="F192" i="5"/>
  <c r="G192" i="5" s="1"/>
  <c r="H191" i="5"/>
  <c r="G191" i="5"/>
  <c r="F191" i="5"/>
  <c r="H190" i="5"/>
  <c r="G190" i="5"/>
  <c r="F190" i="5"/>
  <c r="F189" i="5"/>
  <c r="F188" i="5"/>
  <c r="G188" i="5" s="1"/>
  <c r="H187" i="5"/>
  <c r="G187" i="5"/>
  <c r="F187" i="5"/>
  <c r="G186" i="5"/>
  <c r="F186" i="5"/>
  <c r="H186" i="5" s="1"/>
  <c r="F185" i="5"/>
  <c r="H185" i="5" s="1"/>
  <c r="H184" i="5"/>
  <c r="F184" i="5"/>
  <c r="G184" i="5" s="1"/>
  <c r="H183" i="5"/>
  <c r="G183" i="5"/>
  <c r="F183" i="5"/>
  <c r="F182" i="5"/>
  <c r="H182" i="5" s="1"/>
  <c r="F181" i="5"/>
  <c r="H180" i="5"/>
  <c r="F180" i="5"/>
  <c r="G180" i="5" s="1"/>
  <c r="H179" i="5"/>
  <c r="G179" i="5"/>
  <c r="F179" i="5"/>
  <c r="F178" i="5"/>
  <c r="H178" i="5" s="1"/>
  <c r="F177" i="5"/>
  <c r="H177" i="5" s="1"/>
  <c r="H176" i="5"/>
  <c r="F176" i="5"/>
  <c r="G176" i="5" s="1"/>
  <c r="H175" i="5"/>
  <c r="G175" i="5"/>
  <c r="F175" i="5"/>
  <c r="F174" i="5"/>
  <c r="H174" i="5" s="1"/>
  <c r="F173" i="5"/>
  <c r="H172" i="5"/>
  <c r="F172" i="5"/>
  <c r="G172" i="5" s="1"/>
  <c r="H171" i="5"/>
  <c r="G171" i="5"/>
  <c r="F171" i="5"/>
  <c r="G170" i="5"/>
  <c r="F170" i="5"/>
  <c r="H170" i="5" s="1"/>
  <c r="F169" i="5"/>
  <c r="H169" i="5" s="1"/>
  <c r="H168" i="5"/>
  <c r="F168" i="5"/>
  <c r="G168" i="5" s="1"/>
  <c r="H167" i="5"/>
  <c r="G167" i="5"/>
  <c r="F167" i="5"/>
  <c r="F166" i="5"/>
  <c r="H166" i="5" s="1"/>
  <c r="F165" i="5"/>
  <c r="F164" i="5"/>
  <c r="G164" i="5" s="1"/>
  <c r="H163" i="5"/>
  <c r="G163" i="5"/>
  <c r="F163" i="5"/>
  <c r="F162" i="5"/>
  <c r="H162" i="5" s="1"/>
  <c r="G161" i="5"/>
  <c r="F161" i="5"/>
  <c r="H161" i="5" s="1"/>
  <c r="H160" i="5"/>
  <c r="F160" i="5"/>
  <c r="G160" i="5" s="1"/>
  <c r="H159" i="5"/>
  <c r="G159" i="5"/>
  <c r="F159" i="5"/>
  <c r="H158" i="5"/>
  <c r="G158" i="5"/>
  <c r="F158" i="5"/>
  <c r="F157" i="5"/>
  <c r="F156" i="5"/>
  <c r="G156" i="5" s="1"/>
  <c r="H155" i="5"/>
  <c r="G155" i="5"/>
  <c r="F155" i="5"/>
  <c r="G154" i="5"/>
  <c r="F154" i="5"/>
  <c r="H154" i="5" s="1"/>
  <c r="F153" i="5"/>
  <c r="H153" i="5" s="1"/>
  <c r="H152" i="5"/>
  <c r="F152" i="5"/>
  <c r="G152" i="5" s="1"/>
  <c r="H151" i="5"/>
  <c r="G151" i="5"/>
  <c r="F151" i="5"/>
  <c r="F150" i="5"/>
  <c r="H150" i="5" s="1"/>
  <c r="F149" i="5"/>
  <c r="H148" i="5"/>
  <c r="F148" i="5"/>
  <c r="G148" i="5" s="1"/>
  <c r="H147" i="5"/>
  <c r="G147" i="5"/>
  <c r="F147" i="5"/>
  <c r="F146" i="5"/>
  <c r="H146" i="5" s="1"/>
  <c r="G145" i="5"/>
  <c r="F145" i="5"/>
  <c r="H145" i="5" s="1"/>
  <c r="H144" i="5"/>
  <c r="F144" i="5"/>
  <c r="G144" i="5" s="1"/>
  <c r="H143" i="5"/>
  <c r="G143" i="5"/>
  <c r="F143" i="5"/>
  <c r="G142" i="5"/>
  <c r="F142" i="5"/>
  <c r="H142" i="5" s="1"/>
  <c r="F141" i="5"/>
  <c r="H141" i="5" s="1"/>
  <c r="H140" i="5"/>
  <c r="F140" i="5"/>
  <c r="G140" i="5" s="1"/>
  <c r="H139" i="5"/>
  <c r="G139" i="5"/>
  <c r="F139" i="5"/>
  <c r="F138" i="5"/>
  <c r="H138" i="5" s="1"/>
  <c r="G137" i="5"/>
  <c r="F137" i="5"/>
  <c r="H137" i="5" s="1"/>
  <c r="F136" i="5"/>
  <c r="G136" i="5" s="1"/>
  <c r="H135" i="5"/>
  <c r="G135" i="5"/>
  <c r="F135" i="5"/>
  <c r="H134" i="5"/>
  <c r="G134" i="5"/>
  <c r="F134" i="5"/>
  <c r="F133" i="5"/>
  <c r="H133" i="5" s="1"/>
  <c r="H132" i="5"/>
  <c r="F132" i="5"/>
  <c r="G132" i="5" s="1"/>
  <c r="H131" i="5"/>
  <c r="G131" i="5"/>
  <c r="F131" i="5"/>
  <c r="F130" i="5"/>
  <c r="H130" i="5" s="1"/>
  <c r="G129" i="5"/>
  <c r="F129" i="5"/>
  <c r="H129" i="5" s="1"/>
  <c r="F128" i="5"/>
  <c r="G128" i="5" s="1"/>
  <c r="H127" i="5"/>
  <c r="G127" i="5"/>
  <c r="F127" i="5"/>
  <c r="G126" i="5"/>
  <c r="F126" i="5"/>
  <c r="H126" i="5" s="1"/>
  <c r="F125" i="5"/>
  <c r="H125" i="5" s="1"/>
  <c r="H124" i="5"/>
  <c r="F124" i="5"/>
  <c r="G124" i="5" s="1"/>
  <c r="H123" i="5"/>
  <c r="G123" i="5"/>
  <c r="F123" i="5"/>
  <c r="F122" i="5"/>
  <c r="H122" i="5" s="1"/>
  <c r="G121" i="5"/>
  <c r="F121" i="5"/>
  <c r="H121" i="5" s="1"/>
  <c r="F120" i="5"/>
  <c r="G120" i="5" s="1"/>
  <c r="H119" i="5"/>
  <c r="G119" i="5"/>
  <c r="F119" i="5"/>
  <c r="H118" i="5"/>
  <c r="G118" i="5"/>
  <c r="F118" i="5"/>
  <c r="F117" i="5"/>
  <c r="H117" i="5" s="1"/>
  <c r="F116" i="5"/>
  <c r="G116" i="5" s="1"/>
  <c r="H115" i="5"/>
  <c r="G115" i="5"/>
  <c r="F115" i="5"/>
  <c r="F114" i="5"/>
  <c r="H114" i="5" s="1"/>
  <c r="F113" i="5"/>
  <c r="H113" i="5" s="1"/>
  <c r="F112" i="5"/>
  <c r="G112" i="5" s="1"/>
  <c r="H111" i="5"/>
  <c r="G111" i="5"/>
  <c r="F111" i="5"/>
  <c r="F110" i="5"/>
  <c r="H110" i="5" s="1"/>
  <c r="F109" i="5"/>
  <c r="H109" i="5" s="1"/>
  <c r="H108" i="5"/>
  <c r="F108" i="5"/>
  <c r="G108" i="5" s="1"/>
  <c r="H107" i="5"/>
  <c r="G107" i="5"/>
  <c r="F107" i="5"/>
  <c r="F106" i="5"/>
  <c r="H106" i="5" s="1"/>
  <c r="G105" i="5"/>
  <c r="F105" i="5"/>
  <c r="H105" i="5" s="1"/>
  <c r="F104" i="5"/>
  <c r="G104" i="5" s="1"/>
  <c r="H103" i="5"/>
  <c r="G103" i="5"/>
  <c r="F103" i="5"/>
  <c r="H102" i="5"/>
  <c r="G102" i="5"/>
  <c r="F102" i="5"/>
  <c r="F101" i="5"/>
  <c r="H101" i="5" s="1"/>
  <c r="F100" i="5"/>
  <c r="G100" i="5" s="1"/>
  <c r="H99" i="5"/>
  <c r="G99" i="5"/>
  <c r="F99" i="5"/>
  <c r="F98" i="5"/>
  <c r="H98" i="5" s="1"/>
  <c r="F97" i="5"/>
  <c r="H97" i="5" s="1"/>
  <c r="F96" i="5"/>
  <c r="G96" i="5" s="1"/>
  <c r="H95" i="5"/>
  <c r="G95" i="5"/>
  <c r="F95" i="5"/>
  <c r="F94" i="5"/>
  <c r="H94" i="5" s="1"/>
  <c r="F93" i="5"/>
  <c r="H93" i="5" s="1"/>
  <c r="H92" i="5"/>
  <c r="F92" i="5"/>
  <c r="G92" i="5" s="1"/>
  <c r="H91" i="5"/>
  <c r="G91" i="5"/>
  <c r="F91" i="5"/>
  <c r="F90" i="5"/>
  <c r="H90" i="5" s="1"/>
  <c r="G89" i="5"/>
  <c r="F89" i="5"/>
  <c r="H89" i="5" s="1"/>
  <c r="F88" i="5"/>
  <c r="G88" i="5" s="1"/>
  <c r="H87" i="5"/>
  <c r="G87" i="5"/>
  <c r="F87" i="5"/>
  <c r="H86" i="5"/>
  <c r="G86" i="5"/>
  <c r="F86" i="5"/>
  <c r="F85" i="5"/>
  <c r="H85" i="5" s="1"/>
  <c r="F84" i="5"/>
  <c r="G84" i="5" s="1"/>
  <c r="H83" i="5"/>
  <c r="G83" i="5"/>
  <c r="F83" i="5"/>
  <c r="F82" i="5"/>
  <c r="H82" i="5" s="1"/>
  <c r="F81" i="5"/>
  <c r="F80" i="5"/>
  <c r="H79" i="5"/>
  <c r="G79" i="5"/>
  <c r="F79" i="5"/>
  <c r="F78" i="5"/>
  <c r="F77" i="5"/>
  <c r="H76" i="5"/>
  <c r="F76" i="5"/>
  <c r="G76" i="5" s="1"/>
  <c r="H75" i="5"/>
  <c r="G75" i="5"/>
  <c r="F75" i="5"/>
  <c r="H74" i="5"/>
  <c r="F74" i="5"/>
  <c r="G74" i="5" s="1"/>
  <c r="G73" i="5"/>
  <c r="F73" i="5"/>
  <c r="H73" i="5" s="1"/>
  <c r="F72" i="5"/>
  <c r="G72" i="5" s="1"/>
  <c r="H71" i="5"/>
  <c r="G71" i="5"/>
  <c r="F71" i="5"/>
  <c r="H70" i="5"/>
  <c r="G70" i="5"/>
  <c r="F70" i="5"/>
  <c r="F69" i="5"/>
  <c r="H69" i="5" s="1"/>
  <c r="F68" i="5"/>
  <c r="H67" i="5"/>
  <c r="G67" i="5"/>
  <c r="F67" i="5"/>
  <c r="F66" i="5"/>
  <c r="H66" i="5" s="1"/>
  <c r="F65" i="5"/>
  <c r="F64" i="5"/>
  <c r="H63" i="5"/>
  <c r="G63" i="5"/>
  <c r="F63" i="5"/>
  <c r="F62" i="5"/>
  <c r="F61" i="5"/>
  <c r="H60" i="5"/>
  <c r="F60" i="5"/>
  <c r="G60" i="5" s="1"/>
  <c r="H59" i="5"/>
  <c r="G59" i="5"/>
  <c r="F59" i="5"/>
  <c r="F58" i="5"/>
  <c r="G58" i="5" s="1"/>
  <c r="G57" i="5"/>
  <c r="F57" i="5"/>
  <c r="H57" i="5" s="1"/>
  <c r="F56" i="5"/>
  <c r="G56" i="5" s="1"/>
  <c r="H55" i="5"/>
  <c r="G55" i="5"/>
  <c r="F55" i="5"/>
  <c r="H54" i="5"/>
  <c r="G54" i="5"/>
  <c r="F54" i="5"/>
  <c r="F53" i="5"/>
  <c r="H53" i="5" s="1"/>
  <c r="F52" i="5"/>
  <c r="H51" i="5"/>
  <c r="G51" i="5"/>
  <c r="F51" i="5"/>
  <c r="F50" i="5"/>
  <c r="H50" i="5" s="1"/>
  <c r="F49" i="5"/>
  <c r="F48" i="5"/>
  <c r="H47" i="5"/>
  <c r="G47" i="5"/>
  <c r="F47" i="5"/>
  <c r="F46" i="5"/>
  <c r="H46" i="5" s="1"/>
  <c r="F45" i="5"/>
  <c r="H44" i="5"/>
  <c r="F44" i="5"/>
  <c r="G44" i="5" s="1"/>
  <c r="F43" i="5"/>
  <c r="H42" i="5"/>
  <c r="F42" i="5"/>
  <c r="G42" i="5" s="1"/>
  <c r="H41" i="5"/>
  <c r="G41" i="5"/>
  <c r="F41" i="5"/>
  <c r="G40" i="5"/>
  <c r="F40" i="5"/>
  <c r="H40" i="5" s="1"/>
  <c r="G39" i="5"/>
  <c r="F39" i="5"/>
  <c r="H39" i="5" s="1"/>
  <c r="F38" i="5"/>
  <c r="H38" i="5" s="1"/>
  <c r="H37" i="5"/>
  <c r="G37" i="5"/>
  <c r="F37" i="5"/>
  <c r="H36" i="5"/>
  <c r="G36" i="5"/>
  <c r="F36" i="5"/>
  <c r="F35" i="5"/>
  <c r="F34" i="5"/>
  <c r="G34" i="5" s="1"/>
  <c r="H33" i="5"/>
  <c r="G33" i="5"/>
  <c r="F33" i="5"/>
  <c r="G32" i="5"/>
  <c r="F32" i="5"/>
  <c r="H32" i="5" s="1"/>
  <c r="G31" i="5"/>
  <c r="F31" i="5"/>
  <c r="H31" i="5" s="1"/>
  <c r="F30" i="5"/>
  <c r="H30" i="5" s="1"/>
  <c r="H29" i="5"/>
  <c r="G29" i="5"/>
  <c r="F29" i="5"/>
  <c r="H28" i="5"/>
  <c r="G28" i="5"/>
  <c r="F28" i="5"/>
  <c r="F27" i="5"/>
  <c r="F26" i="5"/>
  <c r="G26" i="5" s="1"/>
  <c r="H25" i="5"/>
  <c r="G25" i="5"/>
  <c r="F25" i="5"/>
  <c r="G24" i="5"/>
  <c r="F24" i="5"/>
  <c r="H24" i="5" s="1"/>
  <c r="F23" i="5"/>
  <c r="H23" i="5" s="1"/>
  <c r="F22" i="5"/>
  <c r="H22" i="5" s="1"/>
  <c r="H21" i="5"/>
  <c r="G21" i="5"/>
  <c r="F21" i="5"/>
  <c r="H20" i="5"/>
  <c r="G20" i="5"/>
  <c r="F20" i="5"/>
  <c r="F19" i="5"/>
  <c r="F18" i="5"/>
  <c r="G18" i="5" s="1"/>
  <c r="H17" i="5"/>
  <c r="G17" i="5"/>
  <c r="F17" i="5"/>
  <c r="G16" i="5"/>
  <c r="F16" i="5"/>
  <c r="H16" i="5" s="1"/>
  <c r="F15" i="5"/>
  <c r="H15" i="5" s="1"/>
  <c r="F14" i="5"/>
  <c r="H14" i="5" s="1"/>
  <c r="H13" i="5"/>
  <c r="G13" i="5"/>
  <c r="F13" i="5"/>
  <c r="H12" i="5"/>
  <c r="G12" i="5"/>
  <c r="F12" i="5"/>
  <c r="K8" i="5"/>
  <c r="L8" i="5" s="1"/>
  <c r="J8" i="5"/>
  <c r="H8" i="5"/>
  <c r="G8" i="5"/>
  <c r="E8" i="5"/>
  <c r="D8" i="5"/>
  <c r="F8" i="5" s="1"/>
  <c r="K8" i="4"/>
  <c r="J8" i="4"/>
  <c r="L8" i="4" s="1"/>
  <c r="E8" i="4"/>
  <c r="D8" i="4"/>
  <c r="C8" i="4"/>
  <c r="H381" i="2"/>
  <c r="G381" i="2"/>
  <c r="F381" i="2"/>
  <c r="F380" i="2"/>
  <c r="F379" i="2"/>
  <c r="G379" i="2" s="1"/>
  <c r="H378" i="2"/>
  <c r="F378" i="2"/>
  <c r="G378" i="2" s="1"/>
  <c r="F377" i="2"/>
  <c r="H377" i="2" s="1"/>
  <c r="F376" i="2"/>
  <c r="H376" i="2" s="1"/>
  <c r="G375" i="2"/>
  <c r="F375" i="2"/>
  <c r="H375" i="2" s="1"/>
  <c r="H374" i="2"/>
  <c r="G374" i="2"/>
  <c r="F374" i="2"/>
  <c r="H373" i="2"/>
  <c r="G373" i="2"/>
  <c r="F373" i="2"/>
  <c r="F372" i="2"/>
  <c r="H371" i="2"/>
  <c r="F371" i="2"/>
  <c r="G371" i="2" s="1"/>
  <c r="H370" i="2"/>
  <c r="F370" i="2"/>
  <c r="G370" i="2" s="1"/>
  <c r="F369" i="2"/>
  <c r="H369" i="2" s="1"/>
  <c r="F368" i="2"/>
  <c r="H368" i="2" s="1"/>
  <c r="G367" i="2"/>
  <c r="F367" i="2"/>
  <c r="H367" i="2" s="1"/>
  <c r="H366" i="2"/>
  <c r="G366" i="2"/>
  <c r="F366" i="2"/>
  <c r="H365" i="2"/>
  <c r="G365" i="2"/>
  <c r="F365" i="2"/>
  <c r="F364" i="2"/>
  <c r="H363" i="2"/>
  <c r="F363" i="2"/>
  <c r="G363" i="2" s="1"/>
  <c r="H362" i="2"/>
  <c r="F362" i="2"/>
  <c r="G362" i="2" s="1"/>
  <c r="F361" i="2"/>
  <c r="H361" i="2" s="1"/>
  <c r="F360" i="2"/>
  <c r="H360" i="2" s="1"/>
  <c r="G359" i="2"/>
  <c r="F359" i="2"/>
  <c r="H359" i="2" s="1"/>
  <c r="H358" i="2"/>
  <c r="G358" i="2"/>
  <c r="F358" i="2"/>
  <c r="H357" i="2"/>
  <c r="G357" i="2"/>
  <c r="F357" i="2"/>
  <c r="F356" i="2"/>
  <c r="H355" i="2"/>
  <c r="F355" i="2"/>
  <c r="G355" i="2" s="1"/>
  <c r="H354" i="2"/>
  <c r="F354" i="2"/>
  <c r="G354" i="2" s="1"/>
  <c r="F353" i="2"/>
  <c r="H353" i="2" s="1"/>
  <c r="G352" i="2"/>
  <c r="F352" i="2"/>
  <c r="H352" i="2" s="1"/>
  <c r="G351" i="2"/>
  <c r="F351" i="2"/>
  <c r="H351" i="2" s="1"/>
  <c r="H350" i="2"/>
  <c r="G350" i="2"/>
  <c r="F350" i="2"/>
  <c r="H349" i="2"/>
  <c r="G349" i="2"/>
  <c r="F349" i="2"/>
  <c r="F348" i="2"/>
  <c r="F347" i="2"/>
  <c r="G347" i="2" s="1"/>
  <c r="H346" i="2"/>
  <c r="F346" i="2"/>
  <c r="G346" i="2" s="1"/>
  <c r="F345" i="2"/>
  <c r="H345" i="2" s="1"/>
  <c r="G344" i="2"/>
  <c r="F344" i="2"/>
  <c r="H344" i="2" s="1"/>
  <c r="G343" i="2"/>
  <c r="F343" i="2"/>
  <c r="H343" i="2" s="1"/>
  <c r="H342" i="2"/>
  <c r="G342" i="2"/>
  <c r="F342" i="2"/>
  <c r="H341" i="2"/>
  <c r="G341" i="2"/>
  <c r="F341" i="2"/>
  <c r="F340" i="2"/>
  <c r="F339" i="2"/>
  <c r="G339" i="2" s="1"/>
  <c r="H338" i="2"/>
  <c r="F338" i="2"/>
  <c r="G338" i="2" s="1"/>
  <c r="G337" i="2"/>
  <c r="F337" i="2"/>
  <c r="H337" i="2" s="1"/>
  <c r="G336" i="2"/>
  <c r="F336" i="2"/>
  <c r="H336" i="2" s="1"/>
  <c r="G335" i="2"/>
  <c r="F335" i="2"/>
  <c r="H335" i="2" s="1"/>
  <c r="H334" i="2"/>
  <c r="G334" i="2"/>
  <c r="F334" i="2"/>
  <c r="H333" i="2"/>
  <c r="G333" i="2"/>
  <c r="F333" i="2"/>
  <c r="F332" i="2"/>
  <c r="F331" i="2"/>
  <c r="G331" i="2" s="1"/>
  <c r="H330" i="2"/>
  <c r="F330" i="2"/>
  <c r="G330" i="2" s="1"/>
  <c r="G329" i="2"/>
  <c r="F329" i="2"/>
  <c r="H329" i="2" s="1"/>
  <c r="F328" i="2"/>
  <c r="H328" i="2" s="1"/>
  <c r="G327" i="2"/>
  <c r="F327" i="2"/>
  <c r="H327" i="2" s="1"/>
  <c r="H326" i="2"/>
  <c r="G326" i="2"/>
  <c r="F326" i="2"/>
  <c r="H325" i="2"/>
  <c r="G325" i="2"/>
  <c r="F325" i="2"/>
  <c r="F324" i="2"/>
  <c r="F323" i="2"/>
  <c r="G323" i="2" s="1"/>
  <c r="H322" i="2"/>
  <c r="F322" i="2"/>
  <c r="G322" i="2" s="1"/>
  <c r="G321" i="2"/>
  <c r="F321" i="2"/>
  <c r="H321" i="2" s="1"/>
  <c r="F320" i="2"/>
  <c r="H320" i="2" s="1"/>
  <c r="G319" i="2"/>
  <c r="F319" i="2"/>
  <c r="H319" i="2" s="1"/>
  <c r="H318" i="2"/>
  <c r="G318" i="2"/>
  <c r="F318" i="2"/>
  <c r="H317" i="2"/>
  <c r="G317" i="2"/>
  <c r="F317" i="2"/>
  <c r="F316" i="2"/>
  <c r="F315" i="2"/>
  <c r="G315" i="2" s="1"/>
  <c r="H314" i="2"/>
  <c r="F314" i="2"/>
  <c r="G314" i="2" s="1"/>
  <c r="F313" i="2"/>
  <c r="H313" i="2" s="1"/>
  <c r="F312" i="2"/>
  <c r="H312" i="2" s="1"/>
  <c r="G311" i="2"/>
  <c r="F311" i="2"/>
  <c r="H311" i="2" s="1"/>
  <c r="H310" i="2"/>
  <c r="G310" i="2"/>
  <c r="F310" i="2"/>
  <c r="H309" i="2"/>
  <c r="G309" i="2"/>
  <c r="F309" i="2"/>
  <c r="F308" i="2"/>
  <c r="H307" i="2"/>
  <c r="F307" i="2"/>
  <c r="G307" i="2" s="1"/>
  <c r="H306" i="2"/>
  <c r="F306" i="2"/>
  <c r="G306" i="2" s="1"/>
  <c r="G305" i="2"/>
  <c r="F305" i="2"/>
  <c r="H305" i="2" s="1"/>
  <c r="F304" i="2"/>
  <c r="H304" i="2" s="1"/>
  <c r="G303" i="2"/>
  <c r="F303" i="2"/>
  <c r="H303" i="2" s="1"/>
  <c r="H302" i="2"/>
  <c r="G302" i="2"/>
  <c r="F302" i="2"/>
  <c r="H301" i="2"/>
  <c r="G301" i="2"/>
  <c r="F301" i="2"/>
  <c r="F300" i="2"/>
  <c r="H299" i="2"/>
  <c r="F299" i="2"/>
  <c r="G299" i="2" s="1"/>
  <c r="H298" i="2"/>
  <c r="F298" i="2"/>
  <c r="G298" i="2" s="1"/>
  <c r="F297" i="2"/>
  <c r="H297" i="2" s="1"/>
  <c r="F296" i="2"/>
  <c r="H296" i="2" s="1"/>
  <c r="G295" i="2"/>
  <c r="F295" i="2"/>
  <c r="H295" i="2" s="1"/>
  <c r="H294" i="2"/>
  <c r="G294" i="2"/>
  <c r="F294" i="2"/>
  <c r="H293" i="2"/>
  <c r="G293" i="2"/>
  <c r="F293" i="2"/>
  <c r="F292" i="2"/>
  <c r="H291" i="2"/>
  <c r="F291" i="2"/>
  <c r="G291" i="2" s="1"/>
  <c r="H290" i="2"/>
  <c r="F290" i="2"/>
  <c r="G290" i="2" s="1"/>
  <c r="F289" i="2"/>
  <c r="H289" i="2" s="1"/>
  <c r="G288" i="2"/>
  <c r="F288" i="2"/>
  <c r="H288" i="2" s="1"/>
  <c r="G287" i="2"/>
  <c r="F287" i="2"/>
  <c r="H287" i="2" s="1"/>
  <c r="H286" i="2"/>
  <c r="G286" i="2"/>
  <c r="F286" i="2"/>
  <c r="H285" i="2"/>
  <c r="G285" i="2"/>
  <c r="F285" i="2"/>
  <c r="F284" i="2"/>
  <c r="F283" i="2"/>
  <c r="G283" i="2" s="1"/>
  <c r="H282" i="2"/>
  <c r="F282" i="2"/>
  <c r="G282" i="2" s="1"/>
  <c r="F281" i="2"/>
  <c r="H281" i="2" s="1"/>
  <c r="G280" i="2"/>
  <c r="F280" i="2"/>
  <c r="H280" i="2" s="1"/>
  <c r="G279" i="2"/>
  <c r="F279" i="2"/>
  <c r="H279" i="2" s="1"/>
  <c r="H278" i="2"/>
  <c r="G278" i="2"/>
  <c r="F278" i="2"/>
  <c r="H277" i="2"/>
  <c r="G277" i="2"/>
  <c r="F277" i="2"/>
  <c r="F276" i="2"/>
  <c r="H275" i="2"/>
  <c r="F275" i="2"/>
  <c r="G275" i="2" s="1"/>
  <c r="H274" i="2"/>
  <c r="F274" i="2"/>
  <c r="G274" i="2" s="1"/>
  <c r="G273" i="2"/>
  <c r="F273" i="2"/>
  <c r="H273" i="2" s="1"/>
  <c r="G272" i="2"/>
  <c r="F272" i="2"/>
  <c r="H272" i="2" s="1"/>
  <c r="G271" i="2"/>
  <c r="F271" i="2"/>
  <c r="H271" i="2" s="1"/>
  <c r="H270" i="2"/>
  <c r="G270" i="2"/>
  <c r="F270" i="2"/>
  <c r="H269" i="2"/>
  <c r="G269" i="2"/>
  <c r="F269" i="2"/>
  <c r="F268" i="2"/>
  <c r="F267" i="2"/>
  <c r="H267" i="2" s="1"/>
  <c r="H266" i="2"/>
  <c r="F266" i="2"/>
  <c r="G266" i="2" s="1"/>
  <c r="G265" i="2"/>
  <c r="F265" i="2"/>
  <c r="H265" i="2" s="1"/>
  <c r="F264" i="2"/>
  <c r="H264" i="2" s="1"/>
  <c r="G263" i="2"/>
  <c r="F263" i="2"/>
  <c r="H263" i="2" s="1"/>
  <c r="H262" i="2"/>
  <c r="G262" i="2"/>
  <c r="F262" i="2"/>
  <c r="H261" i="2"/>
  <c r="G261" i="2"/>
  <c r="F261" i="2"/>
  <c r="F260" i="2"/>
  <c r="H259" i="2"/>
  <c r="G259" i="2"/>
  <c r="F259" i="2"/>
  <c r="H258" i="2"/>
  <c r="F258" i="2"/>
  <c r="G258" i="2" s="1"/>
  <c r="F257" i="2"/>
  <c r="H257" i="2" s="1"/>
  <c r="G256" i="2"/>
  <c r="F256" i="2"/>
  <c r="H256" i="2" s="1"/>
  <c r="G255" i="2"/>
  <c r="F255" i="2"/>
  <c r="H255" i="2" s="1"/>
  <c r="F254" i="2"/>
  <c r="H254" i="2" s="1"/>
  <c r="H253" i="2"/>
  <c r="G253" i="2"/>
  <c r="F253" i="2"/>
  <c r="F252" i="2"/>
  <c r="F251" i="2"/>
  <c r="H251" i="2" s="1"/>
  <c r="H250" i="2"/>
  <c r="F250" i="2"/>
  <c r="G250" i="2" s="1"/>
  <c r="G249" i="2"/>
  <c r="F249" i="2"/>
  <c r="H249" i="2" s="1"/>
  <c r="H248" i="2"/>
  <c r="F248" i="2"/>
  <c r="G248" i="2" s="1"/>
  <c r="G247" i="2"/>
  <c r="F247" i="2"/>
  <c r="H247" i="2" s="1"/>
  <c r="G246" i="2"/>
  <c r="F246" i="2"/>
  <c r="H246" i="2" s="1"/>
  <c r="H245" i="2"/>
  <c r="G245" i="2"/>
  <c r="F245" i="2"/>
  <c r="F244" i="2"/>
  <c r="F243" i="2"/>
  <c r="H243" i="2" s="1"/>
  <c r="H242" i="2"/>
  <c r="F242" i="2"/>
  <c r="G242" i="2" s="1"/>
  <c r="F241" i="2"/>
  <c r="H241" i="2" s="1"/>
  <c r="F240" i="2"/>
  <c r="H240" i="2" s="1"/>
  <c r="G239" i="2"/>
  <c r="F239" i="2"/>
  <c r="H239" i="2" s="1"/>
  <c r="H238" i="2"/>
  <c r="F238" i="2"/>
  <c r="G238" i="2" s="1"/>
  <c r="H237" i="2"/>
  <c r="G237" i="2"/>
  <c r="F237" i="2"/>
  <c r="F236" i="2"/>
  <c r="H235" i="2"/>
  <c r="G235" i="2"/>
  <c r="F235" i="2"/>
  <c r="H234" i="2"/>
  <c r="F234" i="2"/>
  <c r="G234" i="2" s="1"/>
  <c r="F233" i="2"/>
  <c r="H233" i="2" s="1"/>
  <c r="H232" i="2"/>
  <c r="G232" i="2"/>
  <c r="F232" i="2"/>
  <c r="G231" i="2"/>
  <c r="F231" i="2"/>
  <c r="H231" i="2" s="1"/>
  <c r="F230" i="2"/>
  <c r="H230" i="2" s="1"/>
  <c r="H229" i="2"/>
  <c r="G229" i="2"/>
  <c r="F229" i="2"/>
  <c r="F228" i="2"/>
  <c r="F227" i="2"/>
  <c r="H227" i="2" s="1"/>
  <c r="H226" i="2"/>
  <c r="F226" i="2"/>
  <c r="G226" i="2" s="1"/>
  <c r="G225" i="2"/>
  <c r="F225" i="2"/>
  <c r="H225" i="2" s="1"/>
  <c r="G224" i="2"/>
  <c r="F224" i="2"/>
  <c r="H224" i="2" s="1"/>
  <c r="G223" i="2"/>
  <c r="F223" i="2"/>
  <c r="H223" i="2" s="1"/>
  <c r="H222" i="2"/>
  <c r="G222" i="2"/>
  <c r="F222" i="2"/>
  <c r="H221" i="2"/>
  <c r="G221" i="2"/>
  <c r="F221" i="2"/>
  <c r="F220" i="2"/>
  <c r="G220" i="2" s="1"/>
  <c r="H219" i="2"/>
  <c r="G219" i="2"/>
  <c r="F219" i="2"/>
  <c r="F218" i="2"/>
  <c r="G218" i="2" s="1"/>
  <c r="F217" i="2"/>
  <c r="H217" i="2" s="1"/>
  <c r="F216" i="2"/>
  <c r="H216" i="2" s="1"/>
  <c r="G215" i="2"/>
  <c r="F215" i="2"/>
  <c r="H215" i="2" s="1"/>
  <c r="F214" i="2"/>
  <c r="H214" i="2" s="1"/>
  <c r="H213" i="2"/>
  <c r="G213" i="2"/>
  <c r="F213" i="2"/>
  <c r="H212" i="2"/>
  <c r="F212" i="2"/>
  <c r="G212" i="2" s="1"/>
  <c r="F211" i="2"/>
  <c r="H211" i="2" s="1"/>
  <c r="F210" i="2"/>
  <c r="G210" i="2" s="1"/>
  <c r="G209" i="2"/>
  <c r="F209" i="2"/>
  <c r="H209" i="2" s="1"/>
  <c r="G208" i="2"/>
  <c r="F208" i="2"/>
  <c r="H208" i="2" s="1"/>
  <c r="G207" i="2"/>
  <c r="F207" i="2"/>
  <c r="H207" i="2" s="1"/>
  <c r="H206" i="2"/>
  <c r="G206" i="2"/>
  <c r="F206" i="2"/>
  <c r="H205" i="2"/>
  <c r="G205" i="2"/>
  <c r="F205" i="2"/>
  <c r="F204" i="2"/>
  <c r="G204" i="2" s="1"/>
  <c r="H203" i="2"/>
  <c r="G203" i="2"/>
  <c r="F203" i="2"/>
  <c r="F202" i="2"/>
  <c r="G202" i="2" s="1"/>
  <c r="F201" i="2"/>
  <c r="H201" i="2" s="1"/>
  <c r="F200" i="2"/>
  <c r="G200" i="2" s="1"/>
  <c r="G199" i="2"/>
  <c r="F199" i="2"/>
  <c r="H199" i="2" s="1"/>
  <c r="F198" i="2"/>
  <c r="H198" i="2" s="1"/>
  <c r="H197" i="2"/>
  <c r="G197" i="2"/>
  <c r="F197" i="2"/>
  <c r="H196" i="2"/>
  <c r="F196" i="2"/>
  <c r="G196" i="2" s="1"/>
  <c r="F195" i="2"/>
  <c r="H195" i="2" s="1"/>
  <c r="F194" i="2"/>
  <c r="G194" i="2" s="1"/>
  <c r="G193" i="2"/>
  <c r="F193" i="2"/>
  <c r="H193" i="2" s="1"/>
  <c r="G192" i="2"/>
  <c r="F192" i="2"/>
  <c r="H192" i="2" s="1"/>
  <c r="G191" i="2"/>
  <c r="F191" i="2"/>
  <c r="H191" i="2" s="1"/>
  <c r="H190" i="2"/>
  <c r="G190" i="2"/>
  <c r="F190" i="2"/>
  <c r="H189" i="2"/>
  <c r="G189" i="2"/>
  <c r="F189" i="2"/>
  <c r="F188" i="2"/>
  <c r="G188" i="2" s="1"/>
  <c r="H187" i="2"/>
  <c r="G187" i="2"/>
  <c r="F187" i="2"/>
  <c r="F186" i="2"/>
  <c r="G186" i="2" s="1"/>
  <c r="F185" i="2"/>
  <c r="H185" i="2" s="1"/>
  <c r="F184" i="2"/>
  <c r="G184" i="2" s="1"/>
  <c r="G183" i="2"/>
  <c r="F183" i="2"/>
  <c r="H183" i="2" s="1"/>
  <c r="F182" i="2"/>
  <c r="H182" i="2" s="1"/>
  <c r="H181" i="2"/>
  <c r="G181" i="2"/>
  <c r="F181" i="2"/>
  <c r="H180" i="2"/>
  <c r="F180" i="2"/>
  <c r="G180" i="2" s="1"/>
  <c r="F179" i="2"/>
  <c r="H179" i="2" s="1"/>
  <c r="F178" i="2"/>
  <c r="G178" i="2" s="1"/>
  <c r="G177" i="2"/>
  <c r="F177" i="2"/>
  <c r="H177" i="2" s="1"/>
  <c r="G176" i="2"/>
  <c r="F176" i="2"/>
  <c r="H176" i="2" s="1"/>
  <c r="G175" i="2"/>
  <c r="F175" i="2"/>
  <c r="H175" i="2" s="1"/>
  <c r="H174" i="2"/>
  <c r="G174" i="2"/>
  <c r="F174" i="2"/>
  <c r="H173" i="2"/>
  <c r="G173" i="2"/>
  <c r="F173" i="2"/>
  <c r="F172" i="2"/>
  <c r="G172" i="2" s="1"/>
  <c r="H171" i="2"/>
  <c r="G171" i="2"/>
  <c r="F171" i="2"/>
  <c r="F170" i="2"/>
  <c r="G170" i="2" s="1"/>
  <c r="F169" i="2"/>
  <c r="H169" i="2" s="1"/>
  <c r="F168" i="2"/>
  <c r="G168" i="2" s="1"/>
  <c r="G167" i="2"/>
  <c r="F167" i="2"/>
  <c r="H167" i="2" s="1"/>
  <c r="F166" i="2"/>
  <c r="H166" i="2" s="1"/>
  <c r="H165" i="2"/>
  <c r="G165" i="2"/>
  <c r="F165" i="2"/>
  <c r="H164" i="2"/>
  <c r="F164" i="2"/>
  <c r="G164" i="2" s="1"/>
  <c r="F163" i="2"/>
  <c r="H163" i="2" s="1"/>
  <c r="F162" i="2"/>
  <c r="G162" i="2" s="1"/>
  <c r="H161" i="2"/>
  <c r="F161" i="2"/>
  <c r="G161" i="2" s="1"/>
  <c r="F160" i="2"/>
  <c r="G160" i="2" s="1"/>
  <c r="F159" i="2"/>
  <c r="H159" i="2" s="1"/>
  <c r="H158" i="2"/>
  <c r="F158" i="2"/>
  <c r="G158" i="2" s="1"/>
  <c r="H157" i="2"/>
  <c r="G157" i="2"/>
  <c r="F157" i="2"/>
  <c r="H156" i="2"/>
  <c r="G156" i="2"/>
  <c r="F156" i="2"/>
  <c r="G155" i="2"/>
  <c r="F155" i="2"/>
  <c r="H155" i="2" s="1"/>
  <c r="F154" i="2"/>
  <c r="G154" i="2" s="1"/>
  <c r="H153" i="2"/>
  <c r="G153" i="2"/>
  <c r="F153" i="2"/>
  <c r="G152" i="2"/>
  <c r="F152" i="2"/>
  <c r="H152" i="2" s="1"/>
  <c r="F151" i="2"/>
  <c r="H151" i="2" s="1"/>
  <c r="H150" i="2"/>
  <c r="G150" i="2"/>
  <c r="F150" i="2"/>
  <c r="H149" i="2"/>
  <c r="G149" i="2"/>
  <c r="F149" i="2"/>
  <c r="F148" i="2"/>
  <c r="H148" i="2" s="1"/>
  <c r="H147" i="2"/>
  <c r="G147" i="2"/>
  <c r="F147" i="2"/>
  <c r="H146" i="2"/>
  <c r="F146" i="2"/>
  <c r="G146" i="2" s="1"/>
  <c r="F145" i="2"/>
  <c r="G145" i="2" s="1"/>
  <c r="H144" i="2"/>
  <c r="G144" i="2"/>
  <c r="F144" i="2"/>
  <c r="G143" i="2"/>
  <c r="F143" i="2"/>
  <c r="H143" i="2" s="1"/>
  <c r="F142" i="2"/>
  <c r="H142" i="2" s="1"/>
  <c r="H141" i="2"/>
  <c r="G141" i="2"/>
  <c r="F141" i="2"/>
  <c r="F140" i="2"/>
  <c r="H140" i="2" s="1"/>
  <c r="F139" i="2"/>
  <c r="H139" i="2" s="1"/>
  <c r="H138" i="2"/>
  <c r="F138" i="2"/>
  <c r="G138" i="2" s="1"/>
  <c r="F137" i="2"/>
  <c r="H137" i="2" s="1"/>
  <c r="F136" i="2"/>
  <c r="H136" i="2" s="1"/>
  <c r="G135" i="2"/>
  <c r="F135" i="2"/>
  <c r="H135" i="2" s="1"/>
  <c r="F134" i="2"/>
  <c r="H134" i="2" s="1"/>
  <c r="H133" i="2"/>
  <c r="G133" i="2"/>
  <c r="F133" i="2"/>
  <c r="H132" i="2"/>
  <c r="F132" i="2"/>
  <c r="G132" i="2" s="1"/>
  <c r="F131" i="2"/>
  <c r="H131" i="2" s="1"/>
  <c r="F130" i="2"/>
  <c r="G130" i="2" s="1"/>
  <c r="H129" i="2"/>
  <c r="F129" i="2"/>
  <c r="G129" i="2" s="1"/>
  <c r="F128" i="2"/>
  <c r="G128" i="2" s="1"/>
  <c r="F127" i="2"/>
  <c r="H127" i="2" s="1"/>
  <c r="H126" i="2"/>
  <c r="F126" i="2"/>
  <c r="G126" i="2" s="1"/>
  <c r="H125" i="2"/>
  <c r="G125" i="2"/>
  <c r="F125" i="2"/>
  <c r="H124" i="2"/>
  <c r="G124" i="2"/>
  <c r="F124" i="2"/>
  <c r="G123" i="2"/>
  <c r="F123" i="2"/>
  <c r="H123" i="2" s="1"/>
  <c r="F122" i="2"/>
  <c r="G122" i="2" s="1"/>
  <c r="H121" i="2"/>
  <c r="G121" i="2"/>
  <c r="F121" i="2"/>
  <c r="G120" i="2"/>
  <c r="F120" i="2"/>
  <c r="H120" i="2" s="1"/>
  <c r="F119" i="2"/>
  <c r="H119" i="2" s="1"/>
  <c r="H118" i="2"/>
  <c r="G118" i="2"/>
  <c r="F118" i="2"/>
  <c r="H117" i="2"/>
  <c r="G117" i="2"/>
  <c r="F117" i="2"/>
  <c r="F116" i="2"/>
  <c r="G116" i="2" s="1"/>
  <c r="H115" i="2"/>
  <c r="G115" i="2"/>
  <c r="F115" i="2"/>
  <c r="H114" i="2"/>
  <c r="F114" i="2"/>
  <c r="G114" i="2" s="1"/>
  <c r="F113" i="2"/>
  <c r="H113" i="2" s="1"/>
  <c r="H112" i="2"/>
  <c r="G112" i="2"/>
  <c r="F112" i="2"/>
  <c r="G111" i="2"/>
  <c r="F111" i="2"/>
  <c r="H111" i="2" s="1"/>
  <c r="F110" i="2"/>
  <c r="G110" i="2" s="1"/>
  <c r="H109" i="2"/>
  <c r="G109" i="2"/>
  <c r="F109" i="2"/>
  <c r="F108" i="2"/>
  <c r="H108" i="2" s="1"/>
  <c r="F107" i="2"/>
  <c r="H107" i="2" s="1"/>
  <c r="H106" i="2"/>
  <c r="F106" i="2"/>
  <c r="G106" i="2" s="1"/>
  <c r="F105" i="2"/>
  <c r="H105" i="2" s="1"/>
  <c r="F104" i="2"/>
  <c r="H104" i="2" s="1"/>
  <c r="G103" i="2"/>
  <c r="F103" i="2"/>
  <c r="H103" i="2" s="1"/>
  <c r="F102" i="2"/>
  <c r="H102" i="2" s="1"/>
  <c r="H101" i="2"/>
  <c r="G101" i="2"/>
  <c r="F101" i="2"/>
  <c r="H100" i="2"/>
  <c r="F100" i="2"/>
  <c r="G100" i="2" s="1"/>
  <c r="F99" i="2"/>
  <c r="G99" i="2" s="1"/>
  <c r="F98" i="2"/>
  <c r="G98" i="2" s="1"/>
  <c r="H97" i="2"/>
  <c r="F97" i="2"/>
  <c r="G97" i="2" s="1"/>
  <c r="F96" i="2"/>
  <c r="G96" i="2" s="1"/>
  <c r="F95" i="2"/>
  <c r="H95" i="2" s="1"/>
  <c r="H94" i="2"/>
  <c r="F94" i="2"/>
  <c r="G94" i="2" s="1"/>
  <c r="H93" i="2"/>
  <c r="G93" i="2"/>
  <c r="F93" i="2"/>
  <c r="H92" i="2"/>
  <c r="G92" i="2"/>
  <c r="F92" i="2"/>
  <c r="G91" i="2"/>
  <c r="F91" i="2"/>
  <c r="H91" i="2" s="1"/>
  <c r="F90" i="2"/>
  <c r="G90" i="2" s="1"/>
  <c r="H89" i="2"/>
  <c r="G89" i="2"/>
  <c r="F89" i="2"/>
  <c r="G88" i="2"/>
  <c r="F88" i="2"/>
  <c r="H88" i="2" s="1"/>
  <c r="F87" i="2"/>
  <c r="H87" i="2" s="1"/>
  <c r="H86" i="2"/>
  <c r="G86" i="2"/>
  <c r="F86" i="2"/>
  <c r="H85" i="2"/>
  <c r="G85" i="2"/>
  <c r="F85" i="2"/>
  <c r="F84" i="2"/>
  <c r="H84" i="2" s="1"/>
  <c r="H83" i="2"/>
  <c r="G83" i="2"/>
  <c r="F83" i="2"/>
  <c r="H82" i="2"/>
  <c r="F82" i="2"/>
  <c r="G82" i="2" s="1"/>
  <c r="F81" i="2"/>
  <c r="H81" i="2" s="1"/>
  <c r="H80" i="2"/>
  <c r="G80" i="2"/>
  <c r="F80" i="2"/>
  <c r="G79" i="2"/>
  <c r="F79" i="2"/>
  <c r="H79" i="2" s="1"/>
  <c r="F78" i="2"/>
  <c r="H78" i="2" s="1"/>
  <c r="H77" i="2"/>
  <c r="G77" i="2"/>
  <c r="F77" i="2"/>
  <c r="F76" i="2"/>
  <c r="H76" i="2" s="1"/>
  <c r="F75" i="2"/>
  <c r="H75" i="2" s="1"/>
  <c r="H74" i="2"/>
  <c r="F74" i="2"/>
  <c r="G74" i="2" s="1"/>
  <c r="F73" i="2"/>
  <c r="H73" i="2" s="1"/>
  <c r="F72" i="2"/>
  <c r="H72" i="2" s="1"/>
  <c r="G71" i="2"/>
  <c r="F71" i="2"/>
  <c r="H71" i="2" s="1"/>
  <c r="F70" i="2"/>
  <c r="H70" i="2" s="1"/>
  <c r="H69" i="2"/>
  <c r="G69" i="2"/>
  <c r="F69" i="2"/>
  <c r="H68" i="2"/>
  <c r="F68" i="2"/>
  <c r="G68" i="2" s="1"/>
  <c r="F67" i="2"/>
  <c r="G67" i="2" s="1"/>
  <c r="F66" i="2"/>
  <c r="G66" i="2" s="1"/>
  <c r="H65" i="2"/>
  <c r="F65" i="2"/>
  <c r="G65" i="2" s="1"/>
  <c r="F64" i="2"/>
  <c r="G64" i="2" s="1"/>
  <c r="F63" i="2"/>
  <c r="H63" i="2" s="1"/>
  <c r="H62" i="2"/>
  <c r="F62" i="2"/>
  <c r="G62" i="2" s="1"/>
  <c r="H61" i="2"/>
  <c r="G61" i="2"/>
  <c r="F61" i="2"/>
  <c r="H60" i="2"/>
  <c r="G60" i="2"/>
  <c r="F60" i="2"/>
  <c r="G59" i="2"/>
  <c r="F59" i="2"/>
  <c r="H59" i="2" s="1"/>
  <c r="F58" i="2"/>
  <c r="G58" i="2" s="1"/>
  <c r="H57" i="2"/>
  <c r="G57" i="2"/>
  <c r="F57" i="2"/>
  <c r="G56" i="2"/>
  <c r="F56" i="2"/>
  <c r="H56" i="2" s="1"/>
  <c r="F55" i="2"/>
  <c r="H55" i="2" s="1"/>
  <c r="H54" i="2"/>
  <c r="G54" i="2"/>
  <c r="F54" i="2"/>
  <c r="H53" i="2"/>
  <c r="G53" i="2"/>
  <c r="F53" i="2"/>
  <c r="F52" i="2"/>
  <c r="H52" i="2" s="1"/>
  <c r="H51" i="2"/>
  <c r="G51" i="2"/>
  <c r="F51" i="2"/>
  <c r="H50" i="2"/>
  <c r="F50" i="2"/>
  <c r="G50" i="2" s="1"/>
  <c r="F49" i="2"/>
  <c r="H49" i="2" s="1"/>
  <c r="H48" i="2"/>
  <c r="G48" i="2"/>
  <c r="F48" i="2"/>
  <c r="G47" i="2"/>
  <c r="F47" i="2"/>
  <c r="H47" i="2" s="1"/>
  <c r="F46" i="2"/>
  <c r="H46" i="2" s="1"/>
  <c r="H45" i="2"/>
  <c r="G45" i="2"/>
  <c r="F45" i="2"/>
  <c r="F44" i="2"/>
  <c r="H44" i="2" s="1"/>
  <c r="F43" i="2"/>
  <c r="H43" i="2" s="1"/>
  <c r="H42" i="2"/>
  <c r="F42" i="2"/>
  <c r="G42" i="2" s="1"/>
  <c r="F41" i="2"/>
  <c r="H41" i="2" s="1"/>
  <c r="F40" i="2"/>
  <c r="H40" i="2" s="1"/>
  <c r="G39" i="2"/>
  <c r="F39" i="2"/>
  <c r="H39" i="2" s="1"/>
  <c r="F38" i="2"/>
  <c r="H38" i="2" s="1"/>
  <c r="H37" i="2"/>
  <c r="G37" i="2"/>
  <c r="F37" i="2"/>
  <c r="H36" i="2"/>
  <c r="F36" i="2"/>
  <c r="G36" i="2" s="1"/>
  <c r="F35" i="2"/>
  <c r="H35" i="2" s="1"/>
  <c r="F34" i="2"/>
  <c r="G34" i="2" s="1"/>
  <c r="H33" i="2"/>
  <c r="F33" i="2"/>
  <c r="G33" i="2" s="1"/>
  <c r="F32" i="2"/>
  <c r="H32" i="2" s="1"/>
  <c r="F31" i="2"/>
  <c r="H31" i="2" s="1"/>
  <c r="H30" i="2"/>
  <c r="F30" i="2"/>
  <c r="G30" i="2" s="1"/>
  <c r="H29" i="2"/>
  <c r="G29" i="2"/>
  <c r="F29" i="2"/>
  <c r="H28" i="2"/>
  <c r="G28" i="2"/>
  <c r="F28" i="2"/>
  <c r="G27" i="2"/>
  <c r="F27" i="2"/>
  <c r="H27" i="2" s="1"/>
  <c r="F26" i="2"/>
  <c r="G26" i="2" s="1"/>
  <c r="H25" i="2"/>
  <c r="G25" i="2"/>
  <c r="F25" i="2"/>
  <c r="G24" i="2"/>
  <c r="F24" i="2"/>
  <c r="H24" i="2" s="1"/>
  <c r="F23" i="2"/>
  <c r="H23" i="2" s="1"/>
  <c r="H22" i="2"/>
  <c r="G22" i="2"/>
  <c r="F22" i="2"/>
  <c r="H21" i="2"/>
  <c r="G21" i="2"/>
  <c r="F21" i="2"/>
  <c r="F20" i="2"/>
  <c r="H20" i="2" s="1"/>
  <c r="H19" i="2"/>
  <c r="G19" i="2"/>
  <c r="F19" i="2"/>
  <c r="H18" i="2"/>
  <c r="F18" i="2"/>
  <c r="G18" i="2" s="1"/>
  <c r="F17" i="2"/>
  <c r="H17" i="2" s="1"/>
  <c r="H16" i="2"/>
  <c r="G16" i="2"/>
  <c r="F16" i="2"/>
  <c r="G15" i="2"/>
  <c r="F15" i="2"/>
  <c r="H15" i="2" s="1"/>
  <c r="F14" i="2"/>
  <c r="H14" i="2" s="1"/>
  <c r="H13" i="2"/>
  <c r="G13" i="2"/>
  <c r="F13" i="2"/>
  <c r="F12" i="2"/>
  <c r="H12" i="2" s="1"/>
  <c r="F8" i="2"/>
  <c r="H8" i="2" s="1"/>
  <c r="E8" i="2"/>
  <c r="D8" i="2"/>
  <c r="E8" i="1"/>
  <c r="D8" i="1"/>
  <c r="C8" i="1"/>
  <c r="F8" i="1" s="1"/>
  <c r="M8" i="5" l="1"/>
  <c r="N8" i="5" s="1"/>
  <c r="H8" i="1"/>
  <c r="G8" i="1"/>
  <c r="G40" i="2"/>
  <c r="G136" i="2"/>
  <c r="G14" i="2"/>
  <c r="G20" i="2"/>
  <c r="G46" i="2"/>
  <c r="H168" i="2"/>
  <c r="H200" i="2"/>
  <c r="H210" i="2"/>
  <c r="G35" i="2"/>
  <c r="H252" i="2"/>
  <c r="G252" i="2"/>
  <c r="H284" i="2"/>
  <c r="G284" i="2"/>
  <c r="H348" i="2"/>
  <c r="G348" i="2"/>
  <c r="F8" i="4"/>
  <c r="H35" i="5"/>
  <c r="G35" i="5"/>
  <c r="G52" i="5"/>
  <c r="H52" i="5"/>
  <c r="H65" i="5"/>
  <c r="G65" i="5"/>
  <c r="H78" i="5"/>
  <c r="G78" i="5"/>
  <c r="H292" i="2"/>
  <c r="G292" i="2"/>
  <c r="H356" i="2"/>
  <c r="G356" i="2"/>
  <c r="H43" i="5"/>
  <c r="G43" i="5"/>
  <c r="G31" i="2"/>
  <c r="H98" i="2"/>
  <c r="G107" i="2"/>
  <c r="G159" i="2"/>
  <c r="H300" i="2"/>
  <c r="G300" i="2"/>
  <c r="H364" i="2"/>
  <c r="G364" i="2"/>
  <c r="G48" i="5"/>
  <c r="H48" i="5"/>
  <c r="H61" i="5"/>
  <c r="G61" i="5"/>
  <c r="G8" i="2"/>
  <c r="H34" i="2"/>
  <c r="G43" i="2"/>
  <c r="G72" i="2"/>
  <c r="G104" i="2"/>
  <c r="H162" i="2"/>
  <c r="G216" i="2"/>
  <c r="G17" i="2"/>
  <c r="G52" i="2"/>
  <c r="G113" i="2"/>
  <c r="H178" i="2"/>
  <c r="H184" i="2"/>
  <c r="H194" i="2"/>
  <c r="H315" i="2"/>
  <c r="G345" i="2"/>
  <c r="G360" i="2"/>
  <c r="H379" i="2"/>
  <c r="G63" i="2"/>
  <c r="G95" i="2"/>
  <c r="G49" i="2"/>
  <c r="G148" i="2"/>
  <c r="G243" i="2"/>
  <c r="G296" i="2"/>
  <c r="H372" i="2"/>
  <c r="G372" i="2"/>
  <c r="G55" i="2"/>
  <c r="G131" i="2"/>
  <c r="H188" i="2"/>
  <c r="G304" i="2"/>
  <c r="H316" i="2"/>
  <c r="G316" i="2"/>
  <c r="H323" i="2"/>
  <c r="G353" i="2"/>
  <c r="G368" i="2"/>
  <c r="H380" i="2"/>
  <c r="G380" i="2"/>
  <c r="H45" i="5"/>
  <c r="G45" i="5"/>
  <c r="H58" i="5"/>
  <c r="G80" i="5"/>
  <c r="H80" i="5"/>
  <c r="G127" i="2"/>
  <c r="G139" i="2"/>
  <c r="H236" i="2"/>
  <c r="G236" i="2"/>
  <c r="G78" i="2"/>
  <c r="G81" i="2"/>
  <c r="G142" i="2"/>
  <c r="G32" i="2"/>
  <c r="G87" i="2"/>
  <c r="H116" i="2"/>
  <c r="G163" i="2"/>
  <c r="G230" i="2"/>
  <c r="G240" i="2"/>
  <c r="G267" i="2"/>
  <c r="G289" i="2"/>
  <c r="G12" i="2"/>
  <c r="G38" i="2"/>
  <c r="G41" i="2"/>
  <c r="G44" i="2"/>
  <c r="H64" i="2"/>
  <c r="H67" i="2"/>
  <c r="G70" i="2"/>
  <c r="G73" i="2"/>
  <c r="G76" i="2"/>
  <c r="H96" i="2"/>
  <c r="H99" i="2"/>
  <c r="G102" i="2"/>
  <c r="G105" i="2"/>
  <c r="G108" i="2"/>
  <c r="H128" i="2"/>
  <c r="G134" i="2"/>
  <c r="G137" i="2"/>
  <c r="G140" i="2"/>
  <c r="H160" i="2"/>
  <c r="G166" i="2"/>
  <c r="G169" i="2"/>
  <c r="G179" i="2"/>
  <c r="G182" i="2"/>
  <c r="G185" i="2"/>
  <c r="G195" i="2"/>
  <c r="G198" i="2"/>
  <c r="G201" i="2"/>
  <c r="G211" i="2"/>
  <c r="G214" i="2"/>
  <c r="G217" i="2"/>
  <c r="G227" i="2"/>
  <c r="H244" i="2"/>
  <c r="G244" i="2"/>
  <c r="G254" i="2"/>
  <c r="G257" i="2"/>
  <c r="G264" i="2"/>
  <c r="G297" i="2"/>
  <c r="G312" i="2"/>
  <c r="H324" i="2"/>
  <c r="G324" i="2"/>
  <c r="H331" i="2"/>
  <c r="G361" i="2"/>
  <c r="G376" i="2"/>
  <c r="M8" i="4"/>
  <c r="H18" i="5"/>
  <c r="G68" i="5"/>
  <c r="H68" i="5"/>
  <c r="H81" i="5"/>
  <c r="G81" i="5"/>
  <c r="H62" i="5"/>
  <c r="G62" i="5"/>
  <c r="G23" i="2"/>
  <c r="H58" i="2"/>
  <c r="H90" i="2"/>
  <c r="H110" i="2"/>
  <c r="G119" i="2"/>
  <c r="H122" i="2"/>
  <c r="H145" i="2"/>
  <c r="H204" i="2"/>
  <c r="G251" i="2"/>
  <c r="H268" i="2"/>
  <c r="G268" i="2"/>
  <c r="G320" i="2"/>
  <c r="H332" i="2"/>
  <c r="G332" i="2"/>
  <c r="H339" i="2"/>
  <c r="G369" i="2"/>
  <c r="G15" i="5"/>
  <c r="H19" i="5"/>
  <c r="G19" i="5"/>
  <c r="H26" i="5"/>
  <c r="G46" i="5"/>
  <c r="H66" i="2"/>
  <c r="G75" i="2"/>
  <c r="H130" i="2"/>
  <c r="G84" i="2"/>
  <c r="H260" i="2"/>
  <c r="G260" i="2"/>
  <c r="G281" i="2"/>
  <c r="H308" i="2"/>
  <c r="G308" i="2"/>
  <c r="H49" i="5"/>
  <c r="G49" i="5"/>
  <c r="H26" i="2"/>
  <c r="G151" i="2"/>
  <c r="H154" i="2"/>
  <c r="H172" i="2"/>
  <c r="H220" i="2"/>
  <c r="G233" i="2"/>
  <c r="H170" i="2"/>
  <c r="H186" i="2"/>
  <c r="H202" i="2"/>
  <c r="H218" i="2"/>
  <c r="H228" i="2"/>
  <c r="G228" i="2"/>
  <c r="G241" i="2"/>
  <c r="H276" i="2"/>
  <c r="G276" i="2"/>
  <c r="H283" i="2"/>
  <c r="G313" i="2"/>
  <c r="G328" i="2"/>
  <c r="H340" i="2"/>
  <c r="G340" i="2"/>
  <c r="H347" i="2"/>
  <c r="G377" i="2"/>
  <c r="G23" i="5"/>
  <c r="H27" i="5"/>
  <c r="G27" i="5"/>
  <c r="H34" i="5"/>
  <c r="G64" i="5"/>
  <c r="H64" i="5"/>
  <c r="H77" i="5"/>
  <c r="G77" i="5"/>
  <c r="H165" i="5"/>
  <c r="G165" i="5"/>
  <c r="H197" i="5"/>
  <c r="G197" i="5"/>
  <c r="H229" i="5"/>
  <c r="G229" i="5"/>
  <c r="H261" i="5"/>
  <c r="G261" i="5"/>
  <c r="H293" i="5"/>
  <c r="G293" i="5"/>
  <c r="H325" i="5"/>
  <c r="G325" i="5"/>
  <c r="H357" i="5"/>
  <c r="G357" i="5"/>
  <c r="H268" i="5"/>
  <c r="H300" i="5"/>
  <c r="H332" i="5"/>
  <c r="H364" i="5"/>
  <c r="H372" i="5"/>
  <c r="G90" i="5"/>
  <c r="G93" i="5"/>
  <c r="H96" i="5"/>
  <c r="G106" i="5"/>
  <c r="G109" i="5"/>
  <c r="H112" i="5"/>
  <c r="G122" i="5"/>
  <c r="G125" i="5"/>
  <c r="H128" i="5"/>
  <c r="G138" i="5"/>
  <c r="G141" i="5"/>
  <c r="G162" i="5"/>
  <c r="G166" i="5"/>
  <c r="G169" i="5"/>
  <c r="H173" i="5"/>
  <c r="G173" i="5"/>
  <c r="G194" i="5"/>
  <c r="G198" i="5"/>
  <c r="G201" i="5"/>
  <c r="H205" i="5"/>
  <c r="G205" i="5"/>
  <c r="G226" i="5"/>
  <c r="G230" i="5"/>
  <c r="G233" i="5"/>
  <c r="H237" i="5"/>
  <c r="G237" i="5"/>
  <c r="G258" i="5"/>
  <c r="G265" i="5"/>
  <c r="H269" i="5"/>
  <c r="G269" i="5"/>
  <c r="G290" i="5"/>
  <c r="G297" i="5"/>
  <c r="H301" i="5"/>
  <c r="G301" i="5"/>
  <c r="G322" i="5"/>
  <c r="G329" i="5"/>
  <c r="H333" i="5"/>
  <c r="G333" i="5"/>
  <c r="G354" i="5"/>
  <c r="G361" i="5"/>
  <c r="H365" i="5"/>
  <c r="G365" i="5"/>
  <c r="H373" i="5"/>
  <c r="G373" i="5"/>
  <c r="H84" i="5"/>
  <c r="G94" i="5"/>
  <c r="G97" i="5"/>
  <c r="H100" i="5"/>
  <c r="G110" i="5"/>
  <c r="G113" i="5"/>
  <c r="H116" i="5"/>
  <c r="H149" i="5"/>
  <c r="G149" i="5"/>
  <c r="G174" i="5"/>
  <c r="G177" i="5"/>
  <c r="H181" i="5"/>
  <c r="G181" i="5"/>
  <c r="G202" i="5"/>
  <c r="G206" i="5"/>
  <c r="G209" i="5"/>
  <c r="H213" i="5"/>
  <c r="G213" i="5"/>
  <c r="G234" i="5"/>
  <c r="G238" i="5"/>
  <c r="G241" i="5"/>
  <c r="H245" i="5"/>
  <c r="G245" i="5"/>
  <c r="G266" i="5"/>
  <c r="G270" i="5"/>
  <c r="G273" i="5"/>
  <c r="H277" i="5"/>
  <c r="G277" i="5"/>
  <c r="G298" i="5"/>
  <c r="G302" i="5"/>
  <c r="G305" i="5"/>
  <c r="H309" i="5"/>
  <c r="G309" i="5"/>
  <c r="G330" i="5"/>
  <c r="G334" i="5"/>
  <c r="G337" i="5"/>
  <c r="H341" i="5"/>
  <c r="G341" i="5"/>
  <c r="G362" i="5"/>
  <c r="H366" i="5"/>
  <c r="H156" i="5"/>
  <c r="H188" i="5"/>
  <c r="H220" i="5"/>
  <c r="H252" i="5"/>
  <c r="H284" i="5"/>
  <c r="H316" i="5"/>
  <c r="H348" i="5"/>
  <c r="G370" i="5"/>
  <c r="G14" i="5"/>
  <c r="G22" i="5"/>
  <c r="G30" i="5"/>
  <c r="G38" i="5"/>
  <c r="G50" i="5"/>
  <c r="G53" i="5"/>
  <c r="H56" i="5"/>
  <c r="G66" i="5"/>
  <c r="G69" i="5"/>
  <c r="H72" i="5"/>
  <c r="G82" i="5"/>
  <c r="G85" i="5"/>
  <c r="H88" i="5"/>
  <c r="G98" i="5"/>
  <c r="G101" i="5"/>
  <c r="H104" i="5"/>
  <c r="G114" i="5"/>
  <c r="G117" i="5"/>
  <c r="H120" i="5"/>
  <c r="G130" i="5"/>
  <c r="G133" i="5"/>
  <c r="H136" i="5"/>
  <c r="G146" i="5"/>
  <c r="G150" i="5"/>
  <c r="G153" i="5"/>
  <c r="H157" i="5"/>
  <c r="G157" i="5"/>
  <c r="G178" i="5"/>
  <c r="G182" i="5"/>
  <c r="G185" i="5"/>
  <c r="H189" i="5"/>
  <c r="G189" i="5"/>
  <c r="G210" i="5"/>
  <c r="G214" i="5"/>
  <c r="G217" i="5"/>
  <c r="H221" i="5"/>
  <c r="G221" i="5"/>
  <c r="G242" i="5"/>
  <c r="G246" i="5"/>
  <c r="G249" i="5"/>
  <c r="H253" i="5"/>
  <c r="G253" i="5"/>
  <c r="G274" i="5"/>
  <c r="G278" i="5"/>
  <c r="G281" i="5"/>
  <c r="H285" i="5"/>
  <c r="G285" i="5"/>
  <c r="G306" i="5"/>
  <c r="G310" i="5"/>
  <c r="H317" i="5"/>
  <c r="G317" i="5"/>
  <c r="G338" i="5"/>
  <c r="G342" i="5"/>
  <c r="H349" i="5"/>
  <c r="G349" i="5"/>
  <c r="H164" i="5"/>
  <c r="H196" i="5"/>
  <c r="H228" i="5"/>
  <c r="H260" i="5"/>
  <c r="H292" i="5"/>
  <c r="H324" i="5"/>
  <c r="H356" i="5"/>
  <c r="H376" i="5"/>
  <c r="G379" i="5"/>
  <c r="G380" i="5"/>
  <c r="G381" i="5"/>
  <c r="H8" i="4" l="1"/>
  <c r="G8" i="4"/>
  <c r="N8" i="4" s="1"/>
</calcChain>
</file>

<file path=xl/sharedStrings.xml><?xml version="1.0" encoding="utf-8"?>
<sst xmlns="http://schemas.openxmlformats.org/spreadsheetml/2006/main" count="3697" uniqueCount="530">
  <si>
    <t>PA-07 2026 House Forecast — Municipal-Level Predictions</t>
  </si>
  <si>
    <t>Candidates: Brooks | Mackenzie   |   District totals (yellow) are formulas over the municipal rows.</t>
  </si>
  <si>
    <t>Enter votes only in the Brooks / Mackenzie / Other columns. Shares are of total votes (Brooks + Mackenzie + Other).</t>
  </si>
  <si>
    <t>Model / scenario</t>
  </si>
  <si>
    <t>Random forest, 95% election history, 5% registration</t>
  </si>
  <si>
    <t>As-of date</t>
  </si>
  <si>
    <t>2026-09-30</t>
  </si>
  <si>
    <t>Prepared by</t>
  </si>
  <si>
    <t>Charlie Weinstein</t>
  </si>
  <si>
    <t>Version</t>
  </si>
  <si>
    <t>v0.5</t>
  </si>
  <si>
    <t>DISTRICT TOTALS (auto-sum — do not type over)</t>
  </si>
  <si>
    <t>Geography</t>
  </si>
  <si>
    <t>Brooks votes</t>
  </si>
  <si>
    <t>Mackenzie votes</t>
  </si>
  <si>
    <t>Other (optional)</t>
  </si>
  <si>
    <t>Total votes</t>
  </si>
  <si>
    <t>Brooks share</t>
  </si>
  <si>
    <t>Mackenzie share</t>
  </si>
  <si>
    <t>Notes</t>
  </si>
  <si>
    <t>PA-07 District</t>
  </si>
  <si>
    <t>(all municipalities)</t>
  </si>
  <si>
    <t>Headline forecast for the briefing</t>
  </si>
  <si>
    <t>Discussion prompt: A successful final names these district numbers and shows the municipal table that adds to them.</t>
  </si>
  <si>
    <t>MUNICIPAL DETAIL</t>
  </si>
  <si>
    <t>County</t>
  </si>
  <si>
    <t>Municipality</t>
  </si>
  <si>
    <t>Notes / source method</t>
  </si>
  <si>
    <t>Carbon</t>
  </si>
  <si>
    <t>BANKS TOWNSHIP</t>
  </si>
  <si>
    <t>Sum of precinct forecasts (95/5 forest blend)</t>
  </si>
  <si>
    <t>BEAVER MEADOWS BOROUGH</t>
  </si>
  <si>
    <t>BOWMANSTOWN BOROUGH</t>
  </si>
  <si>
    <t>EAST PENN TOWNSHIP</t>
  </si>
  <si>
    <t>EAST SIDE BOROUGH</t>
  </si>
  <si>
    <t>FRANKLIN TOWNSHIP</t>
  </si>
  <si>
    <t>JIM THORPE BOROUGH</t>
  </si>
  <si>
    <t>KIDDER TOWNSHIP</t>
  </si>
  <si>
    <t>LANSFORD BOROUGH</t>
  </si>
  <si>
    <t>LAUSANNE TOWNSHIP</t>
  </si>
  <si>
    <t>LEHIGH TOWNSHIP</t>
  </si>
  <si>
    <t>LEHIGHTON BOROUGH</t>
  </si>
  <si>
    <t>LOWER TOWAMENSING TWP.</t>
  </si>
  <si>
    <t>MAHONING TOWNSHIP</t>
  </si>
  <si>
    <t>NESQUEHONING BOROUGH</t>
  </si>
  <si>
    <t>PACKER TOWNSHIP</t>
  </si>
  <si>
    <t>PALMERTON BOROUGH</t>
  </si>
  <si>
    <t>PARRYVILLE BOROUGH</t>
  </si>
  <si>
    <t>PENN FOREST TOWNSHIP</t>
  </si>
  <si>
    <t>SUMMIT HILL BOROUGH</t>
  </si>
  <si>
    <t>TOWAMENSING TOWNSHIP</t>
  </si>
  <si>
    <t>WEATHERLY BOROUGH</t>
  </si>
  <si>
    <t>WEISSPORT BOROUGH</t>
  </si>
  <si>
    <t>Lehigh</t>
  </si>
  <si>
    <t>ALBURTIS</t>
  </si>
  <si>
    <t>ALLENTOWN</t>
  </si>
  <si>
    <t>BETHLEHEM</t>
  </si>
  <si>
    <t>CATASAUQUA</t>
  </si>
  <si>
    <t>COOPERSBURG</t>
  </si>
  <si>
    <t>COPLAY</t>
  </si>
  <si>
    <t>EMMAUS</t>
  </si>
  <si>
    <t>FOUNTAIN HILL</t>
  </si>
  <si>
    <t>HANOVER</t>
  </si>
  <si>
    <t>HEIDELBERG</t>
  </si>
  <si>
    <t>LOWER MACUNGIE</t>
  </si>
  <si>
    <t>LOWER MILFORD</t>
  </si>
  <si>
    <t>LOWHILL</t>
  </si>
  <si>
    <t>LYNN</t>
  </si>
  <si>
    <t>MACUNGIE</t>
  </si>
  <si>
    <t>NORTH WHITEHALL</t>
  </si>
  <si>
    <t>SALISBURY</t>
  </si>
  <si>
    <t>SLATINGTON</t>
  </si>
  <si>
    <t>SOUTH WHITEHALL</t>
  </si>
  <si>
    <t>UPPER MACUNGIE</t>
  </si>
  <si>
    <t>UPPER MILFORD</t>
  </si>
  <si>
    <t>UPPER SAUCON</t>
  </si>
  <si>
    <t>WASHINGTON</t>
  </si>
  <si>
    <t>WEISENBERG</t>
  </si>
  <si>
    <t>WHITEHALL</t>
  </si>
  <si>
    <t>Monroe</t>
  </si>
  <si>
    <t>POLK TOWNSHIP</t>
  </si>
  <si>
    <t>ELDRED TOWNSHIP</t>
  </si>
  <si>
    <t>ROSS TOWNSHIP</t>
  </si>
  <si>
    <t>Northampton</t>
  </si>
  <si>
    <t>ALLEN TWSP</t>
  </si>
  <si>
    <t>BANGOR BORO</t>
  </si>
  <si>
    <t>BATH BORO</t>
  </si>
  <si>
    <t>BETHLEHEM TWSP</t>
  </si>
  <si>
    <t>BUSHKILL TWSP</t>
  </si>
  <si>
    <t>CHAPMAN</t>
  </si>
  <si>
    <t>EAST ALLEN TWSP</t>
  </si>
  <si>
    <t>EAST BANGOR</t>
  </si>
  <si>
    <t>EASTON</t>
  </si>
  <si>
    <t>FORKS</t>
  </si>
  <si>
    <t>FREEMANSBURG</t>
  </si>
  <si>
    <t>GLENDON</t>
  </si>
  <si>
    <t>HELLERTOWN BORO</t>
  </si>
  <si>
    <t>LEHIGH TWSP</t>
  </si>
  <si>
    <t>LOWER MT BETHEL</t>
  </si>
  <si>
    <t>LOWER NAZARETH</t>
  </si>
  <si>
    <t>LOWER SAUCON TWSP</t>
  </si>
  <si>
    <t>MOORE TWSP</t>
  </si>
  <si>
    <t>NAZARETH BORO</t>
  </si>
  <si>
    <t>NORTH CATASAUQUA</t>
  </si>
  <si>
    <t>NORTHAMPTON BORO</t>
  </si>
  <si>
    <t>PALMER</t>
  </si>
  <si>
    <t>PEN ARGYL BORO</t>
  </si>
  <si>
    <t>PLAINFIELD TWSP</t>
  </si>
  <si>
    <t>PORTLAND BORO</t>
  </si>
  <si>
    <t>ROSETO BORO</t>
  </si>
  <si>
    <t>STOCKERTOWN BORO</t>
  </si>
  <si>
    <t>TATAMY BORO</t>
  </si>
  <si>
    <t>UPPER MT BETHEL TWSP</t>
  </si>
  <si>
    <t>UPPER NAZARETH</t>
  </si>
  <si>
    <t>WALNUTPORT BORO</t>
  </si>
  <si>
    <t>WASHINGTON TWSP</t>
  </si>
  <si>
    <t>WEST EASTON</t>
  </si>
  <si>
    <t>WILLIAMS TWSP</t>
  </si>
  <si>
    <t>WILSON BORO</t>
  </si>
  <si>
    <t>WIND GAP BORO</t>
  </si>
  <si>
    <t>PA-07 2026 House Forecast — Precinct-Level Predictions</t>
  </si>
  <si>
    <t>Candidates: Brooks | Mackenzie   |   District totals (yellow) are formulas over the precinct rows.</t>
  </si>
  <si>
    <t>Enter votes only in the Brooks / Mackenzie / Other columns. Compare district totals to the municipal template and explain any gap.</t>
  </si>
  <si>
    <t>(muni)</t>
  </si>
  <si>
    <t>(precinct)</t>
  </si>
  <si>
    <t>(all precincts)</t>
  </si>
  <si>
    <t>Discussion prompt: Precinct and municipal district totals should match, or the class must document why they do not.</t>
  </si>
  <si>
    <t>PRECINCT DETAIL</t>
  </si>
  <si>
    <t>Precinct</t>
  </si>
  <si>
    <t>95/5 forest blend, anchored on own 2024 result</t>
  </si>
  <si>
    <t>EAST PENN TOWNSHIP-NORTH</t>
  </si>
  <si>
    <t>EAST PENN TOWNSHIP-SOUTH</t>
  </si>
  <si>
    <t>FRANKLIN TOWNSHIP-HARRITY</t>
  </si>
  <si>
    <t>FRANKLIN TOWNSHIP-IND DIST</t>
  </si>
  <si>
    <t>FRANKLIN TOWNSHIP-LONG RUN</t>
  </si>
  <si>
    <t>JIM THORPE BOROUGH-1ST</t>
  </si>
  <si>
    <t>JIM THORPE BOROUGH-2ND</t>
  </si>
  <si>
    <t>JIM THORPE BOROUGH-3RD</t>
  </si>
  <si>
    <t>JIM THORPE BOROUGH-4TH</t>
  </si>
  <si>
    <t>JIM THORPE BOROUGH-5TH</t>
  </si>
  <si>
    <t>KIDDER TOWNSHIP-NORTH</t>
  </si>
  <si>
    <t>KIDDER TOWNSHIP-SOUTH</t>
  </si>
  <si>
    <t>LANSFORD BOROUGH - EAST WARD</t>
  </si>
  <si>
    <t>LANSFORD BOROUGH-MIDDLE WARD</t>
  </si>
  <si>
    <t>LANSFORD BOROUGH-WEST WARD</t>
  </si>
  <si>
    <t>LEHIGHTON BOROUGH-1ST</t>
  </si>
  <si>
    <t>LEHIGHTON BOROUGH-2ND</t>
  </si>
  <si>
    <t>LEHIGHTON BOROUGH-3RD</t>
  </si>
  <si>
    <t>LOWER TOWAMENSING TWP.-NORTH</t>
  </si>
  <si>
    <t>LOWER TOWAMENSING TWP.-SOUTH</t>
  </si>
  <si>
    <t>MAHONING TOWNSHIP - NEW MAHONING</t>
  </si>
  <si>
    <t>MAHONING TOWNSHIP - PACKERTON/JAMESTOWN</t>
  </si>
  <si>
    <t>MAHONING TOWNSHIP-MAHONING</t>
  </si>
  <si>
    <t>NESQUEHONING BOROUGH-EAST</t>
  </si>
  <si>
    <t>NESQUEHONING BOROUGH-WEST</t>
  </si>
  <si>
    <t>PALMERTON BOROUGH-EASTERN</t>
  </si>
  <si>
    <t>PALMERTON BOROUGH-MIDDLE</t>
  </si>
  <si>
    <t>PALMERTON BOROUGH-WESTERN</t>
  </si>
  <si>
    <t>PENN FOREST TOWNSHIP-EAST</t>
  </si>
  <si>
    <t>PENN FOREST TOWNSHIP-MIDDLE</t>
  </si>
  <si>
    <t>PENN FOREST TOWNSHIP-NORTH EAST</t>
  </si>
  <si>
    <t>PENN FOREST TOWNSHIP-NORTH WEST</t>
  </si>
  <si>
    <t>PENN FOREST TOWNSHIP-SOUTH WEST</t>
  </si>
  <si>
    <t>SUMMIT HILL BOROUGH-1ST</t>
  </si>
  <si>
    <t>SUMMIT HILL BOROUGH-2ND</t>
  </si>
  <si>
    <t>SUMMIT HILL BOROUGH-3RD/2ND</t>
  </si>
  <si>
    <t>SUMMIT HILL-3RD/1ST DIST</t>
  </si>
  <si>
    <t>TOWAMENSING TOWNSHIP-NORTH</t>
  </si>
  <si>
    <t>TOWAMENSING TOWNSHIP-SOUTH-1</t>
  </si>
  <si>
    <t>TOWAMENSING TOWNSHIP-SOUTH-2</t>
  </si>
  <si>
    <t>WEATHERLY BOROUGH-EAST</t>
  </si>
  <si>
    <t>WEATHERLY BOROUGH-WEST</t>
  </si>
  <si>
    <t>ALLENTOWN 10TH WARD 1ST DIST</t>
  </si>
  <si>
    <t>ALLENTOWN 10TH WARD 3RD DIST</t>
  </si>
  <si>
    <t>ALLENTOWN 10TH WARD 4TH DIST</t>
  </si>
  <si>
    <t>ALLENTOWN 11TH WARD 1ST DIST</t>
  </si>
  <si>
    <t>ALLENTOWN 11TH WARD 2ND DIST</t>
  </si>
  <si>
    <t>ALLENTOWN 11TH WARD 3RD DIST</t>
  </si>
  <si>
    <t>ALLENTOWN 11TH WARD 4TH DIST</t>
  </si>
  <si>
    <t>ALLENTOWN 11TH WARD 5TH DIST</t>
  </si>
  <si>
    <t>ALLENTOWN 11TH WARD 6TH DIST</t>
  </si>
  <si>
    <t>ALLENTOWN 11TH WARD 7TH DIST</t>
  </si>
  <si>
    <t>ALLENTOWN 12TH WARD 1ST DIST</t>
  </si>
  <si>
    <t>ALLENTOWN 12TH WARD 2ND DIST</t>
  </si>
  <si>
    <t>ALLENTOWN 12TH WARD 3RD DIST</t>
  </si>
  <si>
    <t>ALLENTOWN 12TH WARD 4TH DIST</t>
  </si>
  <si>
    <t>ALLENTOWN 12TH WARD 5TH DIST</t>
  </si>
  <si>
    <t>ALLENTOWN 13TH WARD 1ST DIST</t>
  </si>
  <si>
    <t>ALLENTOWN 13TH WARD 2ND DIST</t>
  </si>
  <si>
    <t>ALLENTOWN 13TH WARD 3RD DIST</t>
  </si>
  <si>
    <t>ALLENTOWN 13TH WARD 4TH DIST</t>
  </si>
  <si>
    <t>ALLENTOWN 14TH WARD 1ST DIST</t>
  </si>
  <si>
    <t>ALLENTOWN 14TH WARD 2ND DIST</t>
  </si>
  <si>
    <t>ALLENTOWN 15TH WARD 1ST DIST</t>
  </si>
  <si>
    <t>ALLENTOWN 15TH WARD 2ND DIST</t>
  </si>
  <si>
    <t>ALLENTOWN 15TH WARD 3RD DIST</t>
  </si>
  <si>
    <t>ALLENTOWN 15TH WARD 4TH DIST</t>
  </si>
  <si>
    <t>ALLENTOWN 16TH WARD 1ST DIST</t>
  </si>
  <si>
    <t>ALLENTOWN 16TH WARD 2ND DIST</t>
  </si>
  <si>
    <t>ALLENTOWN 17TH WARD 1ST DIST</t>
  </si>
  <si>
    <t>ALLENTOWN 17TH WARD 2ND DIST</t>
  </si>
  <si>
    <t>ALLENTOWN 17TH WARD 3RD DIST</t>
  </si>
  <si>
    <t>ALLENTOWN 17TH WARD 4TH DIST</t>
  </si>
  <si>
    <t>95/5 forest blend, anchored on town 2024 result</t>
  </si>
  <si>
    <t>ALLENTOWN 17TH WD 4TH DT PARK</t>
  </si>
  <si>
    <t>ALLENTOWN 18TH WARD 1ST DIST</t>
  </si>
  <si>
    <t>ALLENTOWN 18TH WARD 2ND DIST</t>
  </si>
  <si>
    <t>ALLENTOWN 18TH WD 2ND DT PARK</t>
  </si>
  <si>
    <t>ALLENTOWN 19TH WARD 1ST DIST</t>
  </si>
  <si>
    <t>ALLENTOWN 19TH WARD 2ND DIST</t>
  </si>
  <si>
    <t>ALLENTOWN 19TH WARD 3RD DIST</t>
  </si>
  <si>
    <t>ALLENTOWN 19TH WARD 4TH DIST</t>
  </si>
  <si>
    <t>ALLENTOWN 19TH WARD 5TH DIST</t>
  </si>
  <si>
    <t>ALLENTOWN 19TH WARD 5TH DT SAL</t>
  </si>
  <si>
    <t>ALLENTOWN 19TH WARD 6TH DIST</t>
  </si>
  <si>
    <t>ALLENTOWN 1ST WARD</t>
  </si>
  <si>
    <t>ALLENTOWN 2ND WARD</t>
  </si>
  <si>
    <t>ALLENTOWN 3RD WARD</t>
  </si>
  <si>
    <t>ALLENTOWN 4TH WARD</t>
  </si>
  <si>
    <t>ALLENTOWN 5TH WARD</t>
  </si>
  <si>
    <t>ALLENTOWN 6TH WARD 1ST DIST</t>
  </si>
  <si>
    <t>ALLENTOWN 6TH WARD 2ND DIST</t>
  </si>
  <si>
    <t>ALLENTOWN 7TH WARD</t>
  </si>
  <si>
    <t>ALLENTOWN 8TH WARD 1ST DIST</t>
  </si>
  <si>
    <t>ALLENTOWN 8TH WARD 2ND DIST</t>
  </si>
  <si>
    <t>ALLENTOWN 8TH WARD 3RD DIST</t>
  </si>
  <si>
    <t>ALLENTOWN 8TH WARD 4TH DIST</t>
  </si>
  <si>
    <t>ALLENTOWN 8TH WARD 5TH DIST</t>
  </si>
  <si>
    <t>ALLENTOWN 8TH WARD 6TH DIST</t>
  </si>
  <si>
    <t>ALLENTOWN 8TH WARD 7TH DIST</t>
  </si>
  <si>
    <t>ALLENTOWN 9TH WARD</t>
  </si>
  <si>
    <t>BETHLEHEM 10TH WARD</t>
  </si>
  <si>
    <t>BETHLEHEM 11TH WARD</t>
  </si>
  <si>
    <t>BETHLEHEM 12TH WARD 1ST DIST</t>
  </si>
  <si>
    <t>BETHLEHEM 12TH WARD 2ND DIST</t>
  </si>
  <si>
    <t>BETHLEHEM 13TH WARD 1ST DIST</t>
  </si>
  <si>
    <t>BETHLEHEM 13TH WARD 2ND DIST</t>
  </si>
  <si>
    <t>BETHLEHEM 13TH WARD 3RD DIST</t>
  </si>
  <si>
    <t>BETHLEHEM 13TH WARD 4TH DIST</t>
  </si>
  <si>
    <t>BETHLEHEM 13TH WARD 5TH DIST</t>
  </si>
  <si>
    <t>BETHLEHEM 13TH WARD 6TH DIST</t>
  </si>
  <si>
    <t>BETHLEHEM 13TH WARD 7TH DIST</t>
  </si>
  <si>
    <t>BETHLEHEM 13TH WARD 8TH DIST</t>
  </si>
  <si>
    <t>CATASAUQUA 1ST DIST</t>
  </si>
  <si>
    <t>CATASAUQUA 2ND DIST</t>
  </si>
  <si>
    <t>CATASAUQUA 3RD DIST</t>
  </si>
  <si>
    <t>COPLAY 1ST DISTRICT</t>
  </si>
  <si>
    <t>COPLAY 2ND DISTRICT</t>
  </si>
  <si>
    <t>EMMAUS 1ST DISTRICT</t>
  </si>
  <si>
    <t>EMMAUS 2ND DISTRICT</t>
  </si>
  <si>
    <t>EMMAUS 3RD DISTRICT</t>
  </si>
  <si>
    <t>EMMAUS 4TH DISTRICT</t>
  </si>
  <si>
    <t>EMMAUS 5TH DISTRICT</t>
  </si>
  <si>
    <t>EMMAUS 6TH DISTRICT</t>
  </si>
  <si>
    <t>FOUNTAIN HILL 1ST DIST</t>
  </si>
  <si>
    <t>FOUNTAIN HILL 2ND DIST</t>
  </si>
  <si>
    <t>FOUNTAIN HILL 3RD DIST</t>
  </si>
  <si>
    <t>LOWER MACUNGIE 10TH DISTRICT</t>
  </si>
  <si>
    <t>LOWER MACUNGIE 1ST DISTRICT</t>
  </si>
  <si>
    <t>LOWER MACUNGIE 2ND DISTRICT</t>
  </si>
  <si>
    <t>LOWER MACUNGIE 3RD DISTRICT</t>
  </si>
  <si>
    <t>LOWER MACUNGIE 4TH DISTRICT</t>
  </si>
  <si>
    <t>LOWER MACUNGIE 5TH DISTRICT</t>
  </si>
  <si>
    <t>LOWER MACUNGIE 6TH DISTRICT</t>
  </si>
  <si>
    <t>LOWER MACUNGIE 7TH DISTRICT</t>
  </si>
  <si>
    <t>LOWER MACUNGIE 8TH DISTRICT</t>
  </si>
  <si>
    <t>LOWER MACUNGIE 9TH DISTRICT</t>
  </si>
  <si>
    <t>LYNN JACKSONVILLE DISTRICT</t>
  </si>
  <si>
    <t>LYNN LYNNVILLE DISTRICT</t>
  </si>
  <si>
    <t>LYNN NEW TRIPOLI DISTRICT</t>
  </si>
  <si>
    <t>NORTH WHITEHALL 1ST DISTRICT</t>
  </si>
  <si>
    <t>NORTH WHITEHALL 2ND DISTRICT</t>
  </si>
  <si>
    <t>NORTH WHITEHALL 3RD DISTRICT</t>
  </si>
  <si>
    <t>NORTH WHITEHALL 4TH DISTRICT</t>
  </si>
  <si>
    <t>NORTH WHITEHALL 5TH DISTRICT</t>
  </si>
  <si>
    <t>NORTH WHITEHALL 6TH DISTRICT</t>
  </si>
  <si>
    <t>SALISBURY 1ST WARD</t>
  </si>
  <si>
    <t>SALISBURY 2ND WARD</t>
  </si>
  <si>
    <t>SALISBURY 3RD WARD 1ST DIST</t>
  </si>
  <si>
    <t>SALISBURY 3RD WARD 2ND DIST</t>
  </si>
  <si>
    <t>SALISBURY 4TH WARD 1ST DIST</t>
  </si>
  <si>
    <t>SALISBURY 4TH WARD 2ND DIST</t>
  </si>
  <si>
    <t>SALISBURY 5TH WARD 1ST DIST</t>
  </si>
  <si>
    <t>SALISBURY 5TH WARD 2ND DIST</t>
  </si>
  <si>
    <t>SLATINGTON 1ST DIST</t>
  </si>
  <si>
    <t>SLATINGTON 2ND DIST</t>
  </si>
  <si>
    <t>SLATINGTON 3RD DIST</t>
  </si>
  <si>
    <t>SOUTH WHITEHALL 1ST DISTRICT</t>
  </si>
  <si>
    <t>SOUTH WHITEHALL 2ND DISTRICT</t>
  </si>
  <si>
    <t>SOUTH WHITEHALL 3RD DISTRICT</t>
  </si>
  <si>
    <t>SOUTH WHITEHALL 4TH DISTRICT</t>
  </si>
  <si>
    <t>SOUTH WHITEHALL 5TH DISTRICT</t>
  </si>
  <si>
    <t>SOUTH WHITEHALL 6TH DISTRICT</t>
  </si>
  <si>
    <t>SOUTH WHITEHALL 7TH DISTRICT</t>
  </si>
  <si>
    <t>SOUTH WHITEHALL 8TH DISTRICT</t>
  </si>
  <si>
    <t>UPPER MACUNGIE 1ST DISTRICT</t>
  </si>
  <si>
    <t>UPPER MACUNGIE 2ND DISTRICT</t>
  </si>
  <si>
    <t>UPPER MACUNGIE 3RD DISTRICT</t>
  </si>
  <si>
    <t>UPPER MACUNGIE 4TH DISTRICT</t>
  </si>
  <si>
    <t>UPPER MACUNGIE 5TH DISTRICT</t>
  </si>
  <si>
    <t>UPPER MACUNGIE 6TH DISTRICT</t>
  </si>
  <si>
    <t>UPPER MACUNGIE 7TH DISTRICT</t>
  </si>
  <si>
    <t>UPPER MACUNGIE 8TH DISTRICT</t>
  </si>
  <si>
    <t>UPPER MILFORD EASTERN DISTRICT</t>
  </si>
  <si>
    <t>UPPER MILFORD WESTERN DISTRICT</t>
  </si>
  <si>
    <t>UPPER SAUCON 1ST DISTRICT</t>
  </si>
  <si>
    <t>UPPER SAUCON 2ND DISTRICT</t>
  </si>
  <si>
    <t>UPPER SAUCON 3RD DISTRICT</t>
  </si>
  <si>
    <t>UPPER SAUCON 4TH DISTRICT</t>
  </si>
  <si>
    <t>UPPER SAUCON 5TH DISTRICT</t>
  </si>
  <si>
    <t>UPPER SAUCON 6TH DISTRICT</t>
  </si>
  <si>
    <t>WASHINGTON EASTERN DISTRICT</t>
  </si>
  <si>
    <t>WASHINGTON SOUTHERN DISTRICT</t>
  </si>
  <si>
    <t>WASHINGTON WESTERN DISTRICT</t>
  </si>
  <si>
    <t>WHITEHALL 10TH DISTRICT</t>
  </si>
  <si>
    <t>WHITEHALL 11TH DISTRICT</t>
  </si>
  <si>
    <t>WHITEHALL 12TH DISTRICT</t>
  </si>
  <si>
    <t>WHITEHALL 1ST DISTRICT</t>
  </si>
  <si>
    <t>WHITEHALL 2ND DISTRICT</t>
  </si>
  <si>
    <t>WHITEHALL 3RD DISTRICT</t>
  </si>
  <si>
    <t>WHITEHALL 4TH DISTRICT</t>
  </si>
  <si>
    <t>WHITEHALL 5TH DISTRICT</t>
  </si>
  <si>
    <t>WHITEHALL 6TH DISTRICT</t>
  </si>
  <si>
    <t>WHITEHALL 7TH DISTRICT</t>
  </si>
  <si>
    <t>WHITEHALL 8TH DISTRICT</t>
  </si>
  <si>
    <t>WHITEHALL 9TH DISTRICT</t>
  </si>
  <si>
    <t>ELDRED</t>
  </si>
  <si>
    <t>POLK</t>
  </si>
  <si>
    <t>ROSS ONE</t>
  </si>
  <si>
    <t>ALLEN TWSP - NORTH</t>
  </si>
  <si>
    <t>ALLEN TWSP - SOUTH</t>
  </si>
  <si>
    <t>BANGOR BORO NORTH</t>
  </si>
  <si>
    <t>95/5 forest blend, anchored on town 2024 result, precinct redrawn</t>
  </si>
  <si>
    <t>BANGOR BORO SOUTH</t>
  </si>
  <si>
    <t>BETHLEHEM 14TH WARD 1ST DISTRICT</t>
  </si>
  <si>
    <t>BETHLEHEM 14TH WARD 2ND DISTRICT</t>
  </si>
  <si>
    <t>BETHLEHEM 14TH WARD 3RD DISTRICT</t>
  </si>
  <si>
    <t>BETHLEHEM 14TH WARD 4TH DISTRICT</t>
  </si>
  <si>
    <t>BETHLEHEM 14TH WARD 5TH DISTRICT</t>
  </si>
  <si>
    <t>BETHLEHEM 14TH WARD 6TH DISTRICT</t>
  </si>
  <si>
    <t>BETHLEHEM 14TH WARD 7TH DISTRICT</t>
  </si>
  <si>
    <t>BETHLEHEM 14TH WARD 8TH DISTRICT</t>
  </si>
  <si>
    <t>BETHLEHEM 15TH WARD 1ST DISTRICT</t>
  </si>
  <si>
    <t>BETHLEHEM 15TH WARD 2ND DISTRICT</t>
  </si>
  <si>
    <t>BETHLEHEM 15TH WARD 3RD DISTRICT</t>
  </si>
  <si>
    <t>BETHLEHEM 16TH WARD</t>
  </si>
  <si>
    <t>BETHLEHEM 17TH WARD</t>
  </si>
  <si>
    <t>BETHLEHEM 1ST WARD - NORTHERN</t>
  </si>
  <si>
    <t>BETHLEHEM 1ST WARD - SOUTHERN</t>
  </si>
  <si>
    <t>BETHLEHEM 2ND WARD</t>
  </si>
  <si>
    <t>BETHLEHEM 3RD WARD</t>
  </si>
  <si>
    <t>BETHLEHEM 4TH WARD</t>
  </si>
  <si>
    <t>BETHLEHEM 5TH WARD</t>
  </si>
  <si>
    <t>BETHLEHEM 6TH WARD</t>
  </si>
  <si>
    <t>BETHLEHEM 7TH WARD</t>
  </si>
  <si>
    <t>BETHLEHEM 8TH WARD</t>
  </si>
  <si>
    <t>BETHLEHEM 9TH WARD EAST</t>
  </si>
  <si>
    <t>BETHLEHEM 9TH WARD WEST</t>
  </si>
  <si>
    <t>BETHLEHEM TWSP 1ST WARD 1ST DISTRICT</t>
  </si>
  <si>
    <t>BETHLEHEM TWSP 1ST WARD 2ND DISTRICT</t>
  </si>
  <si>
    <t>BETHLEHEM TWSP 1ST WARD 3RD DISTRICT</t>
  </si>
  <si>
    <t>BETHLEHEM TWSP 1ST WARD 4TH DISTRICT</t>
  </si>
  <si>
    <t>BETHLEHEM TWSP 2ND WARD 1ST DISTRICT</t>
  </si>
  <si>
    <t>BETHLEHEM TWSP 2ND WARD 2ND DISTRICT</t>
  </si>
  <si>
    <t>BETHLEHEM TWSP 2ND WARD 3RD DISTRICT</t>
  </si>
  <si>
    <t>BETHLEHEM TWSP 2ND WARD 4TH DISTRICT</t>
  </si>
  <si>
    <t>BETHLEHEM TWSP 3RD WARD 1ST DISTRICT</t>
  </si>
  <si>
    <t>BETHLEHEM TWSP 3RD WARD 2ND DISTRICT</t>
  </si>
  <si>
    <t>BETHLEHEM TWSP 3RD WARD 3RD DISTRICT</t>
  </si>
  <si>
    <t>BETHLEHEM TWSP 3RD WARD 4TH DISTRICT</t>
  </si>
  <si>
    <t>BETHLEHEM TWSP 3RD WARD 5TH DISTRICT</t>
  </si>
  <si>
    <t>BETHLEHEM TWSP 4TH WARD 1ST DISTRICT</t>
  </si>
  <si>
    <t>BETHLEHEM TWSP 4TH WARD 2ND DISTRICT</t>
  </si>
  <si>
    <t>BETHLEHEM TWSP 4TH WARD 3RD DISTRICT</t>
  </si>
  <si>
    <t>BETHLEHEM TWSP 4TH WARD 4TH DISTRICT</t>
  </si>
  <si>
    <t>BUSHKILL TWSP - BUSHKILL CENTER</t>
  </si>
  <si>
    <t>BUSHKILL TWSP - CHERRY HILL</t>
  </si>
  <si>
    <t>BUSHKILL TWSP - CLEARFIELD</t>
  </si>
  <si>
    <t>EAST ALLEN TWSP - EASTERN</t>
  </si>
  <si>
    <t>EAST ALLEN TWSP - WESTERN</t>
  </si>
  <si>
    <t>EASTON 10TH WARD</t>
  </si>
  <si>
    <t>EASTON 11TH WARD</t>
  </si>
  <si>
    <t>EASTON 2ND WARD</t>
  </si>
  <si>
    <t>EASTON 3RD WARD 2ND DISTRICT</t>
  </si>
  <si>
    <t>EASTON 3RD WARD 3RD DISTRICT</t>
  </si>
  <si>
    <t>EASTON 3RD WARD 4TH DISTRICT</t>
  </si>
  <si>
    <t>EASTON 4TH WARD</t>
  </si>
  <si>
    <t>EASTON 5TH WARD</t>
  </si>
  <si>
    <t>EASTON 6TH WARD</t>
  </si>
  <si>
    <t>EASTON 7TH WARD</t>
  </si>
  <si>
    <t>EASTON 8TH WARD</t>
  </si>
  <si>
    <t>EASTON 9TH WARD</t>
  </si>
  <si>
    <t>FORKS TWSP EAST</t>
  </si>
  <si>
    <t>FORKS TWSP NORTH</t>
  </si>
  <si>
    <t>FORKS TWSP NORTHWEST</t>
  </si>
  <si>
    <t>FORKS TWSP SOUTH</t>
  </si>
  <si>
    <t>FORKS TWSP SOUTHEAST</t>
  </si>
  <si>
    <t>FORKS TWSP SOUTHWEST</t>
  </si>
  <si>
    <t>FORKS TWSP WEST</t>
  </si>
  <si>
    <t>HANOVER #1</t>
  </si>
  <si>
    <t>HANOVER #2</t>
  </si>
  <si>
    <t>HANOVER #3</t>
  </si>
  <si>
    <t>HANOVER #4</t>
  </si>
  <si>
    <t>HANOVER #5</t>
  </si>
  <si>
    <t>HANOVER #6</t>
  </si>
  <si>
    <t>HELLERTOWN BORO 1ST WARD</t>
  </si>
  <si>
    <t>HELLERTOWN BORO 2ND WARD</t>
  </si>
  <si>
    <t>HELLERTOWN BORO 3RD WARD</t>
  </si>
  <si>
    <t>LEHIGH TWSP - CENTRAL</t>
  </si>
  <si>
    <t>LEHIGH TWSP - DANIELSVILLE</t>
  </si>
  <si>
    <t>LEHIGH TWSP - NORTHWESTERN</t>
  </si>
  <si>
    <t>LEHIGH TWSP - PENNSVILLE</t>
  </si>
  <si>
    <t>LEHIGH TWSP - TREICHLERS</t>
  </si>
  <si>
    <t>LOWER MT BETHEL - LOWER</t>
  </si>
  <si>
    <t>LOWER MT BETHEL - UPPER</t>
  </si>
  <si>
    <t>LOWER NAZARETH EAST</t>
  </si>
  <si>
    <t>LOWER NAZARETH NORTH</t>
  </si>
  <si>
    <t>LOWER NAZARETH SOUTH</t>
  </si>
  <si>
    <t>LOWER NAZARETH WEST</t>
  </si>
  <si>
    <t>LOWER SAUCON TWSP - 1</t>
  </si>
  <si>
    <t>LOWER SAUCON TWSP - 2</t>
  </si>
  <si>
    <t>LOWER SAUCON TWSP - 3</t>
  </si>
  <si>
    <t>LOWER SAUCON TWSP - 4</t>
  </si>
  <si>
    <t>LOWER SAUCON TWSP - 6</t>
  </si>
  <si>
    <t>LOWER SAUCON TWSP - 7</t>
  </si>
  <si>
    <t>MOORE TWSP - BEERSVILLE</t>
  </si>
  <si>
    <t>MOORE TWSP - EASTERN</t>
  </si>
  <si>
    <t>MOORE TWSP - KLECKNERSVILLE</t>
  </si>
  <si>
    <t>MOORE TWSP - POINT PHILLIPS</t>
  </si>
  <si>
    <t>NAZARETH BORO 1ST WARD</t>
  </si>
  <si>
    <t>NAZARETH BORO 2ND WARD</t>
  </si>
  <si>
    <t>NAZARETH BORO 3RD WARD</t>
  </si>
  <si>
    <t>NORTH CATASAUQUA 1ST WARD</t>
  </si>
  <si>
    <t>NORTH CATASAUQUA 2ND WARD</t>
  </si>
  <si>
    <t>NORTHAMPTON BORO 1ST WARD</t>
  </si>
  <si>
    <t>NORTHAMPTON BORO 2ND WARD</t>
  </si>
  <si>
    <t>NORTHAMPTON BORO 3RD WARD</t>
  </si>
  <si>
    <t>NORTHAMPTON BORO 4TH WARD</t>
  </si>
  <si>
    <t>PALMER - CENTRAL</t>
  </si>
  <si>
    <t>PALMER - EAST</t>
  </si>
  <si>
    <t>PALMER - NORTH</t>
  </si>
  <si>
    <t>PALMER - NORTHEAST</t>
  </si>
  <si>
    <t>PALMER - NORTHWEST</t>
  </si>
  <si>
    <t>PALMER - SOUTH</t>
  </si>
  <si>
    <t>PALMER - SOUTHEAST</t>
  </si>
  <si>
    <t>PALMER - SOUTHWEST</t>
  </si>
  <si>
    <t>PALMER - WEST</t>
  </si>
  <si>
    <t>PEN ARGYL BORO 1ST WARD</t>
  </si>
  <si>
    <t>PEN ARGYL BORO 2ND WARD</t>
  </si>
  <si>
    <t>PEN ARGYL BORO 3RD WARD</t>
  </si>
  <si>
    <t>PEN ARGYL BORO 4TH WARD</t>
  </si>
  <si>
    <t>PLAINFIELD TWSP - BELFAST</t>
  </si>
  <si>
    <t>PLAINFIELD TWSP - DELABOLE</t>
  </si>
  <si>
    <t>PLAINFIELD TWSP - KESSLERSVILLE</t>
  </si>
  <si>
    <t>PLAINFIELD TWSP - PLAINFIELD CHURCH</t>
  </si>
  <si>
    <t>UPPER MT BETHEL TWSP - CENTERVILLE</t>
  </si>
  <si>
    <t>UPPER MT BETHEL TWSP - JOHNSONVILLE</t>
  </si>
  <si>
    <t>UPPER MT BETHEL TWSP - NORTH BANGOR</t>
  </si>
  <si>
    <t>UPPER MT BETHEL TWSP - SLATEFORD</t>
  </si>
  <si>
    <t>UPPER MT BETHEL TWSP - WILLIAMSBURG</t>
  </si>
  <si>
    <t>UPPER NAZARETH - EAST 1</t>
  </si>
  <si>
    <t>UPPER NAZARETH - EAST 2</t>
  </si>
  <si>
    <t>UPPER NAZARETH - WEST 1</t>
  </si>
  <si>
    <t>UPPER NAZARETH - WEST 2</t>
  </si>
  <si>
    <t>WASHINGTON TWSP - LOWER</t>
  </si>
  <si>
    <t>WASHINGTON TWSP - UPPER</t>
  </si>
  <si>
    <t>WILLAMS TWSP - EASTERN</t>
  </si>
  <si>
    <t>WILLIAMS TWSP - MIDDLE</t>
  </si>
  <si>
    <t>WILLIAMS TWSP - UPPER</t>
  </si>
  <si>
    <t>WILLIAMS TWSP - WESTERN</t>
  </si>
  <si>
    <t>WILSON BORO 1ST WARD</t>
  </si>
  <si>
    <t>WILSON BORO 2ND WARD</t>
  </si>
  <si>
    <t>WILSON BORO 3RD WARD</t>
  </si>
  <si>
    <t>WIND GAP</t>
  </si>
  <si>
    <t>Feature ranking for the 2026 model</t>
  </si>
  <si>
    <t>How the weights work: the forecast is 95% a forest built on past election results and 5% a forest built on registration and turnout. The district-wide level uses the same weights: 95% the last House result, 5% the registration share. Census demographics are left out.</t>
  </si>
  <si>
    <t>Within each family, features are ranked by permutation importance: the rise in vote-weighted error when one feature is shuffled, on elections held out of training (2022 and 2024).</t>
  </si>
  <si>
    <t>Rank</t>
  </si>
  <si>
    <t>Feature</t>
  </si>
  <si>
    <t>Input family</t>
  </si>
  <si>
    <t>Share of model</t>
  </si>
  <si>
    <t>Share within its family</t>
  </si>
  <si>
    <t>Error added when shuffled (points)</t>
  </si>
  <si>
    <t>Last House result here, lean vs district (precinct if like-for-like, else its town)</t>
  </si>
  <si>
    <t>Past election results</t>
  </si>
  <si>
    <t>Democratic minus Republican share of registered voters, vs district</t>
  </si>
  <si>
    <t>Registration and turnout</t>
  </si>
  <si>
    <t>Share of last election voters who voted by mail, vs district</t>
  </si>
  <si>
    <t>Change in that registration gap since the last election, vs district</t>
  </si>
  <si>
    <t>Turnout of registered voters at the last election, vs district</t>
  </si>
  <si>
    <t>Share registered with neither major party, vs district</t>
  </si>
  <si>
    <t>Last House vote here was a different district contest (Carbon, Polk before 2022)</t>
  </si>
  <si>
    <t>House result from the last same kind of year (midterm or presidential), lean vs district</t>
  </si>
  <si>
    <t>Governor result in the last midterm, town lean vs district</t>
  </si>
  <si>
    <t>Election is a midterm (smaller, higher-turnout electorate than a presidential year)</t>
  </si>
  <si>
    <t>U.S. Senate result in the last midterm, town lean vs district</t>
  </si>
  <si>
    <t>Precinct has its own like-for-like last result (1) or borrows its town result (0)</t>
  </si>
  <si>
    <t>Presidential result in the last presidential year, town lean vs district</t>
  </si>
  <si>
    <t>Total</t>
  </si>
  <si>
    <t>A share of 0% means shuffling that feature did not make predictions of held-out elections any worse.</t>
  </si>
  <si>
    <t>Last column: points of error added when the feature is shuffled; below zero means shuffling it slightly helped.</t>
  </si>
  <si>
    <t>2024 backtest mean error in points, towns / precincts (trained on 2018-2022 only):</t>
  </si>
  <si>
    <t>This model: 1.89 / 2.20</t>
  </si>
  <si>
    <t>One forest on both families, weights not fixed: 1.91 / 2.25</t>
  </si>
  <si>
    <t>One forest on both families, no last-result starting point: 1.66 / 2.32</t>
  </si>
  <si>
    <t>Registration and turnout forest alone: 3.79 / 3.95</t>
  </si>
  <si>
    <t>PA-07 2024 House Backtest, Municipal-Level (model trained on 2018-2022 results only)</t>
  </si>
  <si>
    <t>Candidates: Wild | Mackenzie   |   District totals are formulas over the municipal rows.</t>
  </si>
  <si>
    <t>Predicted votes use only data from before the 2024 election. Actual 2024 results and errors are to the right.</t>
  </si>
  <si>
    <t>Data before 2024-11-05</t>
  </si>
  <si>
    <t>DISTRICT TOTALS (auto-sum, do not type over)</t>
  </si>
  <si>
    <t>Wild votes</t>
  </si>
  <si>
    <t>Wild share</t>
  </si>
  <si>
    <t>Actual Wild votes</t>
  </si>
  <si>
    <t>Actual Mackenzie votes</t>
  </si>
  <si>
    <t>Actual total votes</t>
  </si>
  <si>
    <t>Actual Wild share</t>
  </si>
  <si>
    <t>Error (points, predicted minus actual)</t>
  </si>
  <si>
    <t>Backtest district total</t>
  </si>
  <si>
    <t>Actual cells are blank where no 2024 result covers the same ground as the current precinct.</t>
  </si>
  <si>
    <t>PA-07 2024 House Backtest, Precinct-Level (model trained on 2018-2022 results only)</t>
  </si>
  <si>
    <t>Candidates: Wild | Mackenzie   |   District totals are formulas over the precinct rows.</t>
  </si>
  <si>
    <t>95/5 forest blend, anchored on own 2022 result</t>
  </si>
  <si>
    <t>No actual: 2024 code also carries the Park split votes</t>
  </si>
  <si>
    <t>No actual: its 2024 votes are counted in 17th Ward 4th District</t>
  </si>
  <si>
    <t>No actual: no separate 2024 result under this precinct code</t>
  </si>
  <si>
    <t>No actual: no precinct code and 3 registrants</t>
  </si>
  <si>
    <t>No actual: 2024 votes do not match current boundaries</t>
  </si>
  <si>
    <t>No actual: precinct redrawn, no 2024 precinct matches it</t>
  </si>
  <si>
    <t>95/5 forest blend, anchored on town 2022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</si>
</sst>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"/>
    <numFmt numFmtId="166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1" fillId="0" borderId="0" xfId="0" applyNumberFormat="1" applyFont="1"/>
    <xf numFmtId="164" fontId="1" fillId="0" borderId="0" xfId="0" applyNumberFormat="1" applyFont="1"/>
    <xf numFmtId="10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>
      <selection sqref="A1:I1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14" customWidth="1"/>
    <col min="4" max="4" width="16" customWidth="1"/>
    <col min="6" max="6" width="12" customWidth="1"/>
    <col min="7" max="7" width="13" customWidth="1"/>
    <col min="8" max="8" width="15" customWidth="1"/>
    <col min="9" max="9" width="26" customWidth="1"/>
    <col min="10" max="10" width="8.6640625" customWidth="1"/>
  </cols>
  <sheetData>
    <row r="1" spans="1:9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x14ac:dyDescent="0.2">
      <c r="A3" s="7" t="s">
        <v>2</v>
      </c>
      <c r="B3" s="8"/>
      <c r="C3" s="8"/>
      <c r="D3" s="8"/>
      <c r="E3" s="8"/>
      <c r="F3" s="8"/>
      <c r="G3" s="8"/>
      <c r="H3" s="8"/>
      <c r="I3" s="8"/>
    </row>
    <row r="4" spans="1:9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/>
    </row>
    <row r="5" spans="1:9" x14ac:dyDescent="0.2">
      <c r="A5" s="1"/>
      <c r="B5" s="1"/>
      <c r="C5" s="1"/>
      <c r="D5" s="1"/>
      <c r="E5" s="1"/>
      <c r="F5" s="1"/>
      <c r="G5" s="1"/>
      <c r="H5" s="1"/>
      <c r="I5" s="1"/>
    </row>
    <row r="6" spans="1:9" x14ac:dyDescent="0.2">
      <c r="A6" s="7" t="s">
        <v>11</v>
      </c>
      <c r="B6" s="8"/>
      <c r="C6" s="8"/>
      <c r="D6" s="8"/>
      <c r="E6" s="8"/>
      <c r="F6" s="8"/>
      <c r="G6" s="8"/>
      <c r="H6" s="8"/>
      <c r="I6" s="8"/>
    </row>
    <row r="7" spans="1:9" x14ac:dyDescent="0.2">
      <c r="A7" s="1" t="s">
        <v>12</v>
      </c>
      <c r="B7" s="1"/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</row>
    <row r="8" spans="1:9" x14ac:dyDescent="0.2">
      <c r="A8" s="1" t="s">
        <v>20</v>
      </c>
      <c r="B8" s="1" t="s">
        <v>21</v>
      </c>
      <c r="C8" s="2">
        <f>SUM(C12:C100)</f>
        <v>151702</v>
      </c>
      <c r="D8" s="2">
        <f>SUM(D12:D100)</f>
        <v>153998</v>
      </c>
      <c r="E8" s="2">
        <f>SUM(E12:E100)</f>
        <v>0</v>
      </c>
      <c r="F8" s="2">
        <f>C8+D8+E8</f>
        <v>305700</v>
      </c>
      <c r="G8" s="3">
        <f>IF(F8=0,"",C8/F8)</f>
        <v>0.49624468433104352</v>
      </c>
      <c r="H8" s="3">
        <f>IF(F8=0,"",D8/F8)</f>
        <v>0.50375531566895648</v>
      </c>
      <c r="I8" s="1" t="s">
        <v>22</v>
      </c>
    </row>
    <row r="9" spans="1:9" x14ac:dyDescent="0.2">
      <c r="A9" s="7" t="s">
        <v>23</v>
      </c>
      <c r="B9" s="8"/>
      <c r="C9" s="8"/>
      <c r="D9" s="8"/>
      <c r="E9" s="8"/>
      <c r="F9" s="8"/>
      <c r="G9" s="8"/>
      <c r="H9" s="8"/>
      <c r="I9" s="8"/>
    </row>
    <row r="10" spans="1:9" x14ac:dyDescent="0.2">
      <c r="A10" s="7" t="s">
        <v>24</v>
      </c>
      <c r="B10" s="8"/>
      <c r="C10" s="8"/>
      <c r="D10" s="8"/>
      <c r="E10" s="8"/>
      <c r="F10" s="8"/>
      <c r="G10" s="8"/>
      <c r="H10" s="8"/>
      <c r="I10" s="8"/>
    </row>
    <row r="11" spans="1:9" ht="31.5" customHeight="1" x14ac:dyDescent="0.2">
      <c r="A11" s="1" t="s">
        <v>25</v>
      </c>
      <c r="B11" s="1" t="s">
        <v>26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18</v>
      </c>
      <c r="I11" s="1" t="s">
        <v>27</v>
      </c>
    </row>
    <row r="12" spans="1:9" x14ac:dyDescent="0.2">
      <c r="A12" s="1" t="s">
        <v>28</v>
      </c>
      <c r="B12" s="1" t="s">
        <v>29</v>
      </c>
      <c r="C12" s="2">
        <v>144</v>
      </c>
      <c r="D12" s="2">
        <v>221</v>
      </c>
      <c r="E12" s="2"/>
      <c r="F12" s="2">
        <v>365</v>
      </c>
      <c r="G12" s="3">
        <v>0.39452054794520552</v>
      </c>
      <c r="H12" s="3">
        <v>0.60547945205479448</v>
      </c>
      <c r="I12" s="1" t="s">
        <v>30</v>
      </c>
    </row>
    <row r="13" spans="1:9" x14ac:dyDescent="0.2">
      <c r="A13" s="1" t="s">
        <v>28</v>
      </c>
      <c r="B13" s="1" t="s">
        <v>31</v>
      </c>
      <c r="C13" s="2">
        <v>97</v>
      </c>
      <c r="D13" s="2">
        <v>233</v>
      </c>
      <c r="E13" s="2"/>
      <c r="F13" s="2">
        <v>330</v>
      </c>
      <c r="G13" s="3">
        <v>0.29393939393939389</v>
      </c>
      <c r="H13" s="3">
        <v>0.70606060606060606</v>
      </c>
      <c r="I13" s="1" t="s">
        <v>30</v>
      </c>
    </row>
    <row r="14" spans="1:9" x14ac:dyDescent="0.2">
      <c r="A14" s="1" t="s">
        <v>28</v>
      </c>
      <c r="B14" s="1" t="s">
        <v>32</v>
      </c>
      <c r="C14" s="2">
        <v>117</v>
      </c>
      <c r="D14" s="2">
        <v>239</v>
      </c>
      <c r="E14" s="2"/>
      <c r="F14" s="2">
        <v>356</v>
      </c>
      <c r="G14" s="3">
        <v>0.32865168539325851</v>
      </c>
      <c r="H14" s="3">
        <v>0.6713483146067416</v>
      </c>
      <c r="I14" s="1" t="s">
        <v>30</v>
      </c>
    </row>
    <row r="15" spans="1:9" x14ac:dyDescent="0.2">
      <c r="A15" s="1" t="s">
        <v>28</v>
      </c>
      <c r="B15" s="1" t="s">
        <v>33</v>
      </c>
      <c r="C15" s="2">
        <v>363</v>
      </c>
      <c r="D15" s="2">
        <v>972</v>
      </c>
      <c r="E15" s="2"/>
      <c r="F15" s="2">
        <v>1335</v>
      </c>
      <c r="G15" s="3">
        <v>0.27191011235955048</v>
      </c>
      <c r="H15" s="3">
        <v>0.72808988764044946</v>
      </c>
      <c r="I15" s="1" t="s">
        <v>30</v>
      </c>
    </row>
    <row r="16" spans="1:9" x14ac:dyDescent="0.2">
      <c r="A16" s="1" t="s">
        <v>28</v>
      </c>
      <c r="B16" s="1" t="s">
        <v>34</v>
      </c>
      <c r="C16" s="2">
        <v>32</v>
      </c>
      <c r="D16" s="2">
        <v>62</v>
      </c>
      <c r="E16" s="2"/>
      <c r="F16" s="2">
        <v>94</v>
      </c>
      <c r="G16" s="3">
        <v>0.34042553191489361</v>
      </c>
      <c r="H16" s="3">
        <v>0.65957446808510634</v>
      </c>
      <c r="I16" s="1" t="s">
        <v>30</v>
      </c>
    </row>
    <row r="17" spans="1:9" x14ac:dyDescent="0.2">
      <c r="A17" s="1" t="s">
        <v>28</v>
      </c>
      <c r="B17" s="1" t="s">
        <v>35</v>
      </c>
      <c r="C17" s="2">
        <v>571</v>
      </c>
      <c r="D17" s="2">
        <v>1411</v>
      </c>
      <c r="E17" s="2"/>
      <c r="F17" s="2">
        <v>1982</v>
      </c>
      <c r="G17" s="3">
        <v>0.28809283551967713</v>
      </c>
      <c r="H17" s="3">
        <v>0.71190716448032287</v>
      </c>
      <c r="I17" s="1" t="s">
        <v>30</v>
      </c>
    </row>
    <row r="18" spans="1:9" x14ac:dyDescent="0.2">
      <c r="A18" s="1" t="s">
        <v>28</v>
      </c>
      <c r="B18" s="1" t="s">
        <v>36</v>
      </c>
      <c r="C18" s="2">
        <v>921</v>
      </c>
      <c r="D18" s="2">
        <v>1187</v>
      </c>
      <c r="E18" s="2"/>
      <c r="F18" s="2">
        <v>2108</v>
      </c>
      <c r="G18" s="3">
        <v>0.43690702087286531</v>
      </c>
      <c r="H18" s="3">
        <v>0.56309297912713474</v>
      </c>
      <c r="I18" s="1" t="s">
        <v>30</v>
      </c>
    </row>
    <row r="19" spans="1:9" x14ac:dyDescent="0.2">
      <c r="A19" s="1" t="s">
        <v>28</v>
      </c>
      <c r="B19" s="1" t="s">
        <v>37</v>
      </c>
      <c r="C19" s="2">
        <v>281</v>
      </c>
      <c r="D19" s="2">
        <v>524</v>
      </c>
      <c r="E19" s="2"/>
      <c r="F19" s="2">
        <v>805</v>
      </c>
      <c r="G19" s="3">
        <v>0.34906832298136647</v>
      </c>
      <c r="H19" s="3">
        <v>0.65093167701863353</v>
      </c>
      <c r="I19" s="1" t="s">
        <v>30</v>
      </c>
    </row>
    <row r="20" spans="1:9" x14ac:dyDescent="0.2">
      <c r="A20" s="1" t="s">
        <v>28</v>
      </c>
      <c r="B20" s="1" t="s">
        <v>38</v>
      </c>
      <c r="C20" s="2">
        <v>444</v>
      </c>
      <c r="D20" s="2">
        <v>640</v>
      </c>
      <c r="E20" s="2"/>
      <c r="F20" s="2">
        <v>1084</v>
      </c>
      <c r="G20" s="3">
        <v>0.40959409594095941</v>
      </c>
      <c r="H20" s="3">
        <v>0.59040590405904059</v>
      </c>
      <c r="I20" s="1" t="s">
        <v>30</v>
      </c>
    </row>
    <row r="21" spans="1:9" x14ac:dyDescent="0.2">
      <c r="A21" s="1" t="s">
        <v>28</v>
      </c>
      <c r="B21" s="1" t="s">
        <v>39</v>
      </c>
      <c r="C21" s="2">
        <v>33</v>
      </c>
      <c r="D21" s="2">
        <v>85</v>
      </c>
      <c r="E21" s="2"/>
      <c r="F21" s="2">
        <v>118</v>
      </c>
      <c r="G21" s="3">
        <v>0.27966101694915252</v>
      </c>
      <c r="H21" s="3">
        <v>0.72033898305084743</v>
      </c>
      <c r="I21" s="1" t="s">
        <v>30</v>
      </c>
    </row>
    <row r="22" spans="1:9" x14ac:dyDescent="0.2">
      <c r="A22" s="1" t="s">
        <v>28</v>
      </c>
      <c r="B22" s="1" t="s">
        <v>40</v>
      </c>
      <c r="C22" s="2">
        <v>56</v>
      </c>
      <c r="D22" s="2">
        <v>180</v>
      </c>
      <c r="E22" s="2"/>
      <c r="F22" s="2">
        <v>236</v>
      </c>
      <c r="G22" s="3">
        <v>0.23728813559322029</v>
      </c>
      <c r="H22" s="3">
        <v>0.76271186440677963</v>
      </c>
      <c r="I22" s="1" t="s">
        <v>30</v>
      </c>
    </row>
    <row r="23" spans="1:9" x14ac:dyDescent="0.2">
      <c r="A23" s="1" t="s">
        <v>28</v>
      </c>
      <c r="B23" s="1" t="s">
        <v>41</v>
      </c>
      <c r="C23" s="2">
        <v>709</v>
      </c>
      <c r="D23" s="2">
        <v>1045</v>
      </c>
      <c r="E23" s="2"/>
      <c r="F23" s="2">
        <v>1754</v>
      </c>
      <c r="G23" s="3">
        <v>0.40421892816419608</v>
      </c>
      <c r="H23" s="3">
        <v>0.59578107183580387</v>
      </c>
      <c r="I23" s="1" t="s">
        <v>30</v>
      </c>
    </row>
    <row r="24" spans="1:9" x14ac:dyDescent="0.2">
      <c r="A24" s="1" t="s">
        <v>28</v>
      </c>
      <c r="B24" s="1" t="s">
        <v>42</v>
      </c>
      <c r="C24" s="2">
        <v>416</v>
      </c>
      <c r="D24" s="2">
        <v>985</v>
      </c>
      <c r="E24" s="2"/>
      <c r="F24" s="2">
        <v>1401</v>
      </c>
      <c r="G24" s="3">
        <v>0.29693076374018562</v>
      </c>
      <c r="H24" s="3">
        <v>0.70306923625981443</v>
      </c>
      <c r="I24" s="1" t="s">
        <v>30</v>
      </c>
    </row>
    <row r="25" spans="1:9" x14ac:dyDescent="0.2">
      <c r="A25" s="1" t="s">
        <v>28</v>
      </c>
      <c r="B25" s="1" t="s">
        <v>43</v>
      </c>
      <c r="C25" s="2">
        <v>558</v>
      </c>
      <c r="D25" s="2">
        <v>1321</v>
      </c>
      <c r="E25" s="2"/>
      <c r="F25" s="2">
        <v>1879</v>
      </c>
      <c r="G25" s="3">
        <v>0.29696647152740818</v>
      </c>
      <c r="H25" s="3">
        <v>0.70303352847259182</v>
      </c>
      <c r="I25" s="1" t="s">
        <v>30</v>
      </c>
    </row>
    <row r="26" spans="1:9" x14ac:dyDescent="0.2">
      <c r="A26" s="1" t="s">
        <v>28</v>
      </c>
      <c r="B26" s="1" t="s">
        <v>44</v>
      </c>
      <c r="C26" s="2">
        <v>494</v>
      </c>
      <c r="D26" s="2">
        <v>721</v>
      </c>
      <c r="E26" s="2"/>
      <c r="F26" s="2">
        <v>1215</v>
      </c>
      <c r="G26" s="3">
        <v>0.40658436213991772</v>
      </c>
      <c r="H26" s="3">
        <v>0.59341563786008233</v>
      </c>
      <c r="I26" s="1" t="s">
        <v>30</v>
      </c>
    </row>
    <row r="27" spans="1:9" x14ac:dyDescent="0.2">
      <c r="A27" s="1" t="s">
        <v>28</v>
      </c>
      <c r="B27" s="1" t="s">
        <v>45</v>
      </c>
      <c r="C27" s="2">
        <v>125</v>
      </c>
      <c r="D27" s="2">
        <v>405</v>
      </c>
      <c r="E27" s="2"/>
      <c r="F27" s="2">
        <v>530</v>
      </c>
      <c r="G27" s="3">
        <v>0.23584905660377359</v>
      </c>
      <c r="H27" s="3">
        <v>0.76415094339622647</v>
      </c>
      <c r="I27" s="1" t="s">
        <v>30</v>
      </c>
    </row>
    <row r="28" spans="1:9" x14ac:dyDescent="0.2">
      <c r="A28" s="1" t="s">
        <v>28</v>
      </c>
      <c r="B28" s="1" t="s">
        <v>46</v>
      </c>
      <c r="C28" s="2">
        <v>715</v>
      </c>
      <c r="D28" s="2">
        <v>1277</v>
      </c>
      <c r="E28" s="2"/>
      <c r="F28" s="2">
        <v>1992</v>
      </c>
      <c r="G28" s="3">
        <v>0.35893574297188757</v>
      </c>
      <c r="H28" s="3">
        <v>0.64106425702811243</v>
      </c>
      <c r="I28" s="1" t="s">
        <v>30</v>
      </c>
    </row>
    <row r="29" spans="1:9" x14ac:dyDescent="0.2">
      <c r="A29" s="1" t="s">
        <v>28</v>
      </c>
      <c r="B29" s="1" t="s">
        <v>47</v>
      </c>
      <c r="C29" s="2">
        <v>58</v>
      </c>
      <c r="D29" s="2">
        <v>127</v>
      </c>
      <c r="E29" s="2"/>
      <c r="F29" s="2">
        <v>185</v>
      </c>
      <c r="G29" s="3">
        <v>0.31351351351351348</v>
      </c>
      <c r="H29" s="3">
        <v>0.68648648648648647</v>
      </c>
      <c r="I29" s="1" t="s">
        <v>30</v>
      </c>
    </row>
    <row r="30" spans="1:9" x14ac:dyDescent="0.2">
      <c r="A30" s="1" t="s">
        <v>28</v>
      </c>
      <c r="B30" s="1" t="s">
        <v>48</v>
      </c>
      <c r="C30" s="2">
        <v>1634</v>
      </c>
      <c r="D30" s="2">
        <v>2838</v>
      </c>
      <c r="E30" s="2"/>
      <c r="F30" s="2">
        <v>4472</v>
      </c>
      <c r="G30" s="3">
        <v>0.36538461538461542</v>
      </c>
      <c r="H30" s="3">
        <v>0.63461538461538458</v>
      </c>
      <c r="I30" s="1" t="s">
        <v>30</v>
      </c>
    </row>
    <row r="31" spans="1:9" x14ac:dyDescent="0.2">
      <c r="A31" s="1" t="s">
        <v>28</v>
      </c>
      <c r="B31" s="1" t="s">
        <v>49</v>
      </c>
      <c r="C31" s="2">
        <v>548</v>
      </c>
      <c r="D31" s="2">
        <v>746</v>
      </c>
      <c r="E31" s="2"/>
      <c r="F31" s="2">
        <v>1294</v>
      </c>
      <c r="G31" s="3">
        <v>0.42349304482225658</v>
      </c>
      <c r="H31" s="3">
        <v>0.57650695517774342</v>
      </c>
      <c r="I31" s="1" t="s">
        <v>30</v>
      </c>
    </row>
    <row r="32" spans="1:9" x14ac:dyDescent="0.2">
      <c r="A32" s="1" t="s">
        <v>28</v>
      </c>
      <c r="B32" s="1" t="s">
        <v>50</v>
      </c>
      <c r="C32" s="2">
        <v>678</v>
      </c>
      <c r="D32" s="2">
        <v>1580</v>
      </c>
      <c r="E32" s="2"/>
      <c r="F32" s="2">
        <v>2258</v>
      </c>
      <c r="G32" s="3">
        <v>0.30026572187776801</v>
      </c>
      <c r="H32" s="3">
        <v>0.6997342781222321</v>
      </c>
      <c r="I32" s="1" t="s">
        <v>30</v>
      </c>
    </row>
    <row r="33" spans="1:9" x14ac:dyDescent="0.2">
      <c r="A33" s="1" t="s">
        <v>28</v>
      </c>
      <c r="B33" s="1" t="s">
        <v>51</v>
      </c>
      <c r="C33" s="2">
        <v>278</v>
      </c>
      <c r="D33" s="2">
        <v>636</v>
      </c>
      <c r="E33" s="2"/>
      <c r="F33" s="2">
        <v>914</v>
      </c>
      <c r="G33" s="3">
        <v>0.30415754923413568</v>
      </c>
      <c r="H33" s="3">
        <v>0.69584245076586437</v>
      </c>
      <c r="I33" s="1" t="s">
        <v>30</v>
      </c>
    </row>
    <row r="34" spans="1:9" x14ac:dyDescent="0.2">
      <c r="A34" s="1" t="s">
        <v>28</v>
      </c>
      <c r="B34" s="1" t="s">
        <v>52</v>
      </c>
      <c r="C34" s="2">
        <v>40</v>
      </c>
      <c r="D34" s="2">
        <v>67</v>
      </c>
      <c r="E34" s="2"/>
      <c r="F34" s="2">
        <v>107</v>
      </c>
      <c r="G34" s="3">
        <v>0.37383177570093462</v>
      </c>
      <c r="H34" s="3">
        <v>0.62616822429906538</v>
      </c>
      <c r="I34" s="1" t="s">
        <v>30</v>
      </c>
    </row>
    <row r="35" spans="1:9" x14ac:dyDescent="0.2">
      <c r="A35" s="1" t="s">
        <v>53</v>
      </c>
      <c r="B35" s="1" t="s">
        <v>54</v>
      </c>
      <c r="C35" s="2">
        <v>481</v>
      </c>
      <c r="D35" s="2">
        <v>580</v>
      </c>
      <c r="E35" s="2"/>
      <c r="F35" s="2">
        <v>1061</v>
      </c>
      <c r="G35" s="3">
        <v>0.45334590009425069</v>
      </c>
      <c r="H35" s="3">
        <v>0.54665409990574931</v>
      </c>
      <c r="I35" s="1" t="s">
        <v>30</v>
      </c>
    </row>
    <row r="36" spans="1:9" x14ac:dyDescent="0.2">
      <c r="A36" s="1" t="s">
        <v>53</v>
      </c>
      <c r="B36" s="1" t="s">
        <v>55</v>
      </c>
      <c r="C36" s="2">
        <v>16319</v>
      </c>
      <c r="D36" s="2">
        <v>9054</v>
      </c>
      <c r="E36" s="2"/>
      <c r="F36" s="2">
        <v>25373</v>
      </c>
      <c r="G36" s="3">
        <v>0.6431639932211406</v>
      </c>
      <c r="H36" s="3">
        <v>0.3568360067788594</v>
      </c>
      <c r="I36" s="1" t="s">
        <v>30</v>
      </c>
    </row>
    <row r="37" spans="1:9" x14ac:dyDescent="0.2">
      <c r="A37" s="1" t="s">
        <v>53</v>
      </c>
      <c r="B37" s="1" t="s">
        <v>56</v>
      </c>
      <c r="C37" s="2">
        <v>5053</v>
      </c>
      <c r="D37" s="2">
        <v>2924</v>
      </c>
      <c r="E37" s="2"/>
      <c r="F37" s="2">
        <v>7977</v>
      </c>
      <c r="G37" s="3">
        <v>0.63344615770339729</v>
      </c>
      <c r="H37" s="3">
        <v>0.36655384229660271</v>
      </c>
      <c r="I37" s="1" t="s">
        <v>30</v>
      </c>
    </row>
    <row r="38" spans="1:9" x14ac:dyDescent="0.2">
      <c r="A38" s="1" t="s">
        <v>53</v>
      </c>
      <c r="B38" s="1" t="s">
        <v>57</v>
      </c>
      <c r="C38" s="2">
        <v>1127</v>
      </c>
      <c r="D38" s="2">
        <v>1051</v>
      </c>
      <c r="E38" s="2"/>
      <c r="F38" s="2">
        <v>2178</v>
      </c>
      <c r="G38" s="3">
        <v>0.51744719926538107</v>
      </c>
      <c r="H38" s="3">
        <v>0.48255280073461893</v>
      </c>
      <c r="I38" s="1" t="s">
        <v>30</v>
      </c>
    </row>
    <row r="39" spans="1:9" x14ac:dyDescent="0.2">
      <c r="A39" s="1" t="s">
        <v>53</v>
      </c>
      <c r="B39" s="1" t="s">
        <v>58</v>
      </c>
      <c r="C39" s="2">
        <v>621</v>
      </c>
      <c r="D39" s="2">
        <v>650</v>
      </c>
      <c r="E39" s="2"/>
      <c r="F39" s="2">
        <v>1271</v>
      </c>
      <c r="G39" s="3">
        <v>0.48859166011014948</v>
      </c>
      <c r="H39" s="3">
        <v>0.51140833988985046</v>
      </c>
      <c r="I39" s="1" t="s">
        <v>30</v>
      </c>
    </row>
    <row r="40" spans="1:9" x14ac:dyDescent="0.2">
      <c r="A40" s="1" t="s">
        <v>53</v>
      </c>
      <c r="B40" s="1" t="s">
        <v>59</v>
      </c>
      <c r="C40" s="2">
        <v>692</v>
      </c>
      <c r="D40" s="2">
        <v>672</v>
      </c>
      <c r="E40" s="2"/>
      <c r="F40" s="2">
        <v>1364</v>
      </c>
      <c r="G40" s="3">
        <v>0.50733137829912023</v>
      </c>
      <c r="H40" s="3">
        <v>0.49266862170087983</v>
      </c>
      <c r="I40" s="1" t="s">
        <v>30</v>
      </c>
    </row>
    <row r="41" spans="1:9" x14ac:dyDescent="0.2">
      <c r="A41" s="1" t="s">
        <v>53</v>
      </c>
      <c r="B41" s="1" t="s">
        <v>60</v>
      </c>
      <c r="C41" s="2">
        <v>2886</v>
      </c>
      <c r="D41" s="2">
        <v>2502</v>
      </c>
      <c r="E41" s="2"/>
      <c r="F41" s="2">
        <v>5388</v>
      </c>
      <c r="G41" s="3">
        <v>0.53563474387527843</v>
      </c>
      <c r="H41" s="3">
        <v>0.46436525612472163</v>
      </c>
      <c r="I41" s="1" t="s">
        <v>30</v>
      </c>
    </row>
    <row r="42" spans="1:9" x14ac:dyDescent="0.2">
      <c r="A42" s="1" t="s">
        <v>53</v>
      </c>
      <c r="B42" s="1" t="s">
        <v>61</v>
      </c>
      <c r="C42" s="2">
        <v>1026</v>
      </c>
      <c r="D42" s="2">
        <v>580</v>
      </c>
      <c r="E42" s="2"/>
      <c r="F42" s="2">
        <v>1606</v>
      </c>
      <c r="G42" s="3">
        <v>0.63885429638854296</v>
      </c>
      <c r="H42" s="3">
        <v>0.36114570361145698</v>
      </c>
      <c r="I42" s="1" t="s">
        <v>30</v>
      </c>
    </row>
    <row r="43" spans="1:9" x14ac:dyDescent="0.2">
      <c r="A43" s="1" t="s">
        <v>53</v>
      </c>
      <c r="B43" s="1" t="s">
        <v>62</v>
      </c>
      <c r="C43" s="2">
        <v>261</v>
      </c>
      <c r="D43" s="2">
        <v>223</v>
      </c>
      <c r="E43" s="2"/>
      <c r="F43" s="2">
        <v>484</v>
      </c>
      <c r="G43" s="3">
        <v>0.53925619834710747</v>
      </c>
      <c r="H43" s="3">
        <v>0.46074380165289258</v>
      </c>
      <c r="I43" s="1" t="s">
        <v>30</v>
      </c>
    </row>
    <row r="44" spans="1:9" x14ac:dyDescent="0.2">
      <c r="A44" s="1" t="s">
        <v>53</v>
      </c>
      <c r="B44" s="1" t="s">
        <v>63</v>
      </c>
      <c r="C44" s="2">
        <v>525</v>
      </c>
      <c r="D44" s="2">
        <v>1132</v>
      </c>
      <c r="E44" s="2"/>
      <c r="F44" s="2">
        <v>1657</v>
      </c>
      <c r="G44" s="3">
        <v>0.31683765841882922</v>
      </c>
      <c r="H44" s="3">
        <v>0.68316234158117084</v>
      </c>
      <c r="I44" s="1" t="s">
        <v>30</v>
      </c>
    </row>
    <row r="45" spans="1:9" x14ac:dyDescent="0.2">
      <c r="A45" s="1" t="s">
        <v>53</v>
      </c>
      <c r="B45" s="1" t="s">
        <v>64</v>
      </c>
      <c r="C45" s="2">
        <v>8231</v>
      </c>
      <c r="D45" s="2">
        <v>8104</v>
      </c>
      <c r="E45" s="2"/>
      <c r="F45" s="2">
        <v>16335</v>
      </c>
      <c r="G45" s="3">
        <v>0.50388735843281296</v>
      </c>
      <c r="H45" s="3">
        <v>0.49611264156718698</v>
      </c>
      <c r="I45" s="1" t="s">
        <v>30</v>
      </c>
    </row>
    <row r="46" spans="1:9" x14ac:dyDescent="0.2">
      <c r="A46" s="1" t="s">
        <v>53</v>
      </c>
      <c r="B46" s="1" t="s">
        <v>65</v>
      </c>
      <c r="C46" s="2">
        <v>880</v>
      </c>
      <c r="D46" s="2">
        <v>1325</v>
      </c>
      <c r="E46" s="2"/>
      <c r="F46" s="2">
        <v>2205</v>
      </c>
      <c r="G46" s="3">
        <v>0.39909297052154202</v>
      </c>
      <c r="H46" s="3">
        <v>0.60090702947845809</v>
      </c>
      <c r="I46" s="1" t="s">
        <v>30</v>
      </c>
    </row>
    <row r="47" spans="1:9" x14ac:dyDescent="0.2">
      <c r="A47" s="1" t="s">
        <v>53</v>
      </c>
      <c r="B47" s="1" t="s">
        <v>66</v>
      </c>
      <c r="C47" s="2">
        <v>452</v>
      </c>
      <c r="D47" s="2">
        <v>785</v>
      </c>
      <c r="E47" s="2"/>
      <c r="F47" s="2">
        <v>1237</v>
      </c>
      <c r="G47" s="3">
        <v>0.36540016168148748</v>
      </c>
      <c r="H47" s="3">
        <v>0.63459983831851252</v>
      </c>
      <c r="I47" s="1" t="s">
        <v>30</v>
      </c>
    </row>
    <row r="48" spans="1:9" x14ac:dyDescent="0.2">
      <c r="A48" s="1" t="s">
        <v>53</v>
      </c>
      <c r="B48" s="1" t="s">
        <v>67</v>
      </c>
      <c r="C48" s="2">
        <v>698</v>
      </c>
      <c r="D48" s="2">
        <v>1494</v>
      </c>
      <c r="E48" s="2"/>
      <c r="F48" s="2">
        <v>2192</v>
      </c>
      <c r="G48" s="3">
        <v>0.31843065693430661</v>
      </c>
      <c r="H48" s="3">
        <v>0.68156934306569339</v>
      </c>
      <c r="I48" s="1" t="s">
        <v>30</v>
      </c>
    </row>
    <row r="49" spans="1:9" x14ac:dyDescent="0.2">
      <c r="A49" s="1" t="s">
        <v>53</v>
      </c>
      <c r="B49" s="1" t="s">
        <v>68</v>
      </c>
      <c r="C49" s="2">
        <v>804</v>
      </c>
      <c r="D49" s="2">
        <v>709</v>
      </c>
      <c r="E49" s="2"/>
      <c r="F49" s="2">
        <v>1513</v>
      </c>
      <c r="G49" s="3">
        <v>0.53139458030403175</v>
      </c>
      <c r="H49" s="3">
        <v>0.46860541969596831</v>
      </c>
      <c r="I49" s="1" t="s">
        <v>30</v>
      </c>
    </row>
    <row r="50" spans="1:9" x14ac:dyDescent="0.2">
      <c r="A50" s="1" t="s">
        <v>53</v>
      </c>
      <c r="B50" s="1" t="s">
        <v>69</v>
      </c>
      <c r="C50" s="2">
        <v>3287</v>
      </c>
      <c r="D50" s="2">
        <v>4609</v>
      </c>
      <c r="E50" s="2"/>
      <c r="F50" s="2">
        <v>7896</v>
      </c>
      <c r="G50" s="3">
        <v>0.41628672745694018</v>
      </c>
      <c r="H50" s="3">
        <v>0.58371327254305982</v>
      </c>
      <c r="I50" s="1" t="s">
        <v>30</v>
      </c>
    </row>
    <row r="51" spans="1:9" x14ac:dyDescent="0.2">
      <c r="A51" s="1" t="s">
        <v>53</v>
      </c>
      <c r="B51" s="1" t="s">
        <v>70</v>
      </c>
      <c r="C51" s="2">
        <v>3235</v>
      </c>
      <c r="D51" s="2">
        <v>3195</v>
      </c>
      <c r="E51" s="2"/>
      <c r="F51" s="2">
        <v>6430</v>
      </c>
      <c r="G51" s="3">
        <v>0.50311041990668737</v>
      </c>
      <c r="H51" s="3">
        <v>0.49688958009331258</v>
      </c>
      <c r="I51" s="1" t="s">
        <v>30</v>
      </c>
    </row>
    <row r="52" spans="1:9" x14ac:dyDescent="0.2">
      <c r="A52" s="1" t="s">
        <v>53</v>
      </c>
      <c r="B52" s="1" t="s">
        <v>71</v>
      </c>
      <c r="C52" s="2">
        <v>580</v>
      </c>
      <c r="D52" s="2">
        <v>810</v>
      </c>
      <c r="E52" s="2"/>
      <c r="F52" s="2">
        <v>1390</v>
      </c>
      <c r="G52" s="3">
        <v>0.41726618705035973</v>
      </c>
      <c r="H52" s="3">
        <v>0.58273381294964033</v>
      </c>
      <c r="I52" s="1" t="s">
        <v>30</v>
      </c>
    </row>
    <row r="53" spans="1:9" x14ac:dyDescent="0.2">
      <c r="A53" s="1" t="s">
        <v>53</v>
      </c>
      <c r="B53" s="1" t="s">
        <v>72</v>
      </c>
      <c r="C53" s="2">
        <v>5643</v>
      </c>
      <c r="D53" s="2">
        <v>4843</v>
      </c>
      <c r="E53" s="2"/>
      <c r="F53" s="2">
        <v>10486</v>
      </c>
      <c r="G53" s="3">
        <v>0.53814609956131987</v>
      </c>
      <c r="H53" s="3">
        <v>0.46185390043868008</v>
      </c>
      <c r="I53" s="1" t="s">
        <v>30</v>
      </c>
    </row>
    <row r="54" spans="1:9" x14ac:dyDescent="0.2">
      <c r="A54" s="1" t="s">
        <v>53</v>
      </c>
      <c r="B54" s="1" t="s">
        <v>73</v>
      </c>
      <c r="C54" s="2">
        <v>6241</v>
      </c>
      <c r="D54" s="2">
        <v>5790</v>
      </c>
      <c r="E54" s="2"/>
      <c r="F54" s="2">
        <v>12031</v>
      </c>
      <c r="G54" s="3">
        <v>0.5187432466129166</v>
      </c>
      <c r="H54" s="3">
        <v>0.48125675338708329</v>
      </c>
      <c r="I54" s="1" t="s">
        <v>30</v>
      </c>
    </row>
    <row r="55" spans="1:9" x14ac:dyDescent="0.2">
      <c r="A55" s="1" t="s">
        <v>53</v>
      </c>
      <c r="B55" s="1" t="s">
        <v>74</v>
      </c>
      <c r="C55" s="2">
        <v>2045</v>
      </c>
      <c r="D55" s="2">
        <v>2568</v>
      </c>
      <c r="E55" s="2"/>
      <c r="F55" s="2">
        <v>4613</v>
      </c>
      <c r="G55" s="3">
        <v>0.44331237806199869</v>
      </c>
      <c r="H55" s="3">
        <v>0.55668762193800125</v>
      </c>
      <c r="I55" s="1" t="s">
        <v>30</v>
      </c>
    </row>
    <row r="56" spans="1:9" x14ac:dyDescent="0.2">
      <c r="A56" s="1" t="s">
        <v>53</v>
      </c>
      <c r="B56" s="1" t="s">
        <v>75</v>
      </c>
      <c r="C56" s="2">
        <v>4676</v>
      </c>
      <c r="D56" s="2">
        <v>4668</v>
      </c>
      <c r="E56" s="2"/>
      <c r="F56" s="2">
        <v>9344</v>
      </c>
      <c r="G56" s="3">
        <v>0.50042808219178081</v>
      </c>
      <c r="H56" s="3">
        <v>0.49957191780821919</v>
      </c>
      <c r="I56" s="1" t="s">
        <v>30</v>
      </c>
    </row>
    <row r="57" spans="1:9" x14ac:dyDescent="0.2">
      <c r="A57" s="1" t="s">
        <v>53</v>
      </c>
      <c r="B57" s="1" t="s">
        <v>76</v>
      </c>
      <c r="C57" s="2">
        <v>1027</v>
      </c>
      <c r="D57" s="2">
        <v>2076</v>
      </c>
      <c r="E57" s="2"/>
      <c r="F57" s="2">
        <v>3103</v>
      </c>
      <c r="G57" s="3">
        <v>0.33097002900418948</v>
      </c>
      <c r="H57" s="3">
        <v>0.66902997099581052</v>
      </c>
      <c r="I57" s="1" t="s">
        <v>30</v>
      </c>
    </row>
    <row r="58" spans="1:9" x14ac:dyDescent="0.2">
      <c r="A58" s="1" t="s">
        <v>53</v>
      </c>
      <c r="B58" s="1" t="s">
        <v>77</v>
      </c>
      <c r="C58" s="2">
        <v>969</v>
      </c>
      <c r="D58" s="2">
        <v>1771</v>
      </c>
      <c r="E58" s="2"/>
      <c r="F58" s="2">
        <v>2740</v>
      </c>
      <c r="G58" s="3">
        <v>0.35364963503649632</v>
      </c>
      <c r="H58" s="3">
        <v>0.64635036496350362</v>
      </c>
      <c r="I58" s="1" t="s">
        <v>30</v>
      </c>
    </row>
    <row r="59" spans="1:9" x14ac:dyDescent="0.2">
      <c r="A59" s="1" t="s">
        <v>53</v>
      </c>
      <c r="B59" s="1" t="s">
        <v>78</v>
      </c>
      <c r="C59" s="2">
        <v>5373</v>
      </c>
      <c r="D59" s="2">
        <v>5131</v>
      </c>
      <c r="E59" s="2"/>
      <c r="F59" s="2">
        <v>10504</v>
      </c>
      <c r="G59" s="3">
        <v>0.51151942117288651</v>
      </c>
      <c r="H59" s="3">
        <v>0.48848057882711349</v>
      </c>
      <c r="I59" s="1" t="s">
        <v>30</v>
      </c>
    </row>
    <row r="60" spans="1:9" x14ac:dyDescent="0.2">
      <c r="A60" s="1" t="s">
        <v>79</v>
      </c>
      <c r="B60" s="1" t="s">
        <v>80</v>
      </c>
      <c r="C60" s="2">
        <v>1063</v>
      </c>
      <c r="D60" s="2">
        <v>2088</v>
      </c>
      <c r="E60" s="2"/>
      <c r="F60" s="2">
        <v>3151</v>
      </c>
      <c r="G60" s="3">
        <v>0.33735322119961919</v>
      </c>
      <c r="H60" s="3">
        <v>0.66264677880038081</v>
      </c>
      <c r="I60" s="1" t="s">
        <v>30</v>
      </c>
    </row>
    <row r="61" spans="1:9" x14ac:dyDescent="0.2">
      <c r="A61" s="1" t="s">
        <v>79</v>
      </c>
      <c r="B61" s="1" t="s">
        <v>81</v>
      </c>
      <c r="C61" s="2">
        <v>376</v>
      </c>
      <c r="D61" s="2">
        <v>858</v>
      </c>
      <c r="E61" s="2"/>
      <c r="F61" s="2">
        <v>1234</v>
      </c>
      <c r="G61" s="3">
        <v>0.3047001620745543</v>
      </c>
      <c r="H61" s="3">
        <v>0.6952998379254457</v>
      </c>
      <c r="I61" s="1" t="s">
        <v>30</v>
      </c>
    </row>
    <row r="62" spans="1:9" x14ac:dyDescent="0.2">
      <c r="A62" s="1" t="s">
        <v>79</v>
      </c>
      <c r="B62" s="1" t="s">
        <v>82</v>
      </c>
      <c r="C62" s="2">
        <v>414</v>
      </c>
      <c r="D62" s="2">
        <v>757</v>
      </c>
      <c r="E62" s="2"/>
      <c r="F62" s="2">
        <v>1171</v>
      </c>
      <c r="G62" s="3">
        <v>0.35354397950469679</v>
      </c>
      <c r="H62" s="3">
        <v>0.64645602049530315</v>
      </c>
      <c r="I62" s="1" t="s">
        <v>30</v>
      </c>
    </row>
    <row r="63" spans="1:9" x14ac:dyDescent="0.2">
      <c r="A63" s="1" t="s">
        <v>83</v>
      </c>
      <c r="B63" s="1" t="s">
        <v>84</v>
      </c>
      <c r="C63" s="2">
        <v>1181</v>
      </c>
      <c r="D63" s="2">
        <v>1527</v>
      </c>
      <c r="E63" s="2"/>
      <c r="F63" s="2">
        <v>2708</v>
      </c>
      <c r="G63" s="3">
        <v>0.43611521418020682</v>
      </c>
      <c r="H63" s="3">
        <v>0.56388478581979318</v>
      </c>
      <c r="I63" s="1" t="s">
        <v>30</v>
      </c>
    </row>
    <row r="64" spans="1:9" x14ac:dyDescent="0.2">
      <c r="A64" s="1" t="s">
        <v>83</v>
      </c>
      <c r="B64" s="1" t="s">
        <v>85</v>
      </c>
      <c r="C64" s="2">
        <v>722</v>
      </c>
      <c r="D64" s="2">
        <v>966</v>
      </c>
      <c r="E64" s="2"/>
      <c r="F64" s="2">
        <v>1688</v>
      </c>
      <c r="G64" s="3">
        <v>0.42772511848341233</v>
      </c>
      <c r="H64" s="3">
        <v>0.57227488151658767</v>
      </c>
      <c r="I64" s="1" t="s">
        <v>30</v>
      </c>
    </row>
    <row r="65" spans="1:9" x14ac:dyDescent="0.2">
      <c r="A65" s="1" t="s">
        <v>83</v>
      </c>
      <c r="B65" s="1" t="s">
        <v>86</v>
      </c>
      <c r="C65" s="2">
        <v>491</v>
      </c>
      <c r="D65" s="2">
        <v>525</v>
      </c>
      <c r="E65" s="2"/>
      <c r="F65" s="2">
        <v>1016</v>
      </c>
      <c r="G65" s="3">
        <v>0.48326771653543299</v>
      </c>
      <c r="H65" s="3">
        <v>0.5167322834645669</v>
      </c>
      <c r="I65" s="1" t="s">
        <v>30</v>
      </c>
    </row>
    <row r="66" spans="1:9" x14ac:dyDescent="0.2">
      <c r="A66" s="1" t="s">
        <v>83</v>
      </c>
      <c r="B66" s="1" t="s">
        <v>56</v>
      </c>
      <c r="C66" s="2">
        <v>12184</v>
      </c>
      <c r="D66" s="2">
        <v>6349</v>
      </c>
      <c r="E66" s="2"/>
      <c r="F66" s="2">
        <v>18533</v>
      </c>
      <c r="G66" s="3">
        <v>0.65742189607726753</v>
      </c>
      <c r="H66" s="3">
        <v>0.34257810392273241</v>
      </c>
      <c r="I66" s="1" t="s">
        <v>30</v>
      </c>
    </row>
    <row r="67" spans="1:9" x14ac:dyDescent="0.2">
      <c r="A67" s="1" t="s">
        <v>83</v>
      </c>
      <c r="B67" s="1" t="s">
        <v>87</v>
      </c>
      <c r="C67" s="2">
        <v>6955</v>
      </c>
      <c r="D67" s="2">
        <v>5794</v>
      </c>
      <c r="E67" s="2"/>
      <c r="F67" s="2">
        <v>12749</v>
      </c>
      <c r="G67" s="3">
        <v>0.54553298297905717</v>
      </c>
      <c r="H67" s="3">
        <v>0.45446701702094278</v>
      </c>
      <c r="I67" s="1" t="s">
        <v>30</v>
      </c>
    </row>
    <row r="68" spans="1:9" x14ac:dyDescent="0.2">
      <c r="A68" s="1" t="s">
        <v>83</v>
      </c>
      <c r="B68" s="1" t="s">
        <v>88</v>
      </c>
      <c r="C68" s="2">
        <v>1762</v>
      </c>
      <c r="D68" s="2">
        <v>2661</v>
      </c>
      <c r="E68" s="2"/>
      <c r="F68" s="2">
        <v>4423</v>
      </c>
      <c r="G68" s="3">
        <v>0.3983721456025322</v>
      </c>
      <c r="H68" s="3">
        <v>0.6016278543974678</v>
      </c>
      <c r="I68" s="1" t="s">
        <v>30</v>
      </c>
    </row>
    <row r="69" spans="1:9" x14ac:dyDescent="0.2">
      <c r="A69" s="1" t="s">
        <v>83</v>
      </c>
      <c r="B69" s="1" t="s">
        <v>89</v>
      </c>
      <c r="C69" s="2">
        <v>33</v>
      </c>
      <c r="D69" s="2">
        <v>64</v>
      </c>
      <c r="E69" s="2"/>
      <c r="F69" s="2">
        <v>97</v>
      </c>
      <c r="G69" s="3">
        <v>0.34020618556701032</v>
      </c>
      <c r="H69" s="3">
        <v>0.65979381443298968</v>
      </c>
      <c r="I69" s="1" t="s">
        <v>30</v>
      </c>
    </row>
    <row r="70" spans="1:9" x14ac:dyDescent="0.2">
      <c r="A70" s="1" t="s">
        <v>83</v>
      </c>
      <c r="B70" s="1" t="s">
        <v>90</v>
      </c>
      <c r="C70" s="2">
        <v>1159</v>
      </c>
      <c r="D70" s="2">
        <v>1482</v>
      </c>
      <c r="E70" s="2"/>
      <c r="F70" s="2">
        <v>2641</v>
      </c>
      <c r="G70" s="3">
        <v>0.43884892086330929</v>
      </c>
      <c r="H70" s="3">
        <v>0.5611510791366906</v>
      </c>
      <c r="I70" s="1" t="s">
        <v>30</v>
      </c>
    </row>
    <row r="71" spans="1:9" x14ac:dyDescent="0.2">
      <c r="A71" s="1" t="s">
        <v>83</v>
      </c>
      <c r="B71" s="1" t="s">
        <v>91</v>
      </c>
      <c r="C71" s="2">
        <v>149</v>
      </c>
      <c r="D71" s="2">
        <v>211</v>
      </c>
      <c r="E71" s="2"/>
      <c r="F71" s="2">
        <v>360</v>
      </c>
      <c r="G71" s="3">
        <v>0.41388888888888892</v>
      </c>
      <c r="H71" s="3">
        <v>0.58611111111111114</v>
      </c>
      <c r="I71" s="1" t="s">
        <v>30</v>
      </c>
    </row>
    <row r="72" spans="1:9" x14ac:dyDescent="0.2">
      <c r="A72" s="1" t="s">
        <v>83</v>
      </c>
      <c r="B72" s="1" t="s">
        <v>92</v>
      </c>
      <c r="C72" s="2">
        <v>5015</v>
      </c>
      <c r="D72" s="2">
        <v>2282</v>
      </c>
      <c r="E72" s="2"/>
      <c r="F72" s="2">
        <v>7297</v>
      </c>
      <c r="G72" s="3">
        <v>0.68726874057831988</v>
      </c>
      <c r="H72" s="3">
        <v>0.31273125942168012</v>
      </c>
      <c r="I72" s="1" t="s">
        <v>30</v>
      </c>
    </row>
    <row r="73" spans="1:9" x14ac:dyDescent="0.2">
      <c r="A73" s="1" t="s">
        <v>83</v>
      </c>
      <c r="B73" s="1" t="s">
        <v>93</v>
      </c>
      <c r="C73" s="2">
        <v>4353</v>
      </c>
      <c r="D73" s="2">
        <v>3822</v>
      </c>
      <c r="E73" s="2"/>
      <c r="F73" s="2">
        <v>8175</v>
      </c>
      <c r="G73" s="3">
        <v>0.53247706422018348</v>
      </c>
      <c r="H73" s="3">
        <v>0.46752293577981652</v>
      </c>
      <c r="I73" s="1" t="s">
        <v>30</v>
      </c>
    </row>
    <row r="74" spans="1:9" x14ac:dyDescent="0.2">
      <c r="A74" s="1" t="s">
        <v>83</v>
      </c>
      <c r="B74" s="1" t="s">
        <v>94</v>
      </c>
      <c r="C74" s="2">
        <v>488</v>
      </c>
      <c r="D74" s="2">
        <v>323</v>
      </c>
      <c r="E74" s="2"/>
      <c r="F74" s="2">
        <v>811</v>
      </c>
      <c r="G74" s="3">
        <v>0.6017262638717632</v>
      </c>
      <c r="H74" s="3">
        <v>0.39827373612823669</v>
      </c>
      <c r="I74" s="1" t="s">
        <v>30</v>
      </c>
    </row>
    <row r="75" spans="1:9" x14ac:dyDescent="0.2">
      <c r="A75" s="1" t="s">
        <v>83</v>
      </c>
      <c r="B75" s="1" t="s">
        <v>95</v>
      </c>
      <c r="C75" s="2">
        <v>76</v>
      </c>
      <c r="D75" s="2">
        <v>68</v>
      </c>
      <c r="E75" s="2"/>
      <c r="F75" s="2">
        <v>144</v>
      </c>
      <c r="G75" s="3">
        <v>0.52777777777777779</v>
      </c>
      <c r="H75" s="3">
        <v>0.47222222222222221</v>
      </c>
      <c r="I75" s="1" t="s">
        <v>30</v>
      </c>
    </row>
    <row r="76" spans="1:9" x14ac:dyDescent="0.2">
      <c r="A76" s="1" t="s">
        <v>83</v>
      </c>
      <c r="B76" s="1" t="s">
        <v>62</v>
      </c>
      <c r="C76" s="2">
        <v>3560</v>
      </c>
      <c r="D76" s="2">
        <v>2863</v>
      </c>
      <c r="E76" s="2"/>
      <c r="F76" s="2">
        <v>6423</v>
      </c>
      <c r="G76" s="3">
        <v>0.55425813482796205</v>
      </c>
      <c r="H76" s="3">
        <v>0.44574186517203801</v>
      </c>
      <c r="I76" s="1" t="s">
        <v>30</v>
      </c>
    </row>
    <row r="77" spans="1:9" x14ac:dyDescent="0.2">
      <c r="A77" s="1" t="s">
        <v>83</v>
      </c>
      <c r="B77" s="1" t="s">
        <v>96</v>
      </c>
      <c r="C77" s="2">
        <v>1352</v>
      </c>
      <c r="D77" s="2">
        <v>1276</v>
      </c>
      <c r="E77" s="2"/>
      <c r="F77" s="2">
        <v>2628</v>
      </c>
      <c r="G77" s="3">
        <v>0.51445966514459662</v>
      </c>
      <c r="H77" s="3">
        <v>0.48554033485540332</v>
      </c>
      <c r="I77" s="1" t="s">
        <v>30</v>
      </c>
    </row>
    <row r="78" spans="1:9" x14ac:dyDescent="0.2">
      <c r="A78" s="1" t="s">
        <v>83</v>
      </c>
      <c r="B78" s="1" t="s">
        <v>97</v>
      </c>
      <c r="C78" s="2">
        <v>1854</v>
      </c>
      <c r="D78" s="2">
        <v>3485</v>
      </c>
      <c r="E78" s="2"/>
      <c r="F78" s="2">
        <v>5339</v>
      </c>
      <c r="G78" s="3">
        <v>0.34725604045701441</v>
      </c>
      <c r="H78" s="3">
        <v>0.65274395954298559</v>
      </c>
      <c r="I78" s="1" t="s">
        <v>30</v>
      </c>
    </row>
    <row r="79" spans="1:9" x14ac:dyDescent="0.2">
      <c r="A79" s="1" t="s">
        <v>83</v>
      </c>
      <c r="B79" s="1" t="s">
        <v>98</v>
      </c>
      <c r="C79" s="2">
        <v>506</v>
      </c>
      <c r="D79" s="2">
        <v>931</v>
      </c>
      <c r="E79" s="2"/>
      <c r="F79" s="2">
        <v>1437</v>
      </c>
      <c r="G79" s="3">
        <v>0.35212247738343772</v>
      </c>
      <c r="H79" s="3">
        <v>0.64787752261656228</v>
      </c>
      <c r="I79" s="1" t="s">
        <v>30</v>
      </c>
    </row>
    <row r="80" spans="1:9" x14ac:dyDescent="0.2">
      <c r="A80" s="1" t="s">
        <v>83</v>
      </c>
      <c r="B80" s="1" t="s">
        <v>99</v>
      </c>
      <c r="C80" s="2">
        <v>1738</v>
      </c>
      <c r="D80" s="2">
        <v>1984</v>
      </c>
      <c r="E80" s="2"/>
      <c r="F80" s="2">
        <v>3722</v>
      </c>
      <c r="G80" s="3">
        <v>0.46695325094035472</v>
      </c>
      <c r="H80" s="3">
        <v>0.53304674905964533</v>
      </c>
      <c r="I80" s="1" t="s">
        <v>30</v>
      </c>
    </row>
    <row r="81" spans="1:9" x14ac:dyDescent="0.2">
      <c r="A81" s="1" t="s">
        <v>83</v>
      </c>
      <c r="B81" s="1" t="s">
        <v>100</v>
      </c>
      <c r="C81" s="2">
        <v>2884</v>
      </c>
      <c r="D81" s="2">
        <v>3041</v>
      </c>
      <c r="E81" s="2"/>
      <c r="F81" s="2">
        <v>5925</v>
      </c>
      <c r="G81" s="3">
        <v>0.48675105485232067</v>
      </c>
      <c r="H81" s="3">
        <v>0.51324894514767927</v>
      </c>
      <c r="I81" s="1" t="s">
        <v>30</v>
      </c>
    </row>
    <row r="82" spans="1:9" x14ac:dyDescent="0.2">
      <c r="A82" s="1" t="s">
        <v>83</v>
      </c>
      <c r="B82" s="1" t="s">
        <v>101</v>
      </c>
      <c r="C82" s="2">
        <v>1657</v>
      </c>
      <c r="D82" s="2">
        <v>3192</v>
      </c>
      <c r="E82" s="2"/>
      <c r="F82" s="2">
        <v>4849</v>
      </c>
      <c r="G82" s="3">
        <v>0.34171994225613528</v>
      </c>
      <c r="H82" s="3">
        <v>0.65828005774386467</v>
      </c>
      <c r="I82" s="1" t="s">
        <v>30</v>
      </c>
    </row>
    <row r="83" spans="1:9" x14ac:dyDescent="0.2">
      <c r="A83" s="1" t="s">
        <v>83</v>
      </c>
      <c r="B83" s="1" t="s">
        <v>102</v>
      </c>
      <c r="C83" s="2">
        <v>1251</v>
      </c>
      <c r="D83" s="2">
        <v>1264</v>
      </c>
      <c r="E83" s="2"/>
      <c r="F83" s="2">
        <v>2515</v>
      </c>
      <c r="G83" s="3">
        <v>0.49741550695825049</v>
      </c>
      <c r="H83" s="3">
        <v>0.50258449304174946</v>
      </c>
      <c r="I83" s="1" t="s">
        <v>30</v>
      </c>
    </row>
    <row r="84" spans="1:9" x14ac:dyDescent="0.2">
      <c r="A84" s="1" t="s">
        <v>83</v>
      </c>
      <c r="B84" s="1" t="s">
        <v>103</v>
      </c>
      <c r="C84" s="2">
        <v>715</v>
      </c>
      <c r="D84" s="2">
        <v>713</v>
      </c>
      <c r="E84" s="2"/>
      <c r="F84" s="2">
        <v>1428</v>
      </c>
      <c r="G84" s="3">
        <v>0.50070028011204482</v>
      </c>
      <c r="H84" s="3">
        <v>0.49929971988795518</v>
      </c>
      <c r="I84" s="1" t="s">
        <v>30</v>
      </c>
    </row>
    <row r="85" spans="1:9" x14ac:dyDescent="0.2">
      <c r="A85" s="1" t="s">
        <v>83</v>
      </c>
      <c r="B85" s="1" t="s">
        <v>104</v>
      </c>
      <c r="C85" s="2">
        <v>1966</v>
      </c>
      <c r="D85" s="2">
        <v>2198</v>
      </c>
      <c r="E85" s="2"/>
      <c r="F85" s="2">
        <v>4164</v>
      </c>
      <c r="G85" s="3">
        <v>0.47214217098943317</v>
      </c>
      <c r="H85" s="3">
        <v>0.52785782901056677</v>
      </c>
      <c r="I85" s="1" t="s">
        <v>30</v>
      </c>
    </row>
    <row r="86" spans="1:9" x14ac:dyDescent="0.2">
      <c r="A86" s="1" t="s">
        <v>83</v>
      </c>
      <c r="B86" s="1" t="s">
        <v>105</v>
      </c>
      <c r="C86" s="2">
        <v>5660</v>
      </c>
      <c r="D86" s="2">
        <v>4997</v>
      </c>
      <c r="E86" s="2"/>
      <c r="F86" s="2">
        <v>10657</v>
      </c>
      <c r="G86" s="3">
        <v>0.53110631509805761</v>
      </c>
      <c r="H86" s="3">
        <v>0.46889368490194239</v>
      </c>
      <c r="I86" s="1" t="s">
        <v>30</v>
      </c>
    </row>
    <row r="87" spans="1:9" x14ac:dyDescent="0.2">
      <c r="A87" s="1" t="s">
        <v>83</v>
      </c>
      <c r="B87" s="1" t="s">
        <v>106</v>
      </c>
      <c r="C87" s="2">
        <v>522</v>
      </c>
      <c r="D87" s="2">
        <v>840</v>
      </c>
      <c r="E87" s="2"/>
      <c r="F87" s="2">
        <v>1362</v>
      </c>
      <c r="G87" s="3">
        <v>0.38325991189427311</v>
      </c>
      <c r="H87" s="3">
        <v>0.61674008810572689</v>
      </c>
      <c r="I87" s="1" t="s">
        <v>30</v>
      </c>
    </row>
    <row r="88" spans="1:9" x14ac:dyDescent="0.2">
      <c r="A88" s="1" t="s">
        <v>83</v>
      </c>
      <c r="B88" s="1" t="s">
        <v>107</v>
      </c>
      <c r="C88" s="2">
        <v>1120</v>
      </c>
      <c r="D88" s="2">
        <v>2002</v>
      </c>
      <c r="E88" s="2"/>
      <c r="F88" s="2">
        <v>3122</v>
      </c>
      <c r="G88" s="3">
        <v>0.35874439461883412</v>
      </c>
      <c r="H88" s="3">
        <v>0.64125560538116588</v>
      </c>
      <c r="I88" s="1" t="s">
        <v>30</v>
      </c>
    </row>
    <row r="89" spans="1:9" x14ac:dyDescent="0.2">
      <c r="A89" s="1" t="s">
        <v>83</v>
      </c>
      <c r="B89" s="1" t="s">
        <v>108</v>
      </c>
      <c r="C89" s="2">
        <v>71</v>
      </c>
      <c r="D89" s="2">
        <v>125</v>
      </c>
      <c r="E89" s="2"/>
      <c r="F89" s="2">
        <v>196</v>
      </c>
      <c r="G89" s="3">
        <v>0.36224489795918369</v>
      </c>
      <c r="H89" s="3">
        <v>0.63775510204081631</v>
      </c>
      <c r="I89" s="1" t="s">
        <v>30</v>
      </c>
    </row>
    <row r="90" spans="1:9" x14ac:dyDescent="0.2">
      <c r="A90" s="1" t="s">
        <v>83</v>
      </c>
      <c r="B90" s="1" t="s">
        <v>109</v>
      </c>
      <c r="C90" s="2">
        <v>259</v>
      </c>
      <c r="D90" s="2">
        <v>424</v>
      </c>
      <c r="E90" s="2"/>
      <c r="F90" s="2">
        <v>683</v>
      </c>
      <c r="G90" s="3">
        <v>0.37920937042459729</v>
      </c>
      <c r="H90" s="3">
        <v>0.62079062957540265</v>
      </c>
      <c r="I90" s="1" t="s">
        <v>30</v>
      </c>
    </row>
    <row r="91" spans="1:9" x14ac:dyDescent="0.2">
      <c r="A91" s="1" t="s">
        <v>83</v>
      </c>
      <c r="B91" s="1" t="s">
        <v>110</v>
      </c>
      <c r="C91" s="2">
        <v>161</v>
      </c>
      <c r="D91" s="2">
        <v>228</v>
      </c>
      <c r="E91" s="2"/>
      <c r="F91" s="2">
        <v>389</v>
      </c>
      <c r="G91" s="3">
        <v>0.41388174807197942</v>
      </c>
      <c r="H91" s="3">
        <v>0.58611825192802058</v>
      </c>
      <c r="I91" s="1" t="s">
        <v>30</v>
      </c>
    </row>
    <row r="92" spans="1:9" x14ac:dyDescent="0.2">
      <c r="A92" s="1" t="s">
        <v>83</v>
      </c>
      <c r="B92" s="1" t="s">
        <v>111</v>
      </c>
      <c r="C92" s="2">
        <v>260</v>
      </c>
      <c r="D92" s="2">
        <v>342</v>
      </c>
      <c r="E92" s="2"/>
      <c r="F92" s="2">
        <v>602</v>
      </c>
      <c r="G92" s="3">
        <v>0.43189368770764119</v>
      </c>
      <c r="H92" s="3">
        <v>0.56810631229235875</v>
      </c>
      <c r="I92" s="1" t="s">
        <v>30</v>
      </c>
    </row>
    <row r="93" spans="1:9" x14ac:dyDescent="0.2">
      <c r="A93" s="1" t="s">
        <v>83</v>
      </c>
      <c r="B93" s="1" t="s">
        <v>112</v>
      </c>
      <c r="C93" s="2">
        <v>1011</v>
      </c>
      <c r="D93" s="2">
        <v>2135</v>
      </c>
      <c r="E93" s="2"/>
      <c r="F93" s="2">
        <v>3146</v>
      </c>
      <c r="G93" s="3">
        <v>0.32136045772409411</v>
      </c>
      <c r="H93" s="3">
        <v>0.67863954227590595</v>
      </c>
      <c r="I93" s="1" t="s">
        <v>30</v>
      </c>
    </row>
    <row r="94" spans="1:9" x14ac:dyDescent="0.2">
      <c r="A94" s="1" t="s">
        <v>83</v>
      </c>
      <c r="B94" s="1" t="s">
        <v>113</v>
      </c>
      <c r="C94" s="2">
        <v>1647</v>
      </c>
      <c r="D94" s="2">
        <v>1630</v>
      </c>
      <c r="E94" s="2"/>
      <c r="F94" s="2">
        <v>3277</v>
      </c>
      <c r="G94" s="3">
        <v>0.50259383582545014</v>
      </c>
      <c r="H94" s="3">
        <v>0.49740616417454991</v>
      </c>
      <c r="I94" s="1" t="s">
        <v>30</v>
      </c>
    </row>
    <row r="95" spans="1:9" x14ac:dyDescent="0.2">
      <c r="A95" s="1" t="s">
        <v>83</v>
      </c>
      <c r="B95" s="1" t="s">
        <v>114</v>
      </c>
      <c r="C95" s="2">
        <v>308</v>
      </c>
      <c r="D95" s="2">
        <v>453</v>
      </c>
      <c r="E95" s="2"/>
      <c r="F95" s="2">
        <v>761</v>
      </c>
      <c r="G95" s="3">
        <v>0.40473061760841</v>
      </c>
      <c r="H95" s="3">
        <v>0.59526938239159</v>
      </c>
      <c r="I95" s="1" t="s">
        <v>30</v>
      </c>
    </row>
    <row r="96" spans="1:9" x14ac:dyDescent="0.2">
      <c r="A96" s="1" t="s">
        <v>83</v>
      </c>
      <c r="B96" s="1" t="s">
        <v>115</v>
      </c>
      <c r="C96" s="2">
        <v>827</v>
      </c>
      <c r="D96" s="2">
        <v>1559</v>
      </c>
      <c r="E96" s="2"/>
      <c r="F96" s="2">
        <v>2386</v>
      </c>
      <c r="G96" s="3">
        <v>0.34660519698239728</v>
      </c>
      <c r="H96" s="3">
        <v>0.65339480301760267</v>
      </c>
      <c r="I96" s="1" t="s">
        <v>30</v>
      </c>
    </row>
    <row r="97" spans="1:9" x14ac:dyDescent="0.2">
      <c r="A97" s="1" t="s">
        <v>83</v>
      </c>
      <c r="B97" s="1" t="s">
        <v>116</v>
      </c>
      <c r="C97" s="2">
        <v>212</v>
      </c>
      <c r="D97" s="2">
        <v>226</v>
      </c>
      <c r="E97" s="2"/>
      <c r="F97" s="2">
        <v>438</v>
      </c>
      <c r="G97" s="3">
        <v>0.48401826484018262</v>
      </c>
      <c r="H97" s="3">
        <v>0.51598173515981738</v>
      </c>
      <c r="I97" s="1" t="s">
        <v>30</v>
      </c>
    </row>
    <row r="98" spans="1:9" x14ac:dyDescent="0.2">
      <c r="A98" s="1" t="s">
        <v>83</v>
      </c>
      <c r="B98" s="1" t="s">
        <v>117</v>
      </c>
      <c r="C98" s="2">
        <v>1500</v>
      </c>
      <c r="D98" s="2">
        <v>1866</v>
      </c>
      <c r="E98" s="2"/>
      <c r="F98" s="2">
        <v>3366</v>
      </c>
      <c r="G98" s="3">
        <v>0.44563279857397498</v>
      </c>
      <c r="H98" s="3">
        <v>0.55436720142602491</v>
      </c>
      <c r="I98" s="1" t="s">
        <v>30</v>
      </c>
    </row>
    <row r="99" spans="1:9" x14ac:dyDescent="0.2">
      <c r="A99" s="1" t="s">
        <v>83</v>
      </c>
      <c r="B99" s="1" t="s">
        <v>118</v>
      </c>
      <c r="C99" s="2">
        <v>1302</v>
      </c>
      <c r="D99" s="2">
        <v>1048</v>
      </c>
      <c r="E99" s="2"/>
      <c r="F99" s="2">
        <v>2350</v>
      </c>
      <c r="G99" s="3">
        <v>0.55404255319148932</v>
      </c>
      <c r="H99" s="3">
        <v>0.44595744680851063</v>
      </c>
      <c r="I99" s="1" t="s">
        <v>30</v>
      </c>
    </row>
    <row r="100" spans="1:9" x14ac:dyDescent="0.2">
      <c r="A100" s="1" t="s">
        <v>83</v>
      </c>
      <c r="B100" s="1" t="s">
        <v>119</v>
      </c>
      <c r="C100" s="2">
        <v>494</v>
      </c>
      <c r="D100" s="2">
        <v>651</v>
      </c>
      <c r="E100" s="2"/>
      <c r="F100" s="2">
        <v>1145</v>
      </c>
      <c r="G100" s="3">
        <v>0.43144104803493449</v>
      </c>
      <c r="H100" s="3">
        <v>0.56855895196506545</v>
      </c>
      <c r="I100" s="1" t="s">
        <v>30</v>
      </c>
    </row>
  </sheetData>
  <mergeCells count="5">
    <mergeCell ref="A10:I10"/>
    <mergeCell ref="A1:I1"/>
    <mergeCell ref="A9:I9"/>
    <mergeCell ref="A3:I3"/>
    <mergeCell ref="A6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1"/>
  <sheetViews>
    <sheetView workbookViewId="0"/>
  </sheetViews>
  <sheetFormatPr baseColWidth="10" defaultColWidth="8.83203125" defaultRowHeight="15" x14ac:dyDescent="0.2"/>
  <cols>
    <col min="1" max="1" width="12" customWidth="1"/>
    <col min="2" max="2" width="26" customWidth="1"/>
    <col min="3" max="3" width="31.5" customWidth="1"/>
    <col min="4" max="4" width="14" customWidth="1"/>
    <col min="5" max="5" width="16" customWidth="1"/>
    <col min="6" max="6" width="12" customWidth="1"/>
    <col min="7" max="7" width="13" customWidth="1"/>
    <col min="8" max="8" width="15" customWidth="1"/>
    <col min="9" max="9" width="37.1640625" customWidth="1"/>
    <col min="10" max="10" width="8.6640625" customWidth="1"/>
  </cols>
  <sheetData>
    <row r="1" spans="1:9" x14ac:dyDescent="0.2">
      <c r="A1" s="7" t="s">
        <v>120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1" t="s">
        <v>121</v>
      </c>
      <c r="B2" s="1"/>
      <c r="C2" s="1"/>
      <c r="D2" s="1"/>
      <c r="E2" s="1"/>
      <c r="F2" s="1"/>
      <c r="G2" s="1"/>
      <c r="H2" s="1"/>
      <c r="I2" s="1"/>
    </row>
    <row r="3" spans="1:9" x14ac:dyDescent="0.2">
      <c r="A3" s="7" t="s">
        <v>122</v>
      </c>
      <c r="B3" s="8"/>
      <c r="C3" s="8"/>
      <c r="D3" s="8"/>
      <c r="E3" s="8"/>
      <c r="F3" s="8"/>
      <c r="G3" s="8"/>
      <c r="H3" s="8"/>
      <c r="I3" s="8"/>
    </row>
    <row r="4" spans="1:9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9</v>
      </c>
      <c r="G4" s="1" t="s">
        <v>10</v>
      </c>
      <c r="H4" s="1"/>
      <c r="I4" s="1"/>
    </row>
    <row r="5" spans="1:9" x14ac:dyDescent="0.2">
      <c r="A5" s="1"/>
      <c r="B5" s="1"/>
      <c r="C5" s="1"/>
      <c r="D5" s="1"/>
      <c r="E5" s="1"/>
      <c r="F5" s="1"/>
      <c r="G5" s="1"/>
      <c r="H5" s="1"/>
      <c r="I5" s="1"/>
    </row>
    <row r="6" spans="1:9" x14ac:dyDescent="0.2">
      <c r="A6" s="7" t="s">
        <v>11</v>
      </c>
      <c r="B6" s="8"/>
      <c r="C6" s="8"/>
      <c r="D6" s="8"/>
      <c r="E6" s="8"/>
      <c r="F6" s="8"/>
      <c r="G6" s="8"/>
      <c r="H6" s="8"/>
      <c r="I6" s="8"/>
    </row>
    <row r="7" spans="1:9" x14ac:dyDescent="0.2">
      <c r="A7" s="1" t="s">
        <v>12</v>
      </c>
      <c r="B7" s="1" t="s">
        <v>123</v>
      </c>
      <c r="C7" s="1" t="s">
        <v>124</v>
      </c>
      <c r="D7" s="1" t="s">
        <v>13</v>
      </c>
      <c r="E7" s="1" t="s">
        <v>14</v>
      </c>
      <c r="F7" s="1" t="s">
        <v>16</v>
      </c>
      <c r="G7" s="1" t="s">
        <v>17</v>
      </c>
      <c r="H7" s="1" t="s">
        <v>18</v>
      </c>
      <c r="I7" s="1" t="s">
        <v>19</v>
      </c>
    </row>
    <row r="8" spans="1:9" x14ac:dyDescent="0.2">
      <c r="A8" s="1" t="s">
        <v>20</v>
      </c>
      <c r="B8" s="1" t="s">
        <v>125</v>
      </c>
      <c r="C8" s="1"/>
      <c r="D8" s="2">
        <f>SUM(D12:D381)</f>
        <v>151702</v>
      </c>
      <c r="E8" s="2">
        <f>SUM(E12:E381)</f>
        <v>153998</v>
      </c>
      <c r="F8" s="2">
        <f>D8+E8</f>
        <v>305700</v>
      </c>
      <c r="G8" s="3">
        <f>IF(F8=0,"",D8/F8)</f>
        <v>0.49624468433104352</v>
      </c>
      <c r="H8" s="3">
        <f>IF(F8=0,"",E8/F8)</f>
        <v>0.50375531566895648</v>
      </c>
      <c r="I8" s="1" t="s">
        <v>22</v>
      </c>
    </row>
    <row r="9" spans="1:9" x14ac:dyDescent="0.2">
      <c r="A9" s="7" t="s">
        <v>126</v>
      </c>
      <c r="B9" s="8"/>
      <c r="C9" s="8"/>
      <c r="D9" s="8"/>
      <c r="E9" s="8"/>
      <c r="F9" s="8"/>
      <c r="G9" s="8"/>
      <c r="H9" s="8"/>
      <c r="I9" s="8"/>
    </row>
    <row r="10" spans="1:9" x14ac:dyDescent="0.2">
      <c r="A10" s="7" t="s">
        <v>127</v>
      </c>
      <c r="B10" s="8"/>
      <c r="C10" s="8"/>
      <c r="D10" s="8"/>
      <c r="E10" s="8"/>
      <c r="F10" s="8"/>
      <c r="G10" s="8"/>
      <c r="H10" s="8"/>
      <c r="I10" s="8"/>
    </row>
    <row r="11" spans="1:9" ht="31.5" customHeight="1" x14ac:dyDescent="0.2">
      <c r="A11" s="1" t="s">
        <v>25</v>
      </c>
      <c r="B11" s="1" t="s">
        <v>26</v>
      </c>
      <c r="C11" s="1" t="s">
        <v>128</v>
      </c>
      <c r="D11" s="1" t="s">
        <v>13</v>
      </c>
      <c r="E11" s="1" t="s">
        <v>14</v>
      </c>
      <c r="F11" s="1" t="s">
        <v>16</v>
      </c>
      <c r="G11" s="1" t="s">
        <v>17</v>
      </c>
      <c r="H11" s="1" t="s">
        <v>18</v>
      </c>
      <c r="I11" s="1" t="s">
        <v>27</v>
      </c>
    </row>
    <row r="12" spans="1:9" x14ac:dyDescent="0.2">
      <c r="A12" s="1" t="s">
        <v>28</v>
      </c>
      <c r="B12" s="1" t="s">
        <v>29</v>
      </c>
      <c r="C12" s="1" t="s">
        <v>29</v>
      </c>
      <c r="D12" s="2">
        <v>144</v>
      </c>
      <c r="E12" s="2">
        <v>221</v>
      </c>
      <c r="F12" s="2">
        <f t="shared" ref="F12:F75" si="0">IF(COUNTA(D12:E12)=0,"",SUM(D12:E12))</f>
        <v>365</v>
      </c>
      <c r="G12" s="3">
        <f t="shared" ref="G12:G75" si="1">IF(OR(F12="",F12=0),"",D12/F12)</f>
        <v>0.39452054794520547</v>
      </c>
      <c r="H12" s="3">
        <f t="shared" ref="H12:H75" si="2">IF(OR(F12="",F12=0),"",E12/F12)</f>
        <v>0.60547945205479448</v>
      </c>
      <c r="I12" s="1" t="s">
        <v>129</v>
      </c>
    </row>
    <row r="13" spans="1:9" x14ac:dyDescent="0.2">
      <c r="A13" s="1" t="s">
        <v>28</v>
      </c>
      <c r="B13" s="1" t="s">
        <v>31</v>
      </c>
      <c r="C13" s="1" t="s">
        <v>31</v>
      </c>
      <c r="D13" s="2">
        <v>97</v>
      </c>
      <c r="E13" s="2">
        <v>233</v>
      </c>
      <c r="F13" s="2">
        <f t="shared" si="0"/>
        <v>330</v>
      </c>
      <c r="G13" s="3">
        <f t="shared" si="1"/>
        <v>0.29393939393939394</v>
      </c>
      <c r="H13" s="3">
        <f t="shared" si="2"/>
        <v>0.70606060606060606</v>
      </c>
      <c r="I13" s="1" t="s">
        <v>129</v>
      </c>
    </row>
    <row r="14" spans="1:9" x14ac:dyDescent="0.2">
      <c r="A14" s="1" t="s">
        <v>28</v>
      </c>
      <c r="B14" s="1" t="s">
        <v>32</v>
      </c>
      <c r="C14" s="1" t="s">
        <v>32</v>
      </c>
      <c r="D14" s="2">
        <v>117</v>
      </c>
      <c r="E14" s="2">
        <v>239</v>
      </c>
      <c r="F14" s="2">
        <f t="shared" si="0"/>
        <v>356</v>
      </c>
      <c r="G14" s="3">
        <f t="shared" si="1"/>
        <v>0.32865168539325845</v>
      </c>
      <c r="H14" s="3">
        <f t="shared" si="2"/>
        <v>0.6713483146067416</v>
      </c>
      <c r="I14" s="1" t="s">
        <v>129</v>
      </c>
    </row>
    <row r="15" spans="1:9" x14ac:dyDescent="0.2">
      <c r="A15" s="1" t="s">
        <v>28</v>
      </c>
      <c r="B15" s="1" t="s">
        <v>33</v>
      </c>
      <c r="C15" s="1" t="s">
        <v>130</v>
      </c>
      <c r="D15" s="2">
        <v>190</v>
      </c>
      <c r="E15" s="2">
        <v>541</v>
      </c>
      <c r="F15" s="2">
        <f t="shared" si="0"/>
        <v>731</v>
      </c>
      <c r="G15" s="3">
        <f t="shared" si="1"/>
        <v>0.25991792065663477</v>
      </c>
      <c r="H15" s="3">
        <f t="shared" si="2"/>
        <v>0.74008207934336523</v>
      </c>
      <c r="I15" s="1" t="s">
        <v>129</v>
      </c>
    </row>
    <row r="16" spans="1:9" x14ac:dyDescent="0.2">
      <c r="A16" s="1" t="s">
        <v>28</v>
      </c>
      <c r="B16" s="1" t="s">
        <v>33</v>
      </c>
      <c r="C16" s="1" t="s">
        <v>131</v>
      </c>
      <c r="D16" s="2">
        <v>173</v>
      </c>
      <c r="E16" s="2">
        <v>431</v>
      </c>
      <c r="F16" s="2">
        <f t="shared" si="0"/>
        <v>604</v>
      </c>
      <c r="G16" s="3">
        <f t="shared" si="1"/>
        <v>0.28642384105960267</v>
      </c>
      <c r="H16" s="3">
        <f t="shared" si="2"/>
        <v>0.71357615894039739</v>
      </c>
      <c r="I16" s="1" t="s">
        <v>129</v>
      </c>
    </row>
    <row r="17" spans="1:9" x14ac:dyDescent="0.2">
      <c r="A17" s="1" t="s">
        <v>28</v>
      </c>
      <c r="B17" s="1" t="s">
        <v>34</v>
      </c>
      <c r="C17" s="1" t="s">
        <v>34</v>
      </c>
      <c r="D17" s="2">
        <v>32</v>
      </c>
      <c r="E17" s="2">
        <v>62</v>
      </c>
      <c r="F17" s="2">
        <f t="shared" si="0"/>
        <v>94</v>
      </c>
      <c r="G17" s="3">
        <f t="shared" si="1"/>
        <v>0.34042553191489361</v>
      </c>
      <c r="H17" s="3">
        <f t="shared" si="2"/>
        <v>0.65957446808510634</v>
      </c>
      <c r="I17" s="1" t="s">
        <v>129</v>
      </c>
    </row>
    <row r="18" spans="1:9" x14ac:dyDescent="0.2">
      <c r="A18" s="1" t="s">
        <v>28</v>
      </c>
      <c r="B18" s="1" t="s">
        <v>35</v>
      </c>
      <c r="C18" s="1" t="s">
        <v>132</v>
      </c>
      <c r="D18" s="2">
        <v>249</v>
      </c>
      <c r="E18" s="2">
        <v>602</v>
      </c>
      <c r="F18" s="2">
        <f t="shared" si="0"/>
        <v>851</v>
      </c>
      <c r="G18" s="3">
        <f t="shared" si="1"/>
        <v>0.29259694477085779</v>
      </c>
      <c r="H18" s="3">
        <f t="shared" si="2"/>
        <v>0.70740305522914215</v>
      </c>
      <c r="I18" s="1" t="s">
        <v>129</v>
      </c>
    </row>
    <row r="19" spans="1:9" x14ac:dyDescent="0.2">
      <c r="A19" s="1" t="s">
        <v>28</v>
      </c>
      <c r="B19" s="1" t="s">
        <v>35</v>
      </c>
      <c r="C19" s="1" t="s">
        <v>133</v>
      </c>
      <c r="D19" s="2">
        <v>130</v>
      </c>
      <c r="E19" s="2">
        <v>331</v>
      </c>
      <c r="F19" s="2">
        <f t="shared" si="0"/>
        <v>461</v>
      </c>
      <c r="G19" s="3">
        <f t="shared" si="1"/>
        <v>0.28199566160520606</v>
      </c>
      <c r="H19" s="3">
        <f t="shared" si="2"/>
        <v>0.71800433839479394</v>
      </c>
      <c r="I19" s="1" t="s">
        <v>129</v>
      </c>
    </row>
    <row r="20" spans="1:9" x14ac:dyDescent="0.2">
      <c r="A20" s="1" t="s">
        <v>28</v>
      </c>
      <c r="B20" s="1" t="s">
        <v>35</v>
      </c>
      <c r="C20" s="1" t="s">
        <v>134</v>
      </c>
      <c r="D20" s="2">
        <v>192</v>
      </c>
      <c r="E20" s="2">
        <v>478</v>
      </c>
      <c r="F20" s="2">
        <f t="shared" si="0"/>
        <v>670</v>
      </c>
      <c r="G20" s="3">
        <f t="shared" si="1"/>
        <v>0.28656716417910449</v>
      </c>
      <c r="H20" s="3">
        <f t="shared" si="2"/>
        <v>0.71343283582089556</v>
      </c>
      <c r="I20" s="1" t="s">
        <v>129</v>
      </c>
    </row>
    <row r="21" spans="1:9" x14ac:dyDescent="0.2">
      <c r="A21" s="1" t="s">
        <v>28</v>
      </c>
      <c r="B21" s="1" t="s">
        <v>36</v>
      </c>
      <c r="C21" s="1" t="s">
        <v>135</v>
      </c>
      <c r="D21" s="2">
        <v>191</v>
      </c>
      <c r="E21" s="2">
        <v>236</v>
      </c>
      <c r="F21" s="2">
        <f t="shared" si="0"/>
        <v>427</v>
      </c>
      <c r="G21" s="3">
        <f t="shared" si="1"/>
        <v>0.44730679156908665</v>
      </c>
      <c r="H21" s="3">
        <f t="shared" si="2"/>
        <v>0.5526932084309133</v>
      </c>
      <c r="I21" s="1" t="s">
        <v>129</v>
      </c>
    </row>
    <row r="22" spans="1:9" x14ac:dyDescent="0.2">
      <c r="A22" s="1" t="s">
        <v>28</v>
      </c>
      <c r="B22" s="1" t="s">
        <v>36</v>
      </c>
      <c r="C22" s="1" t="s">
        <v>136</v>
      </c>
      <c r="D22" s="2">
        <v>131</v>
      </c>
      <c r="E22" s="2">
        <v>171</v>
      </c>
      <c r="F22" s="2">
        <f t="shared" si="0"/>
        <v>302</v>
      </c>
      <c r="G22" s="3">
        <f t="shared" si="1"/>
        <v>0.43377483443708609</v>
      </c>
      <c r="H22" s="3">
        <f t="shared" si="2"/>
        <v>0.56622516556291391</v>
      </c>
      <c r="I22" s="1" t="s">
        <v>129</v>
      </c>
    </row>
    <row r="23" spans="1:9" x14ac:dyDescent="0.2">
      <c r="A23" s="1" t="s">
        <v>28</v>
      </c>
      <c r="B23" s="1" t="s">
        <v>36</v>
      </c>
      <c r="C23" s="1" t="s">
        <v>137</v>
      </c>
      <c r="D23" s="2">
        <v>250</v>
      </c>
      <c r="E23" s="2">
        <v>391</v>
      </c>
      <c r="F23" s="2">
        <f t="shared" si="0"/>
        <v>641</v>
      </c>
      <c r="G23" s="3">
        <f t="shared" si="1"/>
        <v>0.39001560062402496</v>
      </c>
      <c r="H23" s="3">
        <f t="shared" si="2"/>
        <v>0.60998439937597504</v>
      </c>
      <c r="I23" s="1" t="s">
        <v>129</v>
      </c>
    </row>
    <row r="24" spans="1:9" x14ac:dyDescent="0.2">
      <c r="A24" s="1" t="s">
        <v>28</v>
      </c>
      <c r="B24" s="1" t="s">
        <v>36</v>
      </c>
      <c r="C24" s="1" t="s">
        <v>138</v>
      </c>
      <c r="D24" s="2">
        <v>114</v>
      </c>
      <c r="E24" s="2">
        <v>107</v>
      </c>
      <c r="F24" s="2">
        <f t="shared" si="0"/>
        <v>221</v>
      </c>
      <c r="G24" s="3">
        <f t="shared" si="1"/>
        <v>0.51583710407239824</v>
      </c>
      <c r="H24" s="3">
        <f t="shared" si="2"/>
        <v>0.48416289592760181</v>
      </c>
      <c r="I24" s="1" t="s">
        <v>129</v>
      </c>
    </row>
    <row r="25" spans="1:9" x14ac:dyDescent="0.2">
      <c r="A25" s="1" t="s">
        <v>28</v>
      </c>
      <c r="B25" s="1" t="s">
        <v>36</v>
      </c>
      <c r="C25" s="1" t="s">
        <v>139</v>
      </c>
      <c r="D25" s="2">
        <v>235</v>
      </c>
      <c r="E25" s="2">
        <v>282</v>
      </c>
      <c r="F25" s="2">
        <f t="shared" si="0"/>
        <v>517</v>
      </c>
      <c r="G25" s="3">
        <f t="shared" si="1"/>
        <v>0.45454545454545453</v>
      </c>
      <c r="H25" s="3">
        <f t="shared" si="2"/>
        <v>0.54545454545454541</v>
      </c>
      <c r="I25" s="1" t="s">
        <v>129</v>
      </c>
    </row>
    <row r="26" spans="1:9" x14ac:dyDescent="0.2">
      <c r="A26" s="1" t="s">
        <v>28</v>
      </c>
      <c r="B26" s="1" t="s">
        <v>37</v>
      </c>
      <c r="C26" s="1" t="s">
        <v>140</v>
      </c>
      <c r="D26" s="2">
        <v>95</v>
      </c>
      <c r="E26" s="2">
        <v>155</v>
      </c>
      <c r="F26" s="2">
        <f t="shared" si="0"/>
        <v>250</v>
      </c>
      <c r="G26" s="3">
        <f t="shared" si="1"/>
        <v>0.38</v>
      </c>
      <c r="H26" s="3">
        <f t="shared" si="2"/>
        <v>0.62</v>
      </c>
      <c r="I26" s="1" t="s">
        <v>129</v>
      </c>
    </row>
    <row r="27" spans="1:9" x14ac:dyDescent="0.2">
      <c r="A27" s="1" t="s">
        <v>28</v>
      </c>
      <c r="B27" s="1" t="s">
        <v>37</v>
      </c>
      <c r="C27" s="1" t="s">
        <v>141</v>
      </c>
      <c r="D27" s="2">
        <v>186</v>
      </c>
      <c r="E27" s="2">
        <v>369</v>
      </c>
      <c r="F27" s="2">
        <f t="shared" si="0"/>
        <v>555</v>
      </c>
      <c r="G27" s="3">
        <f t="shared" si="1"/>
        <v>0.33513513513513515</v>
      </c>
      <c r="H27" s="3">
        <f t="shared" si="2"/>
        <v>0.66486486486486485</v>
      </c>
      <c r="I27" s="1" t="s">
        <v>129</v>
      </c>
    </row>
    <row r="28" spans="1:9" x14ac:dyDescent="0.2">
      <c r="A28" s="1" t="s">
        <v>28</v>
      </c>
      <c r="B28" s="1" t="s">
        <v>38</v>
      </c>
      <c r="C28" s="1" t="s">
        <v>142</v>
      </c>
      <c r="D28" s="2">
        <v>215</v>
      </c>
      <c r="E28" s="2">
        <v>315</v>
      </c>
      <c r="F28" s="2">
        <f t="shared" si="0"/>
        <v>530</v>
      </c>
      <c r="G28" s="3">
        <f t="shared" si="1"/>
        <v>0.40566037735849059</v>
      </c>
      <c r="H28" s="3">
        <f t="shared" si="2"/>
        <v>0.59433962264150941</v>
      </c>
      <c r="I28" s="1" t="s">
        <v>129</v>
      </c>
    </row>
    <row r="29" spans="1:9" x14ac:dyDescent="0.2">
      <c r="A29" s="1" t="s">
        <v>28</v>
      </c>
      <c r="B29" s="1" t="s">
        <v>38</v>
      </c>
      <c r="C29" s="1" t="s">
        <v>143</v>
      </c>
      <c r="D29" s="2">
        <v>123</v>
      </c>
      <c r="E29" s="2">
        <v>179</v>
      </c>
      <c r="F29" s="2">
        <f t="shared" si="0"/>
        <v>302</v>
      </c>
      <c r="G29" s="3">
        <f t="shared" si="1"/>
        <v>0.40728476821192056</v>
      </c>
      <c r="H29" s="3">
        <f t="shared" si="2"/>
        <v>0.5927152317880795</v>
      </c>
      <c r="I29" s="1" t="s">
        <v>129</v>
      </c>
    </row>
    <row r="30" spans="1:9" x14ac:dyDescent="0.2">
      <c r="A30" s="1" t="s">
        <v>28</v>
      </c>
      <c r="B30" s="1" t="s">
        <v>38</v>
      </c>
      <c r="C30" s="1" t="s">
        <v>144</v>
      </c>
      <c r="D30" s="2">
        <v>106</v>
      </c>
      <c r="E30" s="2">
        <v>146</v>
      </c>
      <c r="F30" s="2">
        <f t="shared" si="0"/>
        <v>252</v>
      </c>
      <c r="G30" s="3">
        <f t="shared" si="1"/>
        <v>0.42063492063492064</v>
      </c>
      <c r="H30" s="3">
        <f t="shared" si="2"/>
        <v>0.57936507936507942</v>
      </c>
      <c r="I30" s="1" t="s">
        <v>129</v>
      </c>
    </row>
    <row r="31" spans="1:9" x14ac:dyDescent="0.2">
      <c r="A31" s="1" t="s">
        <v>28</v>
      </c>
      <c r="B31" s="1" t="s">
        <v>39</v>
      </c>
      <c r="C31" s="1" t="s">
        <v>39</v>
      </c>
      <c r="D31" s="2">
        <v>33</v>
      </c>
      <c r="E31" s="2">
        <v>85</v>
      </c>
      <c r="F31" s="2">
        <f t="shared" si="0"/>
        <v>118</v>
      </c>
      <c r="G31" s="3">
        <f t="shared" si="1"/>
        <v>0.27966101694915252</v>
      </c>
      <c r="H31" s="3">
        <f t="shared" si="2"/>
        <v>0.72033898305084743</v>
      </c>
      <c r="I31" s="1" t="s">
        <v>129</v>
      </c>
    </row>
    <row r="32" spans="1:9" x14ac:dyDescent="0.2">
      <c r="A32" s="1" t="s">
        <v>28</v>
      </c>
      <c r="B32" s="1" t="s">
        <v>40</v>
      </c>
      <c r="C32" s="1" t="s">
        <v>40</v>
      </c>
      <c r="D32" s="2">
        <v>56</v>
      </c>
      <c r="E32" s="2">
        <v>180</v>
      </c>
      <c r="F32" s="2">
        <f t="shared" si="0"/>
        <v>236</v>
      </c>
      <c r="G32" s="3">
        <f t="shared" si="1"/>
        <v>0.23728813559322035</v>
      </c>
      <c r="H32" s="3">
        <f t="shared" si="2"/>
        <v>0.76271186440677963</v>
      </c>
      <c r="I32" s="1" t="s">
        <v>129</v>
      </c>
    </row>
    <row r="33" spans="1:9" x14ac:dyDescent="0.2">
      <c r="A33" s="1" t="s">
        <v>28</v>
      </c>
      <c r="B33" s="1" t="s">
        <v>41</v>
      </c>
      <c r="C33" s="1" t="s">
        <v>145</v>
      </c>
      <c r="D33" s="2">
        <v>240</v>
      </c>
      <c r="E33" s="2">
        <v>349</v>
      </c>
      <c r="F33" s="2">
        <f t="shared" si="0"/>
        <v>589</v>
      </c>
      <c r="G33" s="3">
        <f t="shared" si="1"/>
        <v>0.40747028862478779</v>
      </c>
      <c r="H33" s="3">
        <f t="shared" si="2"/>
        <v>0.59252971137521226</v>
      </c>
      <c r="I33" s="1" t="s">
        <v>129</v>
      </c>
    </row>
    <row r="34" spans="1:9" x14ac:dyDescent="0.2">
      <c r="A34" s="1" t="s">
        <v>28</v>
      </c>
      <c r="B34" s="1" t="s">
        <v>41</v>
      </c>
      <c r="C34" s="1" t="s">
        <v>146</v>
      </c>
      <c r="D34" s="2">
        <v>234</v>
      </c>
      <c r="E34" s="2">
        <v>333</v>
      </c>
      <c r="F34" s="2">
        <f t="shared" si="0"/>
        <v>567</v>
      </c>
      <c r="G34" s="3">
        <f t="shared" si="1"/>
        <v>0.41269841269841268</v>
      </c>
      <c r="H34" s="3">
        <f t="shared" si="2"/>
        <v>0.58730158730158732</v>
      </c>
      <c r="I34" s="1" t="s">
        <v>129</v>
      </c>
    </row>
    <row r="35" spans="1:9" x14ac:dyDescent="0.2">
      <c r="A35" s="1" t="s">
        <v>28</v>
      </c>
      <c r="B35" s="1" t="s">
        <v>41</v>
      </c>
      <c r="C35" s="1" t="s">
        <v>147</v>
      </c>
      <c r="D35" s="2">
        <v>235</v>
      </c>
      <c r="E35" s="2">
        <v>363</v>
      </c>
      <c r="F35" s="2">
        <f t="shared" si="0"/>
        <v>598</v>
      </c>
      <c r="G35" s="3">
        <f t="shared" si="1"/>
        <v>0.39297658862876256</v>
      </c>
      <c r="H35" s="3">
        <f t="shared" si="2"/>
        <v>0.6070234113712375</v>
      </c>
      <c r="I35" s="1" t="s">
        <v>129</v>
      </c>
    </row>
    <row r="36" spans="1:9" x14ac:dyDescent="0.2">
      <c r="A36" s="1" t="s">
        <v>28</v>
      </c>
      <c r="B36" s="1" t="s">
        <v>42</v>
      </c>
      <c r="C36" s="1" t="s">
        <v>148</v>
      </c>
      <c r="D36" s="2">
        <v>239</v>
      </c>
      <c r="E36" s="2">
        <v>595</v>
      </c>
      <c r="F36" s="2">
        <f t="shared" si="0"/>
        <v>834</v>
      </c>
      <c r="G36" s="3">
        <f t="shared" si="1"/>
        <v>0.28657074340527577</v>
      </c>
      <c r="H36" s="3">
        <f t="shared" si="2"/>
        <v>0.71342925659472423</v>
      </c>
      <c r="I36" s="1" t="s">
        <v>129</v>
      </c>
    </row>
    <row r="37" spans="1:9" x14ac:dyDescent="0.2">
      <c r="A37" s="1" t="s">
        <v>28</v>
      </c>
      <c r="B37" s="1" t="s">
        <v>42</v>
      </c>
      <c r="C37" s="1" t="s">
        <v>149</v>
      </c>
      <c r="D37" s="2">
        <v>177</v>
      </c>
      <c r="E37" s="2">
        <v>390</v>
      </c>
      <c r="F37" s="2">
        <f t="shared" si="0"/>
        <v>567</v>
      </c>
      <c r="G37" s="3">
        <f t="shared" si="1"/>
        <v>0.31216931216931215</v>
      </c>
      <c r="H37" s="3">
        <f t="shared" si="2"/>
        <v>0.68783068783068779</v>
      </c>
      <c r="I37" s="1" t="s">
        <v>129</v>
      </c>
    </row>
    <row r="38" spans="1:9" x14ac:dyDescent="0.2">
      <c r="A38" s="1" t="s">
        <v>28</v>
      </c>
      <c r="B38" s="1" t="s">
        <v>43</v>
      </c>
      <c r="C38" s="1" t="s">
        <v>150</v>
      </c>
      <c r="D38" s="2">
        <v>111</v>
      </c>
      <c r="E38" s="2">
        <v>297</v>
      </c>
      <c r="F38" s="2">
        <f t="shared" si="0"/>
        <v>408</v>
      </c>
      <c r="G38" s="3">
        <f t="shared" si="1"/>
        <v>0.27205882352941174</v>
      </c>
      <c r="H38" s="3">
        <f t="shared" si="2"/>
        <v>0.7279411764705882</v>
      </c>
      <c r="I38" s="1" t="s">
        <v>129</v>
      </c>
    </row>
    <row r="39" spans="1:9" x14ac:dyDescent="0.2">
      <c r="A39" s="1" t="s">
        <v>28</v>
      </c>
      <c r="B39" s="1" t="s">
        <v>43</v>
      </c>
      <c r="C39" s="1" t="s">
        <v>151</v>
      </c>
      <c r="D39" s="2">
        <v>95</v>
      </c>
      <c r="E39" s="2">
        <v>222</v>
      </c>
      <c r="F39" s="2">
        <f t="shared" si="0"/>
        <v>317</v>
      </c>
      <c r="G39" s="3">
        <f t="shared" si="1"/>
        <v>0.29968454258675081</v>
      </c>
      <c r="H39" s="3">
        <f t="shared" si="2"/>
        <v>0.70031545741324919</v>
      </c>
      <c r="I39" s="1" t="s">
        <v>129</v>
      </c>
    </row>
    <row r="40" spans="1:9" x14ac:dyDescent="0.2">
      <c r="A40" s="1" t="s">
        <v>28</v>
      </c>
      <c r="B40" s="1" t="s">
        <v>43</v>
      </c>
      <c r="C40" s="1" t="s">
        <v>152</v>
      </c>
      <c r="D40" s="2">
        <v>352</v>
      </c>
      <c r="E40" s="2">
        <v>802</v>
      </c>
      <c r="F40" s="2">
        <f t="shared" si="0"/>
        <v>1154</v>
      </c>
      <c r="G40" s="3">
        <f t="shared" si="1"/>
        <v>0.30502599653379547</v>
      </c>
      <c r="H40" s="3">
        <f t="shared" si="2"/>
        <v>0.69497400346620453</v>
      </c>
      <c r="I40" s="1" t="s">
        <v>129</v>
      </c>
    </row>
    <row r="41" spans="1:9" x14ac:dyDescent="0.2">
      <c r="A41" s="1" t="s">
        <v>28</v>
      </c>
      <c r="B41" s="1" t="s">
        <v>44</v>
      </c>
      <c r="C41" s="1" t="s">
        <v>153</v>
      </c>
      <c r="D41" s="2">
        <v>239</v>
      </c>
      <c r="E41" s="2">
        <v>343</v>
      </c>
      <c r="F41" s="2">
        <f t="shared" si="0"/>
        <v>582</v>
      </c>
      <c r="G41" s="3">
        <f t="shared" si="1"/>
        <v>0.4106529209621993</v>
      </c>
      <c r="H41" s="3">
        <f t="shared" si="2"/>
        <v>0.5893470790378007</v>
      </c>
      <c r="I41" s="1" t="s">
        <v>129</v>
      </c>
    </row>
    <row r="42" spans="1:9" x14ac:dyDescent="0.2">
      <c r="A42" s="1" t="s">
        <v>28</v>
      </c>
      <c r="B42" s="1" t="s">
        <v>44</v>
      </c>
      <c r="C42" s="1" t="s">
        <v>154</v>
      </c>
      <c r="D42" s="2">
        <v>255</v>
      </c>
      <c r="E42" s="2">
        <v>378</v>
      </c>
      <c r="F42" s="2">
        <f t="shared" si="0"/>
        <v>633</v>
      </c>
      <c r="G42" s="3">
        <f t="shared" si="1"/>
        <v>0.40284360189573459</v>
      </c>
      <c r="H42" s="3">
        <f t="shared" si="2"/>
        <v>0.59715639810426535</v>
      </c>
      <c r="I42" s="1" t="s">
        <v>129</v>
      </c>
    </row>
    <row r="43" spans="1:9" x14ac:dyDescent="0.2">
      <c r="A43" s="1" t="s">
        <v>28</v>
      </c>
      <c r="B43" s="1" t="s">
        <v>45</v>
      </c>
      <c r="C43" s="1" t="s">
        <v>45</v>
      </c>
      <c r="D43" s="2">
        <v>125</v>
      </c>
      <c r="E43" s="2">
        <v>405</v>
      </c>
      <c r="F43" s="2">
        <f t="shared" si="0"/>
        <v>530</v>
      </c>
      <c r="G43" s="3">
        <f t="shared" si="1"/>
        <v>0.23584905660377359</v>
      </c>
      <c r="H43" s="3">
        <f t="shared" si="2"/>
        <v>0.76415094339622647</v>
      </c>
      <c r="I43" s="1" t="s">
        <v>129</v>
      </c>
    </row>
    <row r="44" spans="1:9" x14ac:dyDescent="0.2">
      <c r="A44" s="1" t="s">
        <v>28</v>
      </c>
      <c r="B44" s="1" t="s">
        <v>46</v>
      </c>
      <c r="C44" s="1" t="s">
        <v>155</v>
      </c>
      <c r="D44" s="2">
        <v>233</v>
      </c>
      <c r="E44" s="2">
        <v>467</v>
      </c>
      <c r="F44" s="2">
        <f t="shared" si="0"/>
        <v>700</v>
      </c>
      <c r="G44" s="3">
        <f t="shared" si="1"/>
        <v>0.33285714285714285</v>
      </c>
      <c r="H44" s="3">
        <f t="shared" si="2"/>
        <v>0.66714285714285715</v>
      </c>
      <c r="I44" s="1" t="s">
        <v>129</v>
      </c>
    </row>
    <row r="45" spans="1:9" x14ac:dyDescent="0.2">
      <c r="A45" s="1" t="s">
        <v>28</v>
      </c>
      <c r="B45" s="1" t="s">
        <v>46</v>
      </c>
      <c r="C45" s="1" t="s">
        <v>156</v>
      </c>
      <c r="D45" s="2">
        <v>372</v>
      </c>
      <c r="E45" s="2">
        <v>598</v>
      </c>
      <c r="F45" s="2">
        <f t="shared" si="0"/>
        <v>970</v>
      </c>
      <c r="G45" s="3">
        <f t="shared" si="1"/>
        <v>0.38350515463917528</v>
      </c>
      <c r="H45" s="3">
        <f t="shared" si="2"/>
        <v>0.61649484536082477</v>
      </c>
      <c r="I45" s="1" t="s">
        <v>129</v>
      </c>
    </row>
    <row r="46" spans="1:9" x14ac:dyDescent="0.2">
      <c r="A46" s="1" t="s">
        <v>28</v>
      </c>
      <c r="B46" s="1" t="s">
        <v>46</v>
      </c>
      <c r="C46" s="1" t="s">
        <v>157</v>
      </c>
      <c r="D46" s="2">
        <v>110</v>
      </c>
      <c r="E46" s="2">
        <v>212</v>
      </c>
      <c r="F46" s="2">
        <f t="shared" si="0"/>
        <v>322</v>
      </c>
      <c r="G46" s="3">
        <f t="shared" si="1"/>
        <v>0.34161490683229812</v>
      </c>
      <c r="H46" s="3">
        <f t="shared" si="2"/>
        <v>0.65838509316770188</v>
      </c>
      <c r="I46" s="1" t="s">
        <v>129</v>
      </c>
    </row>
    <row r="47" spans="1:9" x14ac:dyDescent="0.2">
      <c r="A47" s="1" t="s">
        <v>28</v>
      </c>
      <c r="B47" s="1" t="s">
        <v>47</v>
      </c>
      <c r="C47" s="1" t="s">
        <v>47</v>
      </c>
      <c r="D47" s="2">
        <v>58</v>
      </c>
      <c r="E47" s="2">
        <v>127</v>
      </c>
      <c r="F47" s="2">
        <f t="shared" si="0"/>
        <v>185</v>
      </c>
      <c r="G47" s="3">
        <f t="shared" si="1"/>
        <v>0.31351351351351353</v>
      </c>
      <c r="H47" s="3">
        <f t="shared" si="2"/>
        <v>0.68648648648648647</v>
      </c>
      <c r="I47" s="1" t="s">
        <v>129</v>
      </c>
    </row>
    <row r="48" spans="1:9" x14ac:dyDescent="0.2">
      <c r="A48" s="1" t="s">
        <v>28</v>
      </c>
      <c r="B48" s="1" t="s">
        <v>48</v>
      </c>
      <c r="C48" s="1" t="s">
        <v>158</v>
      </c>
      <c r="D48" s="2">
        <v>336</v>
      </c>
      <c r="E48" s="2">
        <v>527</v>
      </c>
      <c r="F48" s="2">
        <f t="shared" si="0"/>
        <v>863</v>
      </c>
      <c r="G48" s="3">
        <f t="shared" si="1"/>
        <v>0.38933951332560834</v>
      </c>
      <c r="H48" s="3">
        <f t="shared" si="2"/>
        <v>0.61066048667439166</v>
      </c>
      <c r="I48" s="1" t="s">
        <v>129</v>
      </c>
    </row>
    <row r="49" spans="1:9" x14ac:dyDescent="0.2">
      <c r="A49" s="1" t="s">
        <v>28</v>
      </c>
      <c r="B49" s="1" t="s">
        <v>48</v>
      </c>
      <c r="C49" s="1" t="s">
        <v>159</v>
      </c>
      <c r="D49" s="2">
        <v>239</v>
      </c>
      <c r="E49" s="2">
        <v>405</v>
      </c>
      <c r="F49" s="2">
        <f t="shared" si="0"/>
        <v>644</v>
      </c>
      <c r="G49" s="3">
        <f t="shared" si="1"/>
        <v>0.37111801242236025</v>
      </c>
      <c r="H49" s="3">
        <f t="shared" si="2"/>
        <v>0.6288819875776398</v>
      </c>
      <c r="I49" s="1" t="s">
        <v>129</v>
      </c>
    </row>
    <row r="50" spans="1:9" x14ac:dyDescent="0.2">
      <c r="A50" s="1" t="s">
        <v>28</v>
      </c>
      <c r="B50" s="1" t="s">
        <v>48</v>
      </c>
      <c r="C50" s="1" t="s">
        <v>160</v>
      </c>
      <c r="D50" s="2">
        <v>368</v>
      </c>
      <c r="E50" s="2">
        <v>617</v>
      </c>
      <c r="F50" s="2">
        <f t="shared" si="0"/>
        <v>985</v>
      </c>
      <c r="G50" s="3">
        <f t="shared" si="1"/>
        <v>0.37360406091370557</v>
      </c>
      <c r="H50" s="3">
        <f t="shared" si="2"/>
        <v>0.62639593908629443</v>
      </c>
      <c r="I50" s="1" t="s">
        <v>129</v>
      </c>
    </row>
    <row r="51" spans="1:9" x14ac:dyDescent="0.2">
      <c r="A51" s="1" t="s">
        <v>28</v>
      </c>
      <c r="B51" s="1" t="s">
        <v>48</v>
      </c>
      <c r="C51" s="1" t="s">
        <v>161</v>
      </c>
      <c r="D51" s="2">
        <v>356</v>
      </c>
      <c r="E51" s="2">
        <v>718</v>
      </c>
      <c r="F51" s="2">
        <f t="shared" si="0"/>
        <v>1074</v>
      </c>
      <c r="G51" s="3">
        <f t="shared" si="1"/>
        <v>0.33147113594040967</v>
      </c>
      <c r="H51" s="3">
        <f t="shared" si="2"/>
        <v>0.66852886405959033</v>
      </c>
      <c r="I51" s="1" t="s">
        <v>129</v>
      </c>
    </row>
    <row r="52" spans="1:9" x14ac:dyDescent="0.2">
      <c r="A52" s="1" t="s">
        <v>28</v>
      </c>
      <c r="B52" s="1" t="s">
        <v>48</v>
      </c>
      <c r="C52" s="1" t="s">
        <v>162</v>
      </c>
      <c r="D52" s="2">
        <v>335</v>
      </c>
      <c r="E52" s="2">
        <v>571</v>
      </c>
      <c r="F52" s="2">
        <f t="shared" si="0"/>
        <v>906</v>
      </c>
      <c r="G52" s="3">
        <f t="shared" si="1"/>
        <v>0.36975717439293598</v>
      </c>
      <c r="H52" s="3">
        <f t="shared" si="2"/>
        <v>0.63024282560706402</v>
      </c>
      <c r="I52" s="1" t="s">
        <v>129</v>
      </c>
    </row>
    <row r="53" spans="1:9" x14ac:dyDescent="0.2">
      <c r="A53" s="1" t="s">
        <v>28</v>
      </c>
      <c r="B53" s="1" t="s">
        <v>49</v>
      </c>
      <c r="C53" s="1" t="s">
        <v>163</v>
      </c>
      <c r="D53" s="2">
        <v>137</v>
      </c>
      <c r="E53" s="2">
        <v>164</v>
      </c>
      <c r="F53" s="2">
        <f t="shared" si="0"/>
        <v>301</v>
      </c>
      <c r="G53" s="3">
        <f t="shared" si="1"/>
        <v>0.45514950166112955</v>
      </c>
      <c r="H53" s="3">
        <f t="shared" si="2"/>
        <v>0.54485049833887045</v>
      </c>
      <c r="I53" s="1" t="s">
        <v>129</v>
      </c>
    </row>
    <row r="54" spans="1:9" x14ac:dyDescent="0.2">
      <c r="A54" s="1" t="s">
        <v>28</v>
      </c>
      <c r="B54" s="1" t="s">
        <v>49</v>
      </c>
      <c r="C54" s="1" t="s">
        <v>164</v>
      </c>
      <c r="D54" s="2">
        <v>149</v>
      </c>
      <c r="E54" s="2">
        <v>167</v>
      </c>
      <c r="F54" s="2">
        <f t="shared" si="0"/>
        <v>316</v>
      </c>
      <c r="G54" s="3">
        <f t="shared" si="1"/>
        <v>0.47151898734177217</v>
      </c>
      <c r="H54" s="3">
        <f t="shared" si="2"/>
        <v>0.52848101265822789</v>
      </c>
      <c r="I54" s="1" t="s">
        <v>129</v>
      </c>
    </row>
    <row r="55" spans="1:9" x14ac:dyDescent="0.2">
      <c r="A55" s="1" t="s">
        <v>28</v>
      </c>
      <c r="B55" s="1" t="s">
        <v>49</v>
      </c>
      <c r="C55" s="1" t="s">
        <v>165</v>
      </c>
      <c r="D55" s="2">
        <v>93</v>
      </c>
      <c r="E55" s="2">
        <v>167</v>
      </c>
      <c r="F55" s="2">
        <f t="shared" si="0"/>
        <v>260</v>
      </c>
      <c r="G55" s="3">
        <f t="shared" si="1"/>
        <v>0.3576923076923077</v>
      </c>
      <c r="H55" s="3">
        <f t="shared" si="2"/>
        <v>0.64230769230769236</v>
      </c>
      <c r="I55" s="1" t="s">
        <v>129</v>
      </c>
    </row>
    <row r="56" spans="1:9" x14ac:dyDescent="0.2">
      <c r="A56" s="1" t="s">
        <v>28</v>
      </c>
      <c r="B56" s="1" t="s">
        <v>49</v>
      </c>
      <c r="C56" s="1" t="s">
        <v>166</v>
      </c>
      <c r="D56" s="2">
        <v>169</v>
      </c>
      <c r="E56" s="2">
        <v>248</v>
      </c>
      <c r="F56" s="2">
        <f t="shared" si="0"/>
        <v>417</v>
      </c>
      <c r="G56" s="3">
        <f t="shared" si="1"/>
        <v>0.40527577937649878</v>
      </c>
      <c r="H56" s="3">
        <f t="shared" si="2"/>
        <v>0.59472422062350117</v>
      </c>
      <c r="I56" s="1" t="s">
        <v>129</v>
      </c>
    </row>
    <row r="57" spans="1:9" x14ac:dyDescent="0.2">
      <c r="A57" s="1" t="s">
        <v>28</v>
      </c>
      <c r="B57" s="1" t="s">
        <v>50</v>
      </c>
      <c r="C57" s="1" t="s">
        <v>167</v>
      </c>
      <c r="D57" s="2">
        <v>251</v>
      </c>
      <c r="E57" s="2">
        <v>526</v>
      </c>
      <c r="F57" s="2">
        <f t="shared" si="0"/>
        <v>777</v>
      </c>
      <c r="G57" s="3">
        <f t="shared" si="1"/>
        <v>0.32303732303732302</v>
      </c>
      <c r="H57" s="3">
        <f t="shared" si="2"/>
        <v>0.67696267696267698</v>
      </c>
      <c r="I57" s="1" t="s">
        <v>129</v>
      </c>
    </row>
    <row r="58" spans="1:9" x14ac:dyDescent="0.2">
      <c r="A58" s="1" t="s">
        <v>28</v>
      </c>
      <c r="B58" s="1" t="s">
        <v>50</v>
      </c>
      <c r="C58" s="1" t="s">
        <v>168</v>
      </c>
      <c r="D58" s="2">
        <v>217</v>
      </c>
      <c r="E58" s="2">
        <v>555</v>
      </c>
      <c r="F58" s="2">
        <f t="shared" si="0"/>
        <v>772</v>
      </c>
      <c r="G58" s="3">
        <f t="shared" si="1"/>
        <v>0.2810880829015544</v>
      </c>
      <c r="H58" s="3">
        <f t="shared" si="2"/>
        <v>0.7189119170984456</v>
      </c>
      <c r="I58" s="1" t="s">
        <v>129</v>
      </c>
    </row>
    <row r="59" spans="1:9" x14ac:dyDescent="0.2">
      <c r="A59" s="1" t="s">
        <v>28</v>
      </c>
      <c r="B59" s="1" t="s">
        <v>50</v>
      </c>
      <c r="C59" s="1" t="s">
        <v>169</v>
      </c>
      <c r="D59" s="2">
        <v>210</v>
      </c>
      <c r="E59" s="2">
        <v>499</v>
      </c>
      <c r="F59" s="2">
        <f t="shared" si="0"/>
        <v>709</v>
      </c>
      <c r="G59" s="3">
        <f t="shared" si="1"/>
        <v>0.29619181946403383</v>
      </c>
      <c r="H59" s="3">
        <f t="shared" si="2"/>
        <v>0.70380818053596617</v>
      </c>
      <c r="I59" s="1" t="s">
        <v>129</v>
      </c>
    </row>
    <row r="60" spans="1:9" x14ac:dyDescent="0.2">
      <c r="A60" s="1" t="s">
        <v>28</v>
      </c>
      <c r="B60" s="1" t="s">
        <v>51</v>
      </c>
      <c r="C60" s="1" t="s">
        <v>170</v>
      </c>
      <c r="D60" s="2">
        <v>189</v>
      </c>
      <c r="E60" s="2">
        <v>412</v>
      </c>
      <c r="F60" s="2">
        <f t="shared" si="0"/>
        <v>601</v>
      </c>
      <c r="G60" s="3">
        <f t="shared" si="1"/>
        <v>0.31447587354409318</v>
      </c>
      <c r="H60" s="3">
        <f t="shared" si="2"/>
        <v>0.68552412645590677</v>
      </c>
      <c r="I60" s="1" t="s">
        <v>129</v>
      </c>
    </row>
    <row r="61" spans="1:9" x14ac:dyDescent="0.2">
      <c r="A61" s="1" t="s">
        <v>28</v>
      </c>
      <c r="B61" s="1" t="s">
        <v>51</v>
      </c>
      <c r="C61" s="1" t="s">
        <v>171</v>
      </c>
      <c r="D61" s="2">
        <v>89</v>
      </c>
      <c r="E61" s="2">
        <v>224</v>
      </c>
      <c r="F61" s="2">
        <f t="shared" si="0"/>
        <v>313</v>
      </c>
      <c r="G61" s="3">
        <f t="shared" si="1"/>
        <v>0.28434504792332266</v>
      </c>
      <c r="H61" s="3">
        <f t="shared" si="2"/>
        <v>0.71565495207667729</v>
      </c>
      <c r="I61" s="1" t="s">
        <v>129</v>
      </c>
    </row>
    <row r="62" spans="1:9" x14ac:dyDescent="0.2">
      <c r="A62" s="1" t="s">
        <v>28</v>
      </c>
      <c r="B62" s="1" t="s">
        <v>52</v>
      </c>
      <c r="C62" s="1" t="s">
        <v>52</v>
      </c>
      <c r="D62" s="2">
        <v>40</v>
      </c>
      <c r="E62" s="2">
        <v>67</v>
      </c>
      <c r="F62" s="2">
        <f t="shared" si="0"/>
        <v>107</v>
      </c>
      <c r="G62" s="3">
        <f t="shared" si="1"/>
        <v>0.37383177570093457</v>
      </c>
      <c r="H62" s="3">
        <f t="shared" si="2"/>
        <v>0.62616822429906538</v>
      </c>
      <c r="I62" s="1" t="s">
        <v>129</v>
      </c>
    </row>
    <row r="63" spans="1:9" x14ac:dyDescent="0.2">
      <c r="A63" s="1" t="s">
        <v>53</v>
      </c>
      <c r="B63" s="1" t="s">
        <v>54</v>
      </c>
      <c r="C63" s="1" t="s">
        <v>54</v>
      </c>
      <c r="D63" s="2">
        <v>481</v>
      </c>
      <c r="E63" s="2">
        <v>580</v>
      </c>
      <c r="F63" s="2">
        <f t="shared" si="0"/>
        <v>1061</v>
      </c>
      <c r="G63" s="3">
        <f t="shared" si="1"/>
        <v>0.45334590009425069</v>
      </c>
      <c r="H63" s="3">
        <f t="shared" si="2"/>
        <v>0.54665409990574931</v>
      </c>
      <c r="I63" s="1" t="s">
        <v>129</v>
      </c>
    </row>
    <row r="64" spans="1:9" x14ac:dyDescent="0.2">
      <c r="A64" s="1" t="s">
        <v>53</v>
      </c>
      <c r="B64" s="1" t="s">
        <v>55</v>
      </c>
      <c r="C64" s="1" t="s">
        <v>172</v>
      </c>
      <c r="D64" s="2">
        <v>229</v>
      </c>
      <c r="E64" s="2">
        <v>102</v>
      </c>
      <c r="F64" s="2">
        <f t="shared" si="0"/>
        <v>331</v>
      </c>
      <c r="G64" s="3">
        <f t="shared" si="1"/>
        <v>0.69184290030211482</v>
      </c>
      <c r="H64" s="3">
        <f t="shared" si="2"/>
        <v>0.30815709969788518</v>
      </c>
      <c r="I64" s="1" t="s">
        <v>129</v>
      </c>
    </row>
    <row r="65" spans="1:9" x14ac:dyDescent="0.2">
      <c r="A65" s="1" t="s">
        <v>53</v>
      </c>
      <c r="B65" s="1" t="s">
        <v>55</v>
      </c>
      <c r="C65" s="1" t="s">
        <v>173</v>
      </c>
      <c r="D65" s="2">
        <v>147</v>
      </c>
      <c r="E65" s="2">
        <v>78</v>
      </c>
      <c r="F65" s="2">
        <f t="shared" si="0"/>
        <v>225</v>
      </c>
      <c r="G65" s="3">
        <f t="shared" si="1"/>
        <v>0.65333333333333332</v>
      </c>
      <c r="H65" s="3">
        <f t="shared" si="2"/>
        <v>0.34666666666666668</v>
      </c>
      <c r="I65" s="1" t="s">
        <v>129</v>
      </c>
    </row>
    <row r="66" spans="1:9" x14ac:dyDescent="0.2">
      <c r="A66" s="1" t="s">
        <v>53</v>
      </c>
      <c r="B66" s="1" t="s">
        <v>55</v>
      </c>
      <c r="C66" s="1" t="s">
        <v>174</v>
      </c>
      <c r="D66" s="2">
        <v>173</v>
      </c>
      <c r="E66" s="2">
        <v>81</v>
      </c>
      <c r="F66" s="2">
        <f t="shared" si="0"/>
        <v>254</v>
      </c>
      <c r="G66" s="3">
        <f t="shared" si="1"/>
        <v>0.68110236220472442</v>
      </c>
      <c r="H66" s="3">
        <f t="shared" si="2"/>
        <v>0.31889763779527558</v>
      </c>
      <c r="I66" s="1" t="s">
        <v>129</v>
      </c>
    </row>
    <row r="67" spans="1:9" x14ac:dyDescent="0.2">
      <c r="A67" s="1" t="s">
        <v>53</v>
      </c>
      <c r="B67" s="1" t="s">
        <v>55</v>
      </c>
      <c r="C67" s="1" t="s">
        <v>175</v>
      </c>
      <c r="D67" s="2">
        <v>153</v>
      </c>
      <c r="E67" s="2">
        <v>78</v>
      </c>
      <c r="F67" s="2">
        <f t="shared" si="0"/>
        <v>231</v>
      </c>
      <c r="G67" s="3">
        <f t="shared" si="1"/>
        <v>0.66233766233766234</v>
      </c>
      <c r="H67" s="3">
        <f t="shared" si="2"/>
        <v>0.33766233766233766</v>
      </c>
      <c r="I67" s="1" t="s">
        <v>129</v>
      </c>
    </row>
    <row r="68" spans="1:9" x14ac:dyDescent="0.2">
      <c r="A68" s="1" t="s">
        <v>53</v>
      </c>
      <c r="B68" s="1" t="s">
        <v>55</v>
      </c>
      <c r="C68" s="1" t="s">
        <v>176</v>
      </c>
      <c r="D68" s="2">
        <v>175</v>
      </c>
      <c r="E68" s="2">
        <v>75</v>
      </c>
      <c r="F68" s="2">
        <f t="shared" si="0"/>
        <v>250</v>
      </c>
      <c r="G68" s="3">
        <f t="shared" si="1"/>
        <v>0.7</v>
      </c>
      <c r="H68" s="3">
        <f t="shared" si="2"/>
        <v>0.3</v>
      </c>
      <c r="I68" s="1" t="s">
        <v>129</v>
      </c>
    </row>
    <row r="69" spans="1:9" x14ac:dyDescent="0.2">
      <c r="A69" s="1" t="s">
        <v>53</v>
      </c>
      <c r="B69" s="1" t="s">
        <v>55</v>
      </c>
      <c r="C69" s="1" t="s">
        <v>177</v>
      </c>
      <c r="D69" s="2">
        <v>241</v>
      </c>
      <c r="E69" s="2">
        <v>111</v>
      </c>
      <c r="F69" s="2">
        <f t="shared" si="0"/>
        <v>352</v>
      </c>
      <c r="G69" s="3">
        <f t="shared" si="1"/>
        <v>0.68465909090909094</v>
      </c>
      <c r="H69" s="3">
        <f t="shared" si="2"/>
        <v>0.31534090909090912</v>
      </c>
      <c r="I69" s="1" t="s">
        <v>129</v>
      </c>
    </row>
    <row r="70" spans="1:9" x14ac:dyDescent="0.2">
      <c r="A70" s="1" t="s">
        <v>53</v>
      </c>
      <c r="B70" s="1" t="s">
        <v>55</v>
      </c>
      <c r="C70" s="1" t="s">
        <v>178</v>
      </c>
      <c r="D70" s="2">
        <v>648</v>
      </c>
      <c r="E70" s="2">
        <v>233</v>
      </c>
      <c r="F70" s="2">
        <f t="shared" si="0"/>
        <v>881</v>
      </c>
      <c r="G70" s="3">
        <f t="shared" si="1"/>
        <v>0.73552780930760497</v>
      </c>
      <c r="H70" s="3">
        <f t="shared" si="2"/>
        <v>0.26447219069239503</v>
      </c>
      <c r="I70" s="1" t="s">
        <v>129</v>
      </c>
    </row>
    <row r="71" spans="1:9" x14ac:dyDescent="0.2">
      <c r="A71" s="1" t="s">
        <v>53</v>
      </c>
      <c r="B71" s="1" t="s">
        <v>55</v>
      </c>
      <c r="C71" s="1" t="s">
        <v>179</v>
      </c>
      <c r="D71" s="2">
        <v>253</v>
      </c>
      <c r="E71" s="2">
        <v>134</v>
      </c>
      <c r="F71" s="2">
        <f t="shared" si="0"/>
        <v>387</v>
      </c>
      <c r="G71" s="3">
        <f t="shared" si="1"/>
        <v>0.65374677002583981</v>
      </c>
      <c r="H71" s="3">
        <f t="shared" si="2"/>
        <v>0.34625322997416019</v>
      </c>
      <c r="I71" s="1" t="s">
        <v>129</v>
      </c>
    </row>
    <row r="72" spans="1:9" x14ac:dyDescent="0.2">
      <c r="A72" s="1" t="s">
        <v>53</v>
      </c>
      <c r="B72" s="1" t="s">
        <v>55</v>
      </c>
      <c r="C72" s="1" t="s">
        <v>180</v>
      </c>
      <c r="D72" s="2">
        <v>416</v>
      </c>
      <c r="E72" s="2">
        <v>263</v>
      </c>
      <c r="F72" s="2">
        <f t="shared" si="0"/>
        <v>679</v>
      </c>
      <c r="G72" s="3">
        <f t="shared" si="1"/>
        <v>0.61266568483063333</v>
      </c>
      <c r="H72" s="3">
        <f t="shared" si="2"/>
        <v>0.38733431516936673</v>
      </c>
      <c r="I72" s="1" t="s">
        <v>129</v>
      </c>
    </row>
    <row r="73" spans="1:9" x14ac:dyDescent="0.2">
      <c r="A73" s="1" t="s">
        <v>53</v>
      </c>
      <c r="B73" s="1" t="s">
        <v>55</v>
      </c>
      <c r="C73" s="1" t="s">
        <v>181</v>
      </c>
      <c r="D73" s="2">
        <v>329</v>
      </c>
      <c r="E73" s="2">
        <v>195</v>
      </c>
      <c r="F73" s="2">
        <f t="shared" si="0"/>
        <v>524</v>
      </c>
      <c r="G73" s="3">
        <f t="shared" si="1"/>
        <v>0.62786259541984735</v>
      </c>
      <c r="H73" s="3">
        <f t="shared" si="2"/>
        <v>0.37213740458015265</v>
      </c>
      <c r="I73" s="1" t="s">
        <v>129</v>
      </c>
    </row>
    <row r="74" spans="1:9" x14ac:dyDescent="0.2">
      <c r="A74" s="1" t="s">
        <v>53</v>
      </c>
      <c r="B74" s="1" t="s">
        <v>55</v>
      </c>
      <c r="C74" s="1" t="s">
        <v>182</v>
      </c>
      <c r="D74" s="2">
        <v>252</v>
      </c>
      <c r="E74" s="2">
        <v>122</v>
      </c>
      <c r="F74" s="2">
        <f t="shared" si="0"/>
        <v>374</v>
      </c>
      <c r="G74" s="3">
        <f t="shared" si="1"/>
        <v>0.6737967914438503</v>
      </c>
      <c r="H74" s="3">
        <f t="shared" si="2"/>
        <v>0.32620320855614976</v>
      </c>
      <c r="I74" s="1" t="s">
        <v>129</v>
      </c>
    </row>
    <row r="75" spans="1:9" x14ac:dyDescent="0.2">
      <c r="A75" s="1" t="s">
        <v>53</v>
      </c>
      <c r="B75" s="1" t="s">
        <v>55</v>
      </c>
      <c r="C75" s="1" t="s">
        <v>183</v>
      </c>
      <c r="D75" s="2">
        <v>320</v>
      </c>
      <c r="E75" s="2">
        <v>178</v>
      </c>
      <c r="F75" s="2">
        <f t="shared" si="0"/>
        <v>498</v>
      </c>
      <c r="G75" s="3">
        <f t="shared" si="1"/>
        <v>0.64257028112449799</v>
      </c>
      <c r="H75" s="3">
        <f t="shared" si="2"/>
        <v>0.35742971887550201</v>
      </c>
      <c r="I75" s="1" t="s">
        <v>129</v>
      </c>
    </row>
    <row r="76" spans="1:9" x14ac:dyDescent="0.2">
      <c r="A76" s="1" t="s">
        <v>53</v>
      </c>
      <c r="B76" s="1" t="s">
        <v>55</v>
      </c>
      <c r="C76" s="1" t="s">
        <v>184</v>
      </c>
      <c r="D76" s="2">
        <v>311</v>
      </c>
      <c r="E76" s="2">
        <v>177</v>
      </c>
      <c r="F76" s="2">
        <f t="shared" ref="F76:F139" si="3">IF(COUNTA(D76:E76)=0,"",SUM(D76:E76))</f>
        <v>488</v>
      </c>
      <c r="G76" s="3">
        <f t="shared" ref="G76:G139" si="4">IF(OR(F76="",F76=0),"",D76/F76)</f>
        <v>0.63729508196721307</v>
      </c>
      <c r="H76" s="3">
        <f t="shared" ref="H76:H139" si="5">IF(OR(F76="",F76=0),"",E76/F76)</f>
        <v>0.36270491803278687</v>
      </c>
      <c r="I76" s="1" t="s">
        <v>129</v>
      </c>
    </row>
    <row r="77" spans="1:9" x14ac:dyDescent="0.2">
      <c r="A77" s="1" t="s">
        <v>53</v>
      </c>
      <c r="B77" s="1" t="s">
        <v>55</v>
      </c>
      <c r="C77" s="1" t="s">
        <v>185</v>
      </c>
      <c r="D77" s="2">
        <v>323</v>
      </c>
      <c r="E77" s="2">
        <v>242</v>
      </c>
      <c r="F77" s="2">
        <f t="shared" si="3"/>
        <v>565</v>
      </c>
      <c r="G77" s="3">
        <f t="shared" si="4"/>
        <v>0.57168141592920352</v>
      </c>
      <c r="H77" s="3">
        <f t="shared" si="5"/>
        <v>0.42831858407079648</v>
      </c>
      <c r="I77" s="1" t="s">
        <v>129</v>
      </c>
    </row>
    <row r="78" spans="1:9" x14ac:dyDescent="0.2">
      <c r="A78" s="1" t="s">
        <v>53</v>
      </c>
      <c r="B78" s="1" t="s">
        <v>55</v>
      </c>
      <c r="C78" s="1" t="s">
        <v>186</v>
      </c>
      <c r="D78" s="2">
        <v>253</v>
      </c>
      <c r="E78" s="2">
        <v>161</v>
      </c>
      <c r="F78" s="2">
        <f t="shared" si="3"/>
        <v>414</v>
      </c>
      <c r="G78" s="3">
        <f t="shared" si="4"/>
        <v>0.61111111111111116</v>
      </c>
      <c r="H78" s="3">
        <f t="shared" si="5"/>
        <v>0.3888888888888889</v>
      </c>
      <c r="I78" s="1" t="s">
        <v>129</v>
      </c>
    </row>
    <row r="79" spans="1:9" x14ac:dyDescent="0.2">
      <c r="A79" s="1" t="s">
        <v>53</v>
      </c>
      <c r="B79" s="1" t="s">
        <v>55</v>
      </c>
      <c r="C79" s="1" t="s">
        <v>187</v>
      </c>
      <c r="D79" s="2">
        <v>269</v>
      </c>
      <c r="E79" s="2">
        <v>131</v>
      </c>
      <c r="F79" s="2">
        <f t="shared" si="3"/>
        <v>400</v>
      </c>
      <c r="G79" s="3">
        <f t="shared" si="4"/>
        <v>0.67249999999999999</v>
      </c>
      <c r="H79" s="3">
        <f t="shared" si="5"/>
        <v>0.32750000000000001</v>
      </c>
      <c r="I79" s="1" t="s">
        <v>129</v>
      </c>
    </row>
    <row r="80" spans="1:9" x14ac:dyDescent="0.2">
      <c r="A80" s="1" t="s">
        <v>53</v>
      </c>
      <c r="B80" s="1" t="s">
        <v>55</v>
      </c>
      <c r="C80" s="1" t="s">
        <v>188</v>
      </c>
      <c r="D80" s="2">
        <v>182</v>
      </c>
      <c r="E80" s="2">
        <v>106</v>
      </c>
      <c r="F80" s="2">
        <f t="shared" si="3"/>
        <v>288</v>
      </c>
      <c r="G80" s="3">
        <f t="shared" si="4"/>
        <v>0.63194444444444442</v>
      </c>
      <c r="H80" s="3">
        <f t="shared" si="5"/>
        <v>0.36805555555555558</v>
      </c>
      <c r="I80" s="1" t="s">
        <v>129</v>
      </c>
    </row>
    <row r="81" spans="1:9" x14ac:dyDescent="0.2">
      <c r="A81" s="1" t="s">
        <v>53</v>
      </c>
      <c r="B81" s="1" t="s">
        <v>55</v>
      </c>
      <c r="C81" s="1" t="s">
        <v>189</v>
      </c>
      <c r="D81" s="2">
        <v>261</v>
      </c>
      <c r="E81" s="2">
        <v>138</v>
      </c>
      <c r="F81" s="2">
        <f t="shared" si="3"/>
        <v>399</v>
      </c>
      <c r="G81" s="3">
        <f t="shared" si="4"/>
        <v>0.65413533834586468</v>
      </c>
      <c r="H81" s="3">
        <f t="shared" si="5"/>
        <v>0.34586466165413532</v>
      </c>
      <c r="I81" s="1" t="s">
        <v>129</v>
      </c>
    </row>
    <row r="82" spans="1:9" x14ac:dyDescent="0.2">
      <c r="A82" s="1" t="s">
        <v>53</v>
      </c>
      <c r="B82" s="1" t="s">
        <v>55</v>
      </c>
      <c r="C82" s="1" t="s">
        <v>190</v>
      </c>
      <c r="D82" s="2">
        <v>201</v>
      </c>
      <c r="E82" s="2">
        <v>103</v>
      </c>
      <c r="F82" s="2">
        <f t="shared" si="3"/>
        <v>304</v>
      </c>
      <c r="G82" s="3">
        <f t="shared" si="4"/>
        <v>0.66118421052631582</v>
      </c>
      <c r="H82" s="3">
        <f t="shared" si="5"/>
        <v>0.33881578947368424</v>
      </c>
      <c r="I82" s="1" t="s">
        <v>129</v>
      </c>
    </row>
    <row r="83" spans="1:9" x14ac:dyDescent="0.2">
      <c r="A83" s="1" t="s">
        <v>53</v>
      </c>
      <c r="B83" s="1" t="s">
        <v>55</v>
      </c>
      <c r="C83" s="1" t="s">
        <v>191</v>
      </c>
      <c r="D83" s="2">
        <v>364</v>
      </c>
      <c r="E83" s="2">
        <v>205</v>
      </c>
      <c r="F83" s="2">
        <f t="shared" si="3"/>
        <v>569</v>
      </c>
      <c r="G83" s="3">
        <f t="shared" si="4"/>
        <v>0.63971880492091393</v>
      </c>
      <c r="H83" s="3">
        <f t="shared" si="5"/>
        <v>0.36028119507908613</v>
      </c>
      <c r="I83" s="1" t="s">
        <v>129</v>
      </c>
    </row>
    <row r="84" spans="1:9" x14ac:dyDescent="0.2">
      <c r="A84" s="1" t="s">
        <v>53</v>
      </c>
      <c r="B84" s="1" t="s">
        <v>55</v>
      </c>
      <c r="C84" s="1" t="s">
        <v>192</v>
      </c>
      <c r="D84" s="2">
        <v>370</v>
      </c>
      <c r="E84" s="2">
        <v>206</v>
      </c>
      <c r="F84" s="2">
        <f t="shared" si="3"/>
        <v>576</v>
      </c>
      <c r="G84" s="3">
        <f t="shared" si="4"/>
        <v>0.64236111111111116</v>
      </c>
      <c r="H84" s="3">
        <f t="shared" si="5"/>
        <v>0.3576388888888889</v>
      </c>
      <c r="I84" s="1" t="s">
        <v>129</v>
      </c>
    </row>
    <row r="85" spans="1:9" x14ac:dyDescent="0.2">
      <c r="A85" s="1" t="s">
        <v>53</v>
      </c>
      <c r="B85" s="1" t="s">
        <v>55</v>
      </c>
      <c r="C85" s="1" t="s">
        <v>193</v>
      </c>
      <c r="D85" s="2">
        <v>286</v>
      </c>
      <c r="E85" s="2">
        <v>233</v>
      </c>
      <c r="F85" s="2">
        <f t="shared" si="3"/>
        <v>519</v>
      </c>
      <c r="G85" s="3">
        <f t="shared" si="4"/>
        <v>0.55105973025048172</v>
      </c>
      <c r="H85" s="3">
        <f t="shared" si="5"/>
        <v>0.44894026974951828</v>
      </c>
      <c r="I85" s="1" t="s">
        <v>129</v>
      </c>
    </row>
    <row r="86" spans="1:9" x14ac:dyDescent="0.2">
      <c r="A86" s="1" t="s">
        <v>53</v>
      </c>
      <c r="B86" s="1" t="s">
        <v>55</v>
      </c>
      <c r="C86" s="1" t="s">
        <v>194</v>
      </c>
      <c r="D86" s="2">
        <v>367</v>
      </c>
      <c r="E86" s="2">
        <v>224</v>
      </c>
      <c r="F86" s="2">
        <f t="shared" si="3"/>
        <v>591</v>
      </c>
      <c r="G86" s="3">
        <f t="shared" si="4"/>
        <v>0.62098138747884946</v>
      </c>
      <c r="H86" s="3">
        <f t="shared" si="5"/>
        <v>0.3790186125211506</v>
      </c>
      <c r="I86" s="1" t="s">
        <v>129</v>
      </c>
    </row>
    <row r="87" spans="1:9" x14ac:dyDescent="0.2">
      <c r="A87" s="1" t="s">
        <v>53</v>
      </c>
      <c r="B87" s="1" t="s">
        <v>55</v>
      </c>
      <c r="C87" s="1" t="s">
        <v>195</v>
      </c>
      <c r="D87" s="2">
        <v>428</v>
      </c>
      <c r="E87" s="2">
        <v>270</v>
      </c>
      <c r="F87" s="2">
        <f t="shared" si="3"/>
        <v>698</v>
      </c>
      <c r="G87" s="3">
        <f t="shared" si="4"/>
        <v>0.61318051575931232</v>
      </c>
      <c r="H87" s="3">
        <f t="shared" si="5"/>
        <v>0.38681948424068768</v>
      </c>
      <c r="I87" s="1" t="s">
        <v>129</v>
      </c>
    </row>
    <row r="88" spans="1:9" x14ac:dyDescent="0.2">
      <c r="A88" s="1" t="s">
        <v>53</v>
      </c>
      <c r="B88" s="1" t="s">
        <v>55</v>
      </c>
      <c r="C88" s="1" t="s">
        <v>196</v>
      </c>
      <c r="D88" s="2">
        <v>279</v>
      </c>
      <c r="E88" s="2">
        <v>201</v>
      </c>
      <c r="F88" s="2">
        <f t="shared" si="3"/>
        <v>480</v>
      </c>
      <c r="G88" s="3">
        <f t="shared" si="4"/>
        <v>0.58125000000000004</v>
      </c>
      <c r="H88" s="3">
        <f t="shared" si="5"/>
        <v>0.41875000000000001</v>
      </c>
      <c r="I88" s="1" t="s">
        <v>129</v>
      </c>
    </row>
    <row r="89" spans="1:9" x14ac:dyDescent="0.2">
      <c r="A89" s="1" t="s">
        <v>53</v>
      </c>
      <c r="B89" s="1" t="s">
        <v>55</v>
      </c>
      <c r="C89" s="1" t="s">
        <v>197</v>
      </c>
      <c r="D89" s="2">
        <v>294</v>
      </c>
      <c r="E89" s="2">
        <v>173</v>
      </c>
      <c r="F89" s="2">
        <f t="shared" si="3"/>
        <v>467</v>
      </c>
      <c r="G89" s="3">
        <f t="shared" si="4"/>
        <v>0.62955032119914345</v>
      </c>
      <c r="H89" s="3">
        <f t="shared" si="5"/>
        <v>0.37044967880085655</v>
      </c>
      <c r="I89" s="1" t="s">
        <v>129</v>
      </c>
    </row>
    <row r="90" spans="1:9" x14ac:dyDescent="0.2">
      <c r="A90" s="1" t="s">
        <v>53</v>
      </c>
      <c r="B90" s="1" t="s">
        <v>55</v>
      </c>
      <c r="C90" s="1" t="s">
        <v>198</v>
      </c>
      <c r="D90" s="2">
        <v>506</v>
      </c>
      <c r="E90" s="2">
        <v>346</v>
      </c>
      <c r="F90" s="2">
        <f t="shared" si="3"/>
        <v>852</v>
      </c>
      <c r="G90" s="3">
        <f t="shared" si="4"/>
        <v>0.5938967136150235</v>
      </c>
      <c r="H90" s="3">
        <f t="shared" si="5"/>
        <v>0.4061032863849765</v>
      </c>
      <c r="I90" s="1" t="s">
        <v>129</v>
      </c>
    </row>
    <row r="91" spans="1:9" x14ac:dyDescent="0.2">
      <c r="A91" s="1" t="s">
        <v>53</v>
      </c>
      <c r="B91" s="1" t="s">
        <v>55</v>
      </c>
      <c r="C91" s="1" t="s">
        <v>199</v>
      </c>
      <c r="D91" s="2">
        <v>343</v>
      </c>
      <c r="E91" s="2">
        <v>173</v>
      </c>
      <c r="F91" s="2">
        <f t="shared" si="3"/>
        <v>516</v>
      </c>
      <c r="G91" s="3">
        <f t="shared" si="4"/>
        <v>0.6647286821705426</v>
      </c>
      <c r="H91" s="3">
        <f t="shared" si="5"/>
        <v>0.33527131782945735</v>
      </c>
      <c r="I91" s="1" t="s">
        <v>129</v>
      </c>
    </row>
    <row r="92" spans="1:9" x14ac:dyDescent="0.2">
      <c r="A92" s="1" t="s">
        <v>53</v>
      </c>
      <c r="B92" s="1" t="s">
        <v>55</v>
      </c>
      <c r="C92" s="1" t="s">
        <v>200</v>
      </c>
      <c r="D92" s="2">
        <v>380</v>
      </c>
      <c r="E92" s="2">
        <v>211</v>
      </c>
      <c r="F92" s="2">
        <f t="shared" si="3"/>
        <v>591</v>
      </c>
      <c r="G92" s="3">
        <f t="shared" si="4"/>
        <v>0.64297800338409472</v>
      </c>
      <c r="H92" s="3">
        <f t="shared" si="5"/>
        <v>0.35702199661590522</v>
      </c>
      <c r="I92" s="1" t="s">
        <v>129</v>
      </c>
    </row>
    <row r="93" spans="1:9" x14ac:dyDescent="0.2">
      <c r="A93" s="1" t="s">
        <v>53</v>
      </c>
      <c r="B93" s="1" t="s">
        <v>55</v>
      </c>
      <c r="C93" s="1" t="s">
        <v>201</v>
      </c>
      <c r="D93" s="2">
        <v>412</v>
      </c>
      <c r="E93" s="2">
        <v>234</v>
      </c>
      <c r="F93" s="2">
        <f t="shared" si="3"/>
        <v>646</v>
      </c>
      <c r="G93" s="3">
        <f t="shared" si="4"/>
        <v>0.63777089783281737</v>
      </c>
      <c r="H93" s="3">
        <f t="shared" si="5"/>
        <v>0.36222910216718268</v>
      </c>
      <c r="I93" s="1" t="s">
        <v>129</v>
      </c>
    </row>
    <row r="94" spans="1:9" x14ac:dyDescent="0.2">
      <c r="A94" s="1" t="s">
        <v>53</v>
      </c>
      <c r="B94" s="1" t="s">
        <v>55</v>
      </c>
      <c r="C94" s="1" t="s">
        <v>202</v>
      </c>
      <c r="D94" s="2">
        <v>328</v>
      </c>
      <c r="E94" s="2">
        <v>170</v>
      </c>
      <c r="F94" s="2">
        <f t="shared" si="3"/>
        <v>498</v>
      </c>
      <c r="G94" s="3">
        <f t="shared" si="4"/>
        <v>0.65863453815261042</v>
      </c>
      <c r="H94" s="3">
        <f t="shared" si="5"/>
        <v>0.34136546184738958</v>
      </c>
      <c r="I94" s="1" t="s">
        <v>203</v>
      </c>
    </row>
    <row r="95" spans="1:9" x14ac:dyDescent="0.2">
      <c r="A95" s="1" t="s">
        <v>53</v>
      </c>
      <c r="B95" s="1" t="s">
        <v>55</v>
      </c>
      <c r="C95" s="1" t="s">
        <v>204</v>
      </c>
      <c r="D95" s="2">
        <v>807</v>
      </c>
      <c r="E95" s="2">
        <v>417</v>
      </c>
      <c r="F95" s="2">
        <f t="shared" si="3"/>
        <v>1224</v>
      </c>
      <c r="G95" s="3">
        <f t="shared" si="4"/>
        <v>0.65931372549019607</v>
      </c>
      <c r="H95" s="3">
        <f t="shared" si="5"/>
        <v>0.34068627450980393</v>
      </c>
      <c r="I95" s="1" t="s">
        <v>203</v>
      </c>
    </row>
    <row r="96" spans="1:9" x14ac:dyDescent="0.2">
      <c r="A96" s="1" t="s">
        <v>53</v>
      </c>
      <c r="B96" s="1" t="s">
        <v>55</v>
      </c>
      <c r="C96" s="1" t="s">
        <v>205</v>
      </c>
      <c r="D96" s="2">
        <v>362</v>
      </c>
      <c r="E96" s="2">
        <v>192</v>
      </c>
      <c r="F96" s="2">
        <f t="shared" si="3"/>
        <v>554</v>
      </c>
      <c r="G96" s="3">
        <f t="shared" si="4"/>
        <v>0.6534296028880866</v>
      </c>
      <c r="H96" s="3">
        <f t="shared" si="5"/>
        <v>0.34657039711191334</v>
      </c>
      <c r="I96" s="1" t="s">
        <v>129</v>
      </c>
    </row>
    <row r="97" spans="1:9" x14ac:dyDescent="0.2">
      <c r="A97" s="1" t="s">
        <v>53</v>
      </c>
      <c r="B97" s="1" t="s">
        <v>55</v>
      </c>
      <c r="C97" s="1" t="s">
        <v>206</v>
      </c>
      <c r="D97" s="2">
        <v>451</v>
      </c>
      <c r="E97" s="2">
        <v>289</v>
      </c>
      <c r="F97" s="2">
        <f t="shared" si="3"/>
        <v>740</v>
      </c>
      <c r="G97" s="3">
        <f t="shared" si="4"/>
        <v>0.60945945945945945</v>
      </c>
      <c r="H97" s="3">
        <f t="shared" si="5"/>
        <v>0.39054054054054055</v>
      </c>
      <c r="I97" s="1" t="s">
        <v>129</v>
      </c>
    </row>
    <row r="98" spans="1:9" x14ac:dyDescent="0.2">
      <c r="A98" s="1" t="s">
        <v>53</v>
      </c>
      <c r="B98" s="1" t="s">
        <v>55</v>
      </c>
      <c r="C98" s="1" t="s">
        <v>207</v>
      </c>
      <c r="D98" s="2">
        <v>13</v>
      </c>
      <c r="E98" s="2">
        <v>7</v>
      </c>
      <c r="F98" s="2">
        <f t="shared" si="3"/>
        <v>20</v>
      </c>
      <c r="G98" s="3">
        <f t="shared" si="4"/>
        <v>0.65</v>
      </c>
      <c r="H98" s="3">
        <f t="shared" si="5"/>
        <v>0.35</v>
      </c>
      <c r="I98" s="1" t="s">
        <v>203</v>
      </c>
    </row>
    <row r="99" spans="1:9" x14ac:dyDescent="0.2">
      <c r="A99" s="1" t="s">
        <v>53</v>
      </c>
      <c r="B99" s="1" t="s">
        <v>55</v>
      </c>
      <c r="C99" s="1" t="s">
        <v>208</v>
      </c>
      <c r="D99" s="2">
        <v>211</v>
      </c>
      <c r="E99" s="2">
        <v>165</v>
      </c>
      <c r="F99" s="2">
        <f t="shared" si="3"/>
        <v>376</v>
      </c>
      <c r="G99" s="3">
        <f t="shared" si="4"/>
        <v>0.56117021276595747</v>
      </c>
      <c r="H99" s="3">
        <f t="shared" si="5"/>
        <v>0.43882978723404253</v>
      </c>
      <c r="I99" s="1" t="s">
        <v>129</v>
      </c>
    </row>
    <row r="100" spans="1:9" x14ac:dyDescent="0.2">
      <c r="A100" s="1" t="s">
        <v>53</v>
      </c>
      <c r="B100" s="1" t="s">
        <v>55</v>
      </c>
      <c r="C100" s="1" t="s">
        <v>209</v>
      </c>
      <c r="D100" s="2">
        <v>375</v>
      </c>
      <c r="E100" s="2">
        <v>212</v>
      </c>
      <c r="F100" s="2">
        <f t="shared" si="3"/>
        <v>587</v>
      </c>
      <c r="G100" s="3">
        <f t="shared" si="4"/>
        <v>0.63884156729131181</v>
      </c>
      <c r="H100" s="3">
        <f t="shared" si="5"/>
        <v>0.36115843270868825</v>
      </c>
      <c r="I100" s="1" t="s">
        <v>129</v>
      </c>
    </row>
    <row r="101" spans="1:9" x14ac:dyDescent="0.2">
      <c r="A101" s="1" t="s">
        <v>53</v>
      </c>
      <c r="B101" s="1" t="s">
        <v>55</v>
      </c>
      <c r="C101" s="1" t="s">
        <v>210</v>
      </c>
      <c r="D101" s="2">
        <v>253</v>
      </c>
      <c r="E101" s="2">
        <v>171</v>
      </c>
      <c r="F101" s="2">
        <f t="shared" si="3"/>
        <v>424</v>
      </c>
      <c r="G101" s="3">
        <f t="shared" si="4"/>
        <v>0.59669811320754718</v>
      </c>
      <c r="H101" s="3">
        <f t="shared" si="5"/>
        <v>0.40330188679245282</v>
      </c>
      <c r="I101" s="1" t="s">
        <v>129</v>
      </c>
    </row>
    <row r="102" spans="1:9" x14ac:dyDescent="0.2">
      <c r="A102" s="1" t="s">
        <v>53</v>
      </c>
      <c r="B102" s="1" t="s">
        <v>55</v>
      </c>
      <c r="C102" s="1" t="s">
        <v>211</v>
      </c>
      <c r="D102" s="2">
        <v>257</v>
      </c>
      <c r="E102" s="2">
        <v>149</v>
      </c>
      <c r="F102" s="2">
        <f t="shared" si="3"/>
        <v>406</v>
      </c>
      <c r="G102" s="3">
        <f t="shared" si="4"/>
        <v>0.63300492610837433</v>
      </c>
      <c r="H102" s="3">
        <f t="shared" si="5"/>
        <v>0.36699507389162561</v>
      </c>
      <c r="I102" s="1" t="s">
        <v>129</v>
      </c>
    </row>
    <row r="103" spans="1:9" x14ac:dyDescent="0.2">
      <c r="A103" s="1" t="s">
        <v>53</v>
      </c>
      <c r="B103" s="1" t="s">
        <v>55</v>
      </c>
      <c r="C103" s="1" t="s">
        <v>212</v>
      </c>
      <c r="D103" s="2">
        <v>374</v>
      </c>
      <c r="E103" s="2">
        <v>238</v>
      </c>
      <c r="F103" s="2">
        <f t="shared" si="3"/>
        <v>612</v>
      </c>
      <c r="G103" s="3">
        <f t="shared" si="4"/>
        <v>0.61111111111111116</v>
      </c>
      <c r="H103" s="3">
        <f t="shared" si="5"/>
        <v>0.3888888888888889</v>
      </c>
      <c r="I103" s="1" t="s">
        <v>129</v>
      </c>
    </row>
    <row r="104" spans="1:9" x14ac:dyDescent="0.2">
      <c r="A104" s="1" t="s">
        <v>53</v>
      </c>
      <c r="B104" s="1" t="s">
        <v>55</v>
      </c>
      <c r="C104" s="1" t="s">
        <v>213</v>
      </c>
      <c r="D104" s="2">
        <v>1</v>
      </c>
      <c r="E104" s="2">
        <v>1</v>
      </c>
      <c r="F104" s="2">
        <f t="shared" si="3"/>
        <v>2</v>
      </c>
      <c r="G104" s="3">
        <f t="shared" si="4"/>
        <v>0.5</v>
      </c>
      <c r="H104" s="3">
        <f t="shared" si="5"/>
        <v>0.5</v>
      </c>
      <c r="I104" s="1" t="s">
        <v>203</v>
      </c>
    </row>
    <row r="105" spans="1:9" x14ac:dyDescent="0.2">
      <c r="A105" s="1" t="s">
        <v>53</v>
      </c>
      <c r="B105" s="1" t="s">
        <v>55</v>
      </c>
      <c r="C105" s="1" t="s">
        <v>214</v>
      </c>
      <c r="D105" s="2">
        <v>495</v>
      </c>
      <c r="E105" s="2">
        <v>294</v>
      </c>
      <c r="F105" s="2">
        <f t="shared" si="3"/>
        <v>789</v>
      </c>
      <c r="G105" s="3">
        <f t="shared" si="4"/>
        <v>0.62737642585551334</v>
      </c>
      <c r="H105" s="3">
        <f t="shared" si="5"/>
        <v>0.37262357414448671</v>
      </c>
      <c r="I105" s="1" t="s">
        <v>129</v>
      </c>
    </row>
    <row r="106" spans="1:9" x14ac:dyDescent="0.2">
      <c r="A106" s="1" t="s">
        <v>53</v>
      </c>
      <c r="B106" s="1" t="s">
        <v>55</v>
      </c>
      <c r="C106" s="1" t="s">
        <v>215</v>
      </c>
      <c r="D106" s="2">
        <v>217</v>
      </c>
      <c r="E106" s="2">
        <v>95</v>
      </c>
      <c r="F106" s="2">
        <f t="shared" si="3"/>
        <v>312</v>
      </c>
      <c r="G106" s="3">
        <f t="shared" si="4"/>
        <v>0.69551282051282048</v>
      </c>
      <c r="H106" s="3">
        <f t="shared" si="5"/>
        <v>0.30448717948717946</v>
      </c>
      <c r="I106" s="1" t="s">
        <v>129</v>
      </c>
    </row>
    <row r="107" spans="1:9" x14ac:dyDescent="0.2">
      <c r="A107" s="1" t="s">
        <v>53</v>
      </c>
      <c r="B107" s="1" t="s">
        <v>55</v>
      </c>
      <c r="C107" s="1" t="s">
        <v>216</v>
      </c>
      <c r="D107" s="2">
        <v>162</v>
      </c>
      <c r="E107" s="2">
        <v>82</v>
      </c>
      <c r="F107" s="2">
        <f t="shared" si="3"/>
        <v>244</v>
      </c>
      <c r="G107" s="3">
        <f t="shared" si="4"/>
        <v>0.66393442622950816</v>
      </c>
      <c r="H107" s="3">
        <f t="shared" si="5"/>
        <v>0.33606557377049179</v>
      </c>
      <c r="I107" s="1" t="s">
        <v>203</v>
      </c>
    </row>
    <row r="108" spans="1:9" x14ac:dyDescent="0.2">
      <c r="A108" s="1" t="s">
        <v>53</v>
      </c>
      <c r="B108" s="1" t="s">
        <v>55</v>
      </c>
      <c r="C108" s="1" t="s">
        <v>217</v>
      </c>
      <c r="D108" s="2">
        <v>361</v>
      </c>
      <c r="E108" s="2">
        <v>154</v>
      </c>
      <c r="F108" s="2">
        <f t="shared" si="3"/>
        <v>515</v>
      </c>
      <c r="G108" s="3">
        <f t="shared" si="4"/>
        <v>0.70097087378640777</v>
      </c>
      <c r="H108" s="3">
        <f t="shared" si="5"/>
        <v>0.29902912621359223</v>
      </c>
      <c r="I108" s="1" t="s">
        <v>129</v>
      </c>
    </row>
    <row r="109" spans="1:9" x14ac:dyDescent="0.2">
      <c r="A109" s="1" t="s">
        <v>53</v>
      </c>
      <c r="B109" s="1" t="s">
        <v>55</v>
      </c>
      <c r="C109" s="1" t="s">
        <v>218</v>
      </c>
      <c r="D109" s="2">
        <v>158</v>
      </c>
      <c r="E109" s="2">
        <v>79</v>
      </c>
      <c r="F109" s="2">
        <f t="shared" si="3"/>
        <v>237</v>
      </c>
      <c r="G109" s="3">
        <f t="shared" si="4"/>
        <v>0.66666666666666663</v>
      </c>
      <c r="H109" s="3">
        <f t="shared" si="5"/>
        <v>0.33333333333333331</v>
      </c>
      <c r="I109" s="1" t="s">
        <v>129</v>
      </c>
    </row>
    <row r="110" spans="1:9" x14ac:dyDescent="0.2">
      <c r="A110" s="1" t="s">
        <v>53</v>
      </c>
      <c r="B110" s="1" t="s">
        <v>55</v>
      </c>
      <c r="C110" s="1" t="s">
        <v>219</v>
      </c>
      <c r="D110" s="2">
        <v>198</v>
      </c>
      <c r="E110" s="2">
        <v>79</v>
      </c>
      <c r="F110" s="2">
        <f t="shared" si="3"/>
        <v>277</v>
      </c>
      <c r="G110" s="3">
        <f t="shared" si="4"/>
        <v>0.71480144404332135</v>
      </c>
      <c r="H110" s="3">
        <f t="shared" si="5"/>
        <v>0.2851985559566787</v>
      </c>
      <c r="I110" s="1" t="s">
        <v>129</v>
      </c>
    </row>
    <row r="111" spans="1:9" x14ac:dyDescent="0.2">
      <c r="A111" s="1" t="s">
        <v>53</v>
      </c>
      <c r="B111" s="1" t="s">
        <v>55</v>
      </c>
      <c r="C111" s="1" t="s">
        <v>220</v>
      </c>
      <c r="D111" s="2">
        <v>87</v>
      </c>
      <c r="E111" s="2">
        <v>55</v>
      </c>
      <c r="F111" s="2">
        <f t="shared" si="3"/>
        <v>142</v>
      </c>
      <c r="G111" s="3">
        <f t="shared" si="4"/>
        <v>0.61267605633802813</v>
      </c>
      <c r="H111" s="3">
        <f t="shared" si="5"/>
        <v>0.38732394366197181</v>
      </c>
      <c r="I111" s="1" t="s">
        <v>129</v>
      </c>
    </row>
    <row r="112" spans="1:9" x14ac:dyDescent="0.2">
      <c r="A112" s="1" t="s">
        <v>53</v>
      </c>
      <c r="B112" s="1" t="s">
        <v>55</v>
      </c>
      <c r="C112" s="1" t="s">
        <v>221</v>
      </c>
      <c r="D112" s="2">
        <v>175</v>
      </c>
      <c r="E112" s="2">
        <v>107</v>
      </c>
      <c r="F112" s="2">
        <f t="shared" si="3"/>
        <v>282</v>
      </c>
      <c r="G112" s="3">
        <f t="shared" si="4"/>
        <v>0.62056737588652477</v>
      </c>
      <c r="H112" s="3">
        <f t="shared" si="5"/>
        <v>0.37943262411347517</v>
      </c>
      <c r="I112" s="1" t="s">
        <v>129</v>
      </c>
    </row>
    <row r="113" spans="1:9" x14ac:dyDescent="0.2">
      <c r="A113" s="1" t="s">
        <v>53</v>
      </c>
      <c r="B113" s="1" t="s">
        <v>55</v>
      </c>
      <c r="C113" s="1" t="s">
        <v>222</v>
      </c>
      <c r="D113" s="2">
        <v>267</v>
      </c>
      <c r="E113" s="2">
        <v>113</v>
      </c>
      <c r="F113" s="2">
        <f t="shared" si="3"/>
        <v>380</v>
      </c>
      <c r="G113" s="3">
        <f t="shared" si="4"/>
        <v>0.70263157894736838</v>
      </c>
      <c r="H113" s="3">
        <f t="shared" si="5"/>
        <v>0.29736842105263156</v>
      </c>
      <c r="I113" s="1" t="s">
        <v>129</v>
      </c>
    </row>
    <row r="114" spans="1:9" x14ac:dyDescent="0.2">
      <c r="A114" s="1" t="s">
        <v>53</v>
      </c>
      <c r="B114" s="1" t="s">
        <v>55</v>
      </c>
      <c r="C114" s="1" t="s">
        <v>223</v>
      </c>
      <c r="D114" s="2">
        <v>114</v>
      </c>
      <c r="E114" s="2">
        <v>49</v>
      </c>
      <c r="F114" s="2">
        <f t="shared" si="3"/>
        <v>163</v>
      </c>
      <c r="G114" s="3">
        <f t="shared" si="4"/>
        <v>0.69938650306748462</v>
      </c>
      <c r="H114" s="3">
        <f t="shared" si="5"/>
        <v>0.30061349693251532</v>
      </c>
      <c r="I114" s="1" t="s">
        <v>129</v>
      </c>
    </row>
    <row r="115" spans="1:9" x14ac:dyDescent="0.2">
      <c r="A115" s="1" t="s">
        <v>53</v>
      </c>
      <c r="B115" s="1" t="s">
        <v>55</v>
      </c>
      <c r="C115" s="1" t="s">
        <v>224</v>
      </c>
      <c r="D115" s="2">
        <v>121</v>
      </c>
      <c r="E115" s="2">
        <v>55</v>
      </c>
      <c r="F115" s="2">
        <f t="shared" si="3"/>
        <v>176</v>
      </c>
      <c r="G115" s="3">
        <f t="shared" si="4"/>
        <v>0.6875</v>
      </c>
      <c r="H115" s="3">
        <f t="shared" si="5"/>
        <v>0.3125</v>
      </c>
      <c r="I115" s="1" t="s">
        <v>129</v>
      </c>
    </row>
    <row r="116" spans="1:9" x14ac:dyDescent="0.2">
      <c r="A116" s="1" t="s">
        <v>53</v>
      </c>
      <c r="B116" s="1" t="s">
        <v>55</v>
      </c>
      <c r="C116" s="1" t="s">
        <v>225</v>
      </c>
      <c r="D116" s="2">
        <v>197</v>
      </c>
      <c r="E116" s="2">
        <v>81</v>
      </c>
      <c r="F116" s="2">
        <f t="shared" si="3"/>
        <v>278</v>
      </c>
      <c r="G116" s="3">
        <f t="shared" si="4"/>
        <v>0.70863309352517989</v>
      </c>
      <c r="H116" s="3">
        <f t="shared" si="5"/>
        <v>0.29136690647482016</v>
      </c>
      <c r="I116" s="1" t="s">
        <v>129</v>
      </c>
    </row>
    <row r="117" spans="1:9" x14ac:dyDescent="0.2">
      <c r="A117" s="1" t="s">
        <v>53</v>
      </c>
      <c r="B117" s="1" t="s">
        <v>55</v>
      </c>
      <c r="C117" s="1" t="s">
        <v>226</v>
      </c>
      <c r="D117" s="2">
        <v>355</v>
      </c>
      <c r="E117" s="2">
        <v>175</v>
      </c>
      <c r="F117" s="2">
        <f t="shared" si="3"/>
        <v>530</v>
      </c>
      <c r="G117" s="3">
        <f t="shared" si="4"/>
        <v>0.66981132075471694</v>
      </c>
      <c r="H117" s="3">
        <f t="shared" si="5"/>
        <v>0.330188679245283</v>
      </c>
      <c r="I117" s="1" t="s">
        <v>129</v>
      </c>
    </row>
    <row r="118" spans="1:9" x14ac:dyDescent="0.2">
      <c r="A118" s="1" t="s">
        <v>53</v>
      </c>
      <c r="B118" s="1" t="s">
        <v>55</v>
      </c>
      <c r="C118" s="1" t="s">
        <v>227</v>
      </c>
      <c r="D118" s="2">
        <v>158</v>
      </c>
      <c r="E118" s="2">
        <v>78</v>
      </c>
      <c r="F118" s="2">
        <f t="shared" si="3"/>
        <v>236</v>
      </c>
      <c r="G118" s="3">
        <f t="shared" si="4"/>
        <v>0.66949152542372881</v>
      </c>
      <c r="H118" s="3">
        <f t="shared" si="5"/>
        <v>0.33050847457627119</v>
      </c>
      <c r="I118" s="1" t="s">
        <v>129</v>
      </c>
    </row>
    <row r="119" spans="1:9" x14ac:dyDescent="0.2">
      <c r="A119" s="1" t="s">
        <v>53</v>
      </c>
      <c r="B119" s="1" t="s">
        <v>55</v>
      </c>
      <c r="C119" s="1" t="s">
        <v>228</v>
      </c>
      <c r="D119" s="2">
        <v>165</v>
      </c>
      <c r="E119" s="2">
        <v>84</v>
      </c>
      <c r="F119" s="2">
        <f t="shared" si="3"/>
        <v>249</v>
      </c>
      <c r="G119" s="3">
        <f t="shared" si="4"/>
        <v>0.66265060240963858</v>
      </c>
      <c r="H119" s="3">
        <f t="shared" si="5"/>
        <v>0.33734939759036142</v>
      </c>
      <c r="I119" s="1" t="s">
        <v>129</v>
      </c>
    </row>
    <row r="120" spans="1:9" x14ac:dyDescent="0.2">
      <c r="A120" s="1" t="s">
        <v>53</v>
      </c>
      <c r="B120" s="1" t="s">
        <v>55</v>
      </c>
      <c r="C120" s="1" t="s">
        <v>229</v>
      </c>
      <c r="D120" s="2">
        <v>285</v>
      </c>
      <c r="E120" s="2">
        <v>176</v>
      </c>
      <c r="F120" s="2">
        <f t="shared" si="3"/>
        <v>461</v>
      </c>
      <c r="G120" s="3">
        <f t="shared" si="4"/>
        <v>0.61822125813449025</v>
      </c>
      <c r="H120" s="3">
        <f t="shared" si="5"/>
        <v>0.38177874186550975</v>
      </c>
      <c r="I120" s="1" t="s">
        <v>129</v>
      </c>
    </row>
    <row r="121" spans="1:9" x14ac:dyDescent="0.2">
      <c r="A121" s="1" t="s">
        <v>53</v>
      </c>
      <c r="B121" s="1" t="s">
        <v>55</v>
      </c>
      <c r="C121" s="1" t="s">
        <v>230</v>
      </c>
      <c r="D121" s="2">
        <v>207</v>
      </c>
      <c r="E121" s="2">
        <v>103</v>
      </c>
      <c r="F121" s="2">
        <f t="shared" si="3"/>
        <v>310</v>
      </c>
      <c r="G121" s="3">
        <f t="shared" si="4"/>
        <v>0.66774193548387095</v>
      </c>
      <c r="H121" s="3">
        <f t="shared" si="5"/>
        <v>0.33225806451612905</v>
      </c>
      <c r="I121" s="1" t="s">
        <v>129</v>
      </c>
    </row>
    <row r="122" spans="1:9" x14ac:dyDescent="0.2">
      <c r="A122" s="1" t="s">
        <v>53</v>
      </c>
      <c r="B122" s="1" t="s">
        <v>56</v>
      </c>
      <c r="C122" s="1" t="s">
        <v>231</v>
      </c>
      <c r="D122" s="2">
        <v>432</v>
      </c>
      <c r="E122" s="2">
        <v>188</v>
      </c>
      <c r="F122" s="2">
        <f t="shared" si="3"/>
        <v>620</v>
      </c>
      <c r="G122" s="3">
        <f t="shared" si="4"/>
        <v>0.6967741935483871</v>
      </c>
      <c r="H122" s="3">
        <f t="shared" si="5"/>
        <v>0.3032258064516129</v>
      </c>
      <c r="I122" s="1" t="s">
        <v>129</v>
      </c>
    </row>
    <row r="123" spans="1:9" x14ac:dyDescent="0.2">
      <c r="A123" s="1" t="s">
        <v>53</v>
      </c>
      <c r="B123" s="1" t="s">
        <v>56</v>
      </c>
      <c r="C123" s="1" t="s">
        <v>232</v>
      </c>
      <c r="D123" s="2">
        <v>301</v>
      </c>
      <c r="E123" s="2">
        <v>157</v>
      </c>
      <c r="F123" s="2">
        <f t="shared" si="3"/>
        <v>458</v>
      </c>
      <c r="G123" s="3">
        <f t="shared" si="4"/>
        <v>0.65720524017467252</v>
      </c>
      <c r="H123" s="3">
        <f t="shared" si="5"/>
        <v>0.34279475982532753</v>
      </c>
      <c r="I123" s="1" t="s">
        <v>129</v>
      </c>
    </row>
    <row r="124" spans="1:9" x14ac:dyDescent="0.2">
      <c r="A124" s="1" t="s">
        <v>53</v>
      </c>
      <c r="B124" s="1" t="s">
        <v>56</v>
      </c>
      <c r="C124" s="1" t="s">
        <v>233</v>
      </c>
      <c r="D124" s="2">
        <v>339</v>
      </c>
      <c r="E124" s="2">
        <v>143</v>
      </c>
      <c r="F124" s="2">
        <f t="shared" si="3"/>
        <v>482</v>
      </c>
      <c r="G124" s="3">
        <f t="shared" si="4"/>
        <v>0.70331950207468885</v>
      </c>
      <c r="H124" s="3">
        <f t="shared" si="5"/>
        <v>0.2966804979253112</v>
      </c>
      <c r="I124" s="1" t="s">
        <v>129</v>
      </c>
    </row>
    <row r="125" spans="1:9" x14ac:dyDescent="0.2">
      <c r="A125" s="1" t="s">
        <v>53</v>
      </c>
      <c r="B125" s="1" t="s">
        <v>56</v>
      </c>
      <c r="C125" s="1" t="s">
        <v>234</v>
      </c>
      <c r="D125" s="2">
        <v>391</v>
      </c>
      <c r="E125" s="2">
        <v>186</v>
      </c>
      <c r="F125" s="2">
        <f t="shared" si="3"/>
        <v>577</v>
      </c>
      <c r="G125" s="3">
        <f t="shared" si="4"/>
        <v>0.67764298093587527</v>
      </c>
      <c r="H125" s="3">
        <f t="shared" si="5"/>
        <v>0.32235701906412478</v>
      </c>
      <c r="I125" s="1" t="s">
        <v>129</v>
      </c>
    </row>
    <row r="126" spans="1:9" x14ac:dyDescent="0.2">
      <c r="A126" s="1" t="s">
        <v>53</v>
      </c>
      <c r="B126" s="1" t="s">
        <v>56</v>
      </c>
      <c r="C126" s="1" t="s">
        <v>235</v>
      </c>
      <c r="D126" s="2">
        <v>563</v>
      </c>
      <c r="E126" s="2">
        <v>294</v>
      </c>
      <c r="F126" s="2">
        <f t="shared" si="3"/>
        <v>857</v>
      </c>
      <c r="G126" s="3">
        <f t="shared" si="4"/>
        <v>0.65694282380396729</v>
      </c>
      <c r="H126" s="3">
        <f t="shared" si="5"/>
        <v>0.34305717619603265</v>
      </c>
      <c r="I126" s="1" t="s">
        <v>129</v>
      </c>
    </row>
    <row r="127" spans="1:9" x14ac:dyDescent="0.2">
      <c r="A127" s="1" t="s">
        <v>53</v>
      </c>
      <c r="B127" s="1" t="s">
        <v>56</v>
      </c>
      <c r="C127" s="1" t="s">
        <v>236</v>
      </c>
      <c r="D127" s="2">
        <v>400</v>
      </c>
      <c r="E127" s="2">
        <v>252</v>
      </c>
      <c r="F127" s="2">
        <f t="shared" si="3"/>
        <v>652</v>
      </c>
      <c r="G127" s="3">
        <f t="shared" si="4"/>
        <v>0.61349693251533743</v>
      </c>
      <c r="H127" s="3">
        <f t="shared" si="5"/>
        <v>0.38650306748466257</v>
      </c>
      <c r="I127" s="1" t="s">
        <v>129</v>
      </c>
    </row>
    <row r="128" spans="1:9" x14ac:dyDescent="0.2">
      <c r="A128" s="1" t="s">
        <v>53</v>
      </c>
      <c r="B128" s="1" t="s">
        <v>56</v>
      </c>
      <c r="C128" s="1" t="s">
        <v>237</v>
      </c>
      <c r="D128" s="2">
        <v>442</v>
      </c>
      <c r="E128" s="2">
        <v>285</v>
      </c>
      <c r="F128" s="2">
        <f t="shared" si="3"/>
        <v>727</v>
      </c>
      <c r="G128" s="3">
        <f t="shared" si="4"/>
        <v>0.60797799174690514</v>
      </c>
      <c r="H128" s="3">
        <f t="shared" si="5"/>
        <v>0.39202200825309491</v>
      </c>
      <c r="I128" s="1" t="s">
        <v>129</v>
      </c>
    </row>
    <row r="129" spans="1:9" x14ac:dyDescent="0.2">
      <c r="A129" s="1" t="s">
        <v>53</v>
      </c>
      <c r="B129" s="1" t="s">
        <v>56</v>
      </c>
      <c r="C129" s="1" t="s">
        <v>238</v>
      </c>
      <c r="D129" s="2">
        <v>571</v>
      </c>
      <c r="E129" s="2">
        <v>375</v>
      </c>
      <c r="F129" s="2">
        <f t="shared" si="3"/>
        <v>946</v>
      </c>
      <c r="G129" s="3">
        <f t="shared" si="4"/>
        <v>0.60359408033826634</v>
      </c>
      <c r="H129" s="3">
        <f t="shared" si="5"/>
        <v>0.39640591966173361</v>
      </c>
      <c r="I129" s="1" t="s">
        <v>129</v>
      </c>
    </row>
    <row r="130" spans="1:9" x14ac:dyDescent="0.2">
      <c r="A130" s="1" t="s">
        <v>53</v>
      </c>
      <c r="B130" s="1" t="s">
        <v>56</v>
      </c>
      <c r="C130" s="1" t="s">
        <v>239</v>
      </c>
      <c r="D130" s="2">
        <v>430</v>
      </c>
      <c r="E130" s="2">
        <v>265</v>
      </c>
      <c r="F130" s="2">
        <f t="shared" si="3"/>
        <v>695</v>
      </c>
      <c r="G130" s="3">
        <f t="shared" si="4"/>
        <v>0.61870503597122306</v>
      </c>
      <c r="H130" s="3">
        <f t="shared" si="5"/>
        <v>0.38129496402877699</v>
      </c>
      <c r="I130" s="1" t="s">
        <v>129</v>
      </c>
    </row>
    <row r="131" spans="1:9" x14ac:dyDescent="0.2">
      <c r="A131" s="1" t="s">
        <v>53</v>
      </c>
      <c r="B131" s="1" t="s">
        <v>56</v>
      </c>
      <c r="C131" s="1" t="s">
        <v>240</v>
      </c>
      <c r="D131" s="2">
        <v>342</v>
      </c>
      <c r="E131" s="2">
        <v>261</v>
      </c>
      <c r="F131" s="2">
        <f t="shared" si="3"/>
        <v>603</v>
      </c>
      <c r="G131" s="3">
        <f t="shared" si="4"/>
        <v>0.56716417910447758</v>
      </c>
      <c r="H131" s="3">
        <f t="shared" si="5"/>
        <v>0.43283582089552236</v>
      </c>
      <c r="I131" s="1" t="s">
        <v>129</v>
      </c>
    </row>
    <row r="132" spans="1:9" x14ac:dyDescent="0.2">
      <c r="A132" s="1" t="s">
        <v>53</v>
      </c>
      <c r="B132" s="1" t="s">
        <v>56</v>
      </c>
      <c r="C132" s="1" t="s">
        <v>241</v>
      </c>
      <c r="D132" s="2">
        <v>406</v>
      </c>
      <c r="E132" s="2">
        <v>238</v>
      </c>
      <c r="F132" s="2">
        <f t="shared" si="3"/>
        <v>644</v>
      </c>
      <c r="G132" s="3">
        <f t="shared" si="4"/>
        <v>0.63043478260869568</v>
      </c>
      <c r="H132" s="3">
        <f t="shared" si="5"/>
        <v>0.36956521739130432</v>
      </c>
      <c r="I132" s="1" t="s">
        <v>129</v>
      </c>
    </row>
    <row r="133" spans="1:9" x14ac:dyDescent="0.2">
      <c r="A133" s="1" t="s">
        <v>53</v>
      </c>
      <c r="B133" s="1" t="s">
        <v>56</v>
      </c>
      <c r="C133" s="1" t="s">
        <v>242</v>
      </c>
      <c r="D133" s="2">
        <v>436</v>
      </c>
      <c r="E133" s="2">
        <v>280</v>
      </c>
      <c r="F133" s="2">
        <f t="shared" si="3"/>
        <v>716</v>
      </c>
      <c r="G133" s="3">
        <f t="shared" si="4"/>
        <v>0.60893854748603349</v>
      </c>
      <c r="H133" s="3">
        <f t="shared" si="5"/>
        <v>0.39106145251396646</v>
      </c>
      <c r="I133" s="1" t="s">
        <v>129</v>
      </c>
    </row>
    <row r="134" spans="1:9" x14ac:dyDescent="0.2">
      <c r="A134" s="1" t="s">
        <v>53</v>
      </c>
      <c r="B134" s="1" t="s">
        <v>57</v>
      </c>
      <c r="C134" s="1" t="s">
        <v>243</v>
      </c>
      <c r="D134" s="2">
        <v>378</v>
      </c>
      <c r="E134" s="2">
        <v>308</v>
      </c>
      <c r="F134" s="2">
        <f t="shared" si="3"/>
        <v>686</v>
      </c>
      <c r="G134" s="3">
        <f t="shared" si="4"/>
        <v>0.55102040816326525</v>
      </c>
      <c r="H134" s="3">
        <f t="shared" si="5"/>
        <v>0.44897959183673469</v>
      </c>
      <c r="I134" s="1" t="s">
        <v>129</v>
      </c>
    </row>
    <row r="135" spans="1:9" x14ac:dyDescent="0.2">
      <c r="A135" s="1" t="s">
        <v>53</v>
      </c>
      <c r="B135" s="1" t="s">
        <v>57</v>
      </c>
      <c r="C135" s="1" t="s">
        <v>244</v>
      </c>
      <c r="D135" s="2">
        <v>349</v>
      </c>
      <c r="E135" s="2">
        <v>368</v>
      </c>
      <c r="F135" s="2">
        <f t="shared" si="3"/>
        <v>717</v>
      </c>
      <c r="G135" s="3">
        <f t="shared" si="4"/>
        <v>0.48675034867503486</v>
      </c>
      <c r="H135" s="3">
        <f t="shared" si="5"/>
        <v>0.51324965132496514</v>
      </c>
      <c r="I135" s="1" t="s">
        <v>129</v>
      </c>
    </row>
    <row r="136" spans="1:9" x14ac:dyDescent="0.2">
      <c r="A136" s="1" t="s">
        <v>53</v>
      </c>
      <c r="B136" s="1" t="s">
        <v>57</v>
      </c>
      <c r="C136" s="1" t="s">
        <v>245</v>
      </c>
      <c r="D136" s="2">
        <v>400</v>
      </c>
      <c r="E136" s="2">
        <v>375</v>
      </c>
      <c r="F136" s="2">
        <f t="shared" si="3"/>
        <v>775</v>
      </c>
      <c r="G136" s="3">
        <f t="shared" si="4"/>
        <v>0.5161290322580645</v>
      </c>
      <c r="H136" s="3">
        <f t="shared" si="5"/>
        <v>0.4838709677419355</v>
      </c>
      <c r="I136" s="1" t="s">
        <v>129</v>
      </c>
    </row>
    <row r="137" spans="1:9" x14ac:dyDescent="0.2">
      <c r="A137" s="1" t="s">
        <v>53</v>
      </c>
      <c r="B137" s="1" t="s">
        <v>58</v>
      </c>
      <c r="C137" s="1" t="s">
        <v>58</v>
      </c>
      <c r="D137" s="2">
        <v>621</v>
      </c>
      <c r="E137" s="2">
        <v>650</v>
      </c>
      <c r="F137" s="2">
        <f t="shared" si="3"/>
        <v>1271</v>
      </c>
      <c r="G137" s="3">
        <f t="shared" si="4"/>
        <v>0.48859166011014948</v>
      </c>
      <c r="H137" s="3">
        <f t="shared" si="5"/>
        <v>0.51140833988985046</v>
      </c>
      <c r="I137" s="1" t="s">
        <v>129</v>
      </c>
    </row>
    <row r="138" spans="1:9" x14ac:dyDescent="0.2">
      <c r="A138" s="1" t="s">
        <v>53</v>
      </c>
      <c r="B138" s="1" t="s">
        <v>59</v>
      </c>
      <c r="C138" s="1" t="s">
        <v>246</v>
      </c>
      <c r="D138" s="2">
        <v>284</v>
      </c>
      <c r="E138" s="2">
        <v>285</v>
      </c>
      <c r="F138" s="2">
        <f t="shared" si="3"/>
        <v>569</v>
      </c>
      <c r="G138" s="3">
        <f t="shared" si="4"/>
        <v>0.49912126537785589</v>
      </c>
      <c r="H138" s="3">
        <f t="shared" si="5"/>
        <v>0.50087873462214416</v>
      </c>
      <c r="I138" s="1" t="s">
        <v>129</v>
      </c>
    </row>
    <row r="139" spans="1:9" x14ac:dyDescent="0.2">
      <c r="A139" s="1" t="s">
        <v>53</v>
      </c>
      <c r="B139" s="1" t="s">
        <v>59</v>
      </c>
      <c r="C139" s="1" t="s">
        <v>247</v>
      </c>
      <c r="D139" s="2">
        <v>408</v>
      </c>
      <c r="E139" s="2">
        <v>387</v>
      </c>
      <c r="F139" s="2">
        <f t="shared" si="3"/>
        <v>795</v>
      </c>
      <c r="G139" s="3">
        <f t="shared" si="4"/>
        <v>0.51320754716981132</v>
      </c>
      <c r="H139" s="3">
        <f t="shared" si="5"/>
        <v>0.48679245283018868</v>
      </c>
      <c r="I139" s="1" t="s">
        <v>129</v>
      </c>
    </row>
    <row r="140" spans="1:9" x14ac:dyDescent="0.2">
      <c r="A140" s="1" t="s">
        <v>53</v>
      </c>
      <c r="B140" s="1" t="s">
        <v>60</v>
      </c>
      <c r="C140" s="1" t="s">
        <v>248</v>
      </c>
      <c r="D140" s="2">
        <v>436</v>
      </c>
      <c r="E140" s="2">
        <v>379</v>
      </c>
      <c r="F140" s="2">
        <f t="shared" ref="F140:F203" si="6">IF(COUNTA(D140:E140)=0,"",SUM(D140:E140))</f>
        <v>815</v>
      </c>
      <c r="G140" s="3">
        <f t="shared" ref="G140:G203" si="7">IF(OR(F140="",F140=0),"",D140/F140)</f>
        <v>0.53496932515337425</v>
      </c>
      <c r="H140" s="3">
        <f t="shared" ref="H140:H203" si="8">IF(OR(F140="",F140=0),"",E140/F140)</f>
        <v>0.46503067484662575</v>
      </c>
      <c r="I140" s="1" t="s">
        <v>129</v>
      </c>
    </row>
    <row r="141" spans="1:9" x14ac:dyDescent="0.2">
      <c r="A141" s="1" t="s">
        <v>53</v>
      </c>
      <c r="B141" s="1" t="s">
        <v>60</v>
      </c>
      <c r="C141" s="1" t="s">
        <v>249</v>
      </c>
      <c r="D141" s="2">
        <v>452</v>
      </c>
      <c r="E141" s="2">
        <v>402</v>
      </c>
      <c r="F141" s="2">
        <f t="shared" si="6"/>
        <v>854</v>
      </c>
      <c r="G141" s="3">
        <f t="shared" si="7"/>
        <v>0.52927400468384078</v>
      </c>
      <c r="H141" s="3">
        <f t="shared" si="8"/>
        <v>0.47072599531615927</v>
      </c>
      <c r="I141" s="1" t="s">
        <v>129</v>
      </c>
    </row>
    <row r="142" spans="1:9" x14ac:dyDescent="0.2">
      <c r="A142" s="1" t="s">
        <v>53</v>
      </c>
      <c r="B142" s="1" t="s">
        <v>60</v>
      </c>
      <c r="C142" s="1" t="s">
        <v>250</v>
      </c>
      <c r="D142" s="2">
        <v>624</v>
      </c>
      <c r="E142" s="2">
        <v>584</v>
      </c>
      <c r="F142" s="2">
        <f t="shared" si="6"/>
        <v>1208</v>
      </c>
      <c r="G142" s="3">
        <f t="shared" si="7"/>
        <v>0.51655629139072845</v>
      </c>
      <c r="H142" s="3">
        <f t="shared" si="8"/>
        <v>0.48344370860927155</v>
      </c>
      <c r="I142" s="1" t="s">
        <v>129</v>
      </c>
    </row>
    <row r="143" spans="1:9" x14ac:dyDescent="0.2">
      <c r="A143" s="1" t="s">
        <v>53</v>
      </c>
      <c r="B143" s="1" t="s">
        <v>60</v>
      </c>
      <c r="C143" s="1" t="s">
        <v>251</v>
      </c>
      <c r="D143" s="2">
        <v>496</v>
      </c>
      <c r="E143" s="2">
        <v>417</v>
      </c>
      <c r="F143" s="2">
        <f t="shared" si="6"/>
        <v>913</v>
      </c>
      <c r="G143" s="3">
        <f t="shared" si="7"/>
        <v>0.54326396495071194</v>
      </c>
      <c r="H143" s="3">
        <f t="shared" si="8"/>
        <v>0.45673603504928806</v>
      </c>
      <c r="I143" s="1" t="s">
        <v>129</v>
      </c>
    </row>
    <row r="144" spans="1:9" x14ac:dyDescent="0.2">
      <c r="A144" s="1" t="s">
        <v>53</v>
      </c>
      <c r="B144" s="1" t="s">
        <v>60</v>
      </c>
      <c r="C144" s="1" t="s">
        <v>252</v>
      </c>
      <c r="D144" s="2">
        <v>288</v>
      </c>
      <c r="E144" s="2">
        <v>285</v>
      </c>
      <c r="F144" s="2">
        <f t="shared" si="6"/>
        <v>573</v>
      </c>
      <c r="G144" s="3">
        <f t="shared" si="7"/>
        <v>0.50261780104712039</v>
      </c>
      <c r="H144" s="3">
        <f t="shared" si="8"/>
        <v>0.49738219895287961</v>
      </c>
      <c r="I144" s="1" t="s">
        <v>129</v>
      </c>
    </row>
    <row r="145" spans="1:9" x14ac:dyDescent="0.2">
      <c r="A145" s="1" t="s">
        <v>53</v>
      </c>
      <c r="B145" s="1" t="s">
        <v>60</v>
      </c>
      <c r="C145" s="1" t="s">
        <v>253</v>
      </c>
      <c r="D145" s="2">
        <v>590</v>
      </c>
      <c r="E145" s="2">
        <v>435</v>
      </c>
      <c r="F145" s="2">
        <f t="shared" si="6"/>
        <v>1025</v>
      </c>
      <c r="G145" s="3">
        <f t="shared" si="7"/>
        <v>0.57560975609756093</v>
      </c>
      <c r="H145" s="3">
        <f t="shared" si="8"/>
        <v>0.42439024390243901</v>
      </c>
      <c r="I145" s="1" t="s">
        <v>129</v>
      </c>
    </row>
    <row r="146" spans="1:9" x14ac:dyDescent="0.2">
      <c r="A146" s="1" t="s">
        <v>53</v>
      </c>
      <c r="B146" s="1" t="s">
        <v>61</v>
      </c>
      <c r="C146" s="1" t="s">
        <v>254</v>
      </c>
      <c r="D146" s="2">
        <v>388</v>
      </c>
      <c r="E146" s="2">
        <v>200</v>
      </c>
      <c r="F146" s="2">
        <f t="shared" si="6"/>
        <v>588</v>
      </c>
      <c r="G146" s="3">
        <f t="shared" si="7"/>
        <v>0.65986394557823125</v>
      </c>
      <c r="H146" s="3">
        <f t="shared" si="8"/>
        <v>0.3401360544217687</v>
      </c>
      <c r="I146" s="1" t="s">
        <v>129</v>
      </c>
    </row>
    <row r="147" spans="1:9" x14ac:dyDescent="0.2">
      <c r="A147" s="1" t="s">
        <v>53</v>
      </c>
      <c r="B147" s="1" t="s">
        <v>61</v>
      </c>
      <c r="C147" s="1" t="s">
        <v>255</v>
      </c>
      <c r="D147" s="2">
        <v>317</v>
      </c>
      <c r="E147" s="2">
        <v>192</v>
      </c>
      <c r="F147" s="2">
        <f t="shared" si="6"/>
        <v>509</v>
      </c>
      <c r="G147" s="3">
        <f t="shared" si="7"/>
        <v>0.62278978388998041</v>
      </c>
      <c r="H147" s="3">
        <f t="shared" si="8"/>
        <v>0.37721021611001965</v>
      </c>
      <c r="I147" s="1" t="s">
        <v>129</v>
      </c>
    </row>
    <row r="148" spans="1:9" x14ac:dyDescent="0.2">
      <c r="A148" s="1" t="s">
        <v>53</v>
      </c>
      <c r="B148" s="1" t="s">
        <v>61</v>
      </c>
      <c r="C148" s="1" t="s">
        <v>256</v>
      </c>
      <c r="D148" s="2">
        <v>321</v>
      </c>
      <c r="E148" s="2">
        <v>188</v>
      </c>
      <c r="F148" s="2">
        <f t="shared" si="6"/>
        <v>509</v>
      </c>
      <c r="G148" s="3">
        <f t="shared" si="7"/>
        <v>0.63064833005893906</v>
      </c>
      <c r="H148" s="3">
        <f t="shared" si="8"/>
        <v>0.36935166994106089</v>
      </c>
      <c r="I148" s="1" t="s">
        <v>129</v>
      </c>
    </row>
    <row r="149" spans="1:9" x14ac:dyDescent="0.2">
      <c r="A149" s="1" t="s">
        <v>53</v>
      </c>
      <c r="B149" s="1" t="s">
        <v>62</v>
      </c>
      <c r="C149" s="1" t="s">
        <v>62</v>
      </c>
      <c r="D149" s="2">
        <v>261</v>
      </c>
      <c r="E149" s="2">
        <v>223</v>
      </c>
      <c r="F149" s="2">
        <f t="shared" si="6"/>
        <v>484</v>
      </c>
      <c r="G149" s="3">
        <f t="shared" si="7"/>
        <v>0.53925619834710747</v>
      </c>
      <c r="H149" s="3">
        <f t="shared" si="8"/>
        <v>0.46074380165289258</v>
      </c>
      <c r="I149" s="1" t="s">
        <v>129</v>
      </c>
    </row>
    <row r="150" spans="1:9" x14ac:dyDescent="0.2">
      <c r="A150" s="1" t="s">
        <v>53</v>
      </c>
      <c r="B150" s="1" t="s">
        <v>63</v>
      </c>
      <c r="C150" s="1" t="s">
        <v>63</v>
      </c>
      <c r="D150" s="2">
        <v>525</v>
      </c>
      <c r="E150" s="2">
        <v>1132</v>
      </c>
      <c r="F150" s="2">
        <f t="shared" si="6"/>
        <v>1657</v>
      </c>
      <c r="G150" s="3">
        <f t="shared" si="7"/>
        <v>0.31683765841882922</v>
      </c>
      <c r="H150" s="3">
        <f t="shared" si="8"/>
        <v>0.68316234158117084</v>
      </c>
      <c r="I150" s="1" t="s">
        <v>129</v>
      </c>
    </row>
    <row r="151" spans="1:9" x14ac:dyDescent="0.2">
      <c r="A151" s="1" t="s">
        <v>53</v>
      </c>
      <c r="B151" s="1" t="s">
        <v>64</v>
      </c>
      <c r="C151" s="1" t="s">
        <v>257</v>
      </c>
      <c r="D151" s="2">
        <v>778</v>
      </c>
      <c r="E151" s="2">
        <v>789</v>
      </c>
      <c r="F151" s="2">
        <f t="shared" si="6"/>
        <v>1567</v>
      </c>
      <c r="G151" s="3">
        <f t="shared" si="7"/>
        <v>0.49649010848755581</v>
      </c>
      <c r="H151" s="3">
        <f t="shared" si="8"/>
        <v>0.50350989151244419</v>
      </c>
      <c r="I151" s="1" t="s">
        <v>129</v>
      </c>
    </row>
    <row r="152" spans="1:9" x14ac:dyDescent="0.2">
      <c r="A152" s="1" t="s">
        <v>53</v>
      </c>
      <c r="B152" s="1" t="s">
        <v>64</v>
      </c>
      <c r="C152" s="1" t="s">
        <v>258</v>
      </c>
      <c r="D152" s="2">
        <v>876</v>
      </c>
      <c r="E152" s="2">
        <v>861</v>
      </c>
      <c r="F152" s="2">
        <f t="shared" si="6"/>
        <v>1737</v>
      </c>
      <c r="G152" s="3">
        <f t="shared" si="7"/>
        <v>0.50431778929188253</v>
      </c>
      <c r="H152" s="3">
        <f t="shared" si="8"/>
        <v>0.49568221070811747</v>
      </c>
      <c r="I152" s="1" t="s">
        <v>129</v>
      </c>
    </row>
    <row r="153" spans="1:9" x14ac:dyDescent="0.2">
      <c r="A153" s="1" t="s">
        <v>53</v>
      </c>
      <c r="B153" s="1" t="s">
        <v>64</v>
      </c>
      <c r="C153" s="1" t="s">
        <v>259</v>
      </c>
      <c r="D153" s="2">
        <v>1513</v>
      </c>
      <c r="E153" s="2">
        <v>1481</v>
      </c>
      <c r="F153" s="2">
        <f t="shared" si="6"/>
        <v>2994</v>
      </c>
      <c r="G153" s="3">
        <f t="shared" si="7"/>
        <v>0.50534402137608547</v>
      </c>
      <c r="H153" s="3">
        <f t="shared" si="8"/>
        <v>0.49465597862391447</v>
      </c>
      <c r="I153" s="1" t="s">
        <v>129</v>
      </c>
    </row>
    <row r="154" spans="1:9" x14ac:dyDescent="0.2">
      <c r="A154" s="1" t="s">
        <v>53</v>
      </c>
      <c r="B154" s="1" t="s">
        <v>64</v>
      </c>
      <c r="C154" s="1" t="s">
        <v>260</v>
      </c>
      <c r="D154" s="2">
        <v>753</v>
      </c>
      <c r="E154" s="2">
        <v>780</v>
      </c>
      <c r="F154" s="2">
        <f t="shared" si="6"/>
        <v>1533</v>
      </c>
      <c r="G154" s="3">
        <f t="shared" si="7"/>
        <v>0.49119373776908021</v>
      </c>
      <c r="H154" s="3">
        <f t="shared" si="8"/>
        <v>0.50880626223091974</v>
      </c>
      <c r="I154" s="1" t="s">
        <v>129</v>
      </c>
    </row>
    <row r="155" spans="1:9" x14ac:dyDescent="0.2">
      <c r="A155" s="1" t="s">
        <v>53</v>
      </c>
      <c r="B155" s="1" t="s">
        <v>64</v>
      </c>
      <c r="C155" s="1" t="s">
        <v>261</v>
      </c>
      <c r="D155" s="2">
        <v>664</v>
      </c>
      <c r="E155" s="2">
        <v>681</v>
      </c>
      <c r="F155" s="2">
        <f t="shared" si="6"/>
        <v>1345</v>
      </c>
      <c r="G155" s="3">
        <f t="shared" si="7"/>
        <v>0.49368029739776953</v>
      </c>
      <c r="H155" s="3">
        <f t="shared" si="8"/>
        <v>0.50631970260223047</v>
      </c>
      <c r="I155" s="1" t="s">
        <v>129</v>
      </c>
    </row>
    <row r="156" spans="1:9" x14ac:dyDescent="0.2">
      <c r="A156" s="1" t="s">
        <v>53</v>
      </c>
      <c r="B156" s="1" t="s">
        <v>64</v>
      </c>
      <c r="C156" s="1" t="s">
        <v>262</v>
      </c>
      <c r="D156" s="2">
        <v>621</v>
      </c>
      <c r="E156" s="2">
        <v>576</v>
      </c>
      <c r="F156" s="2">
        <f t="shared" si="6"/>
        <v>1197</v>
      </c>
      <c r="G156" s="3">
        <f t="shared" si="7"/>
        <v>0.51879699248120303</v>
      </c>
      <c r="H156" s="3">
        <f t="shared" si="8"/>
        <v>0.48120300751879697</v>
      </c>
      <c r="I156" s="1" t="s">
        <v>129</v>
      </c>
    </row>
    <row r="157" spans="1:9" x14ac:dyDescent="0.2">
      <c r="A157" s="1" t="s">
        <v>53</v>
      </c>
      <c r="B157" s="1" t="s">
        <v>64</v>
      </c>
      <c r="C157" s="1" t="s">
        <v>263</v>
      </c>
      <c r="D157" s="2">
        <v>1196</v>
      </c>
      <c r="E157" s="2">
        <v>1225</v>
      </c>
      <c r="F157" s="2">
        <f t="shared" si="6"/>
        <v>2421</v>
      </c>
      <c r="G157" s="3">
        <f t="shared" si="7"/>
        <v>0.49401073936389922</v>
      </c>
      <c r="H157" s="3">
        <f t="shared" si="8"/>
        <v>0.50598926063610083</v>
      </c>
      <c r="I157" s="1" t="s">
        <v>129</v>
      </c>
    </row>
    <row r="158" spans="1:9" x14ac:dyDescent="0.2">
      <c r="A158" s="1" t="s">
        <v>53</v>
      </c>
      <c r="B158" s="1" t="s">
        <v>64</v>
      </c>
      <c r="C158" s="1" t="s">
        <v>264</v>
      </c>
      <c r="D158" s="2">
        <v>697</v>
      </c>
      <c r="E158" s="2">
        <v>623</v>
      </c>
      <c r="F158" s="2">
        <f t="shared" si="6"/>
        <v>1320</v>
      </c>
      <c r="G158" s="3">
        <f t="shared" si="7"/>
        <v>0.52803030303030307</v>
      </c>
      <c r="H158" s="3">
        <f t="shared" si="8"/>
        <v>0.47196969696969698</v>
      </c>
      <c r="I158" s="1" t="s">
        <v>129</v>
      </c>
    </row>
    <row r="159" spans="1:9" x14ac:dyDescent="0.2">
      <c r="A159" s="1" t="s">
        <v>53</v>
      </c>
      <c r="B159" s="1" t="s">
        <v>64</v>
      </c>
      <c r="C159" s="1" t="s">
        <v>265</v>
      </c>
      <c r="D159" s="2">
        <v>694</v>
      </c>
      <c r="E159" s="2">
        <v>659</v>
      </c>
      <c r="F159" s="2">
        <f t="shared" si="6"/>
        <v>1353</v>
      </c>
      <c r="G159" s="3">
        <f t="shared" si="7"/>
        <v>0.51293422025129343</v>
      </c>
      <c r="H159" s="3">
        <f t="shared" si="8"/>
        <v>0.48706577974870657</v>
      </c>
      <c r="I159" s="1" t="s">
        <v>129</v>
      </c>
    </row>
    <row r="160" spans="1:9" x14ac:dyDescent="0.2">
      <c r="A160" s="1" t="s">
        <v>53</v>
      </c>
      <c r="B160" s="1" t="s">
        <v>64</v>
      </c>
      <c r="C160" s="1" t="s">
        <v>266</v>
      </c>
      <c r="D160" s="2">
        <v>439</v>
      </c>
      <c r="E160" s="2">
        <v>429</v>
      </c>
      <c r="F160" s="2">
        <f t="shared" si="6"/>
        <v>868</v>
      </c>
      <c r="G160" s="3">
        <f t="shared" si="7"/>
        <v>0.50576036866359442</v>
      </c>
      <c r="H160" s="3">
        <f t="shared" si="8"/>
        <v>0.49423963133640553</v>
      </c>
      <c r="I160" s="1" t="s">
        <v>129</v>
      </c>
    </row>
    <row r="161" spans="1:9" x14ac:dyDescent="0.2">
      <c r="A161" s="1" t="s">
        <v>53</v>
      </c>
      <c r="B161" s="1" t="s">
        <v>65</v>
      </c>
      <c r="C161" s="1" t="s">
        <v>65</v>
      </c>
      <c r="D161" s="2">
        <v>880</v>
      </c>
      <c r="E161" s="2">
        <v>1325</v>
      </c>
      <c r="F161" s="2">
        <f t="shared" si="6"/>
        <v>2205</v>
      </c>
      <c r="G161" s="3">
        <f t="shared" si="7"/>
        <v>0.39909297052154197</v>
      </c>
      <c r="H161" s="3">
        <f t="shared" si="8"/>
        <v>0.60090702947845809</v>
      </c>
      <c r="I161" s="1" t="s">
        <v>129</v>
      </c>
    </row>
    <row r="162" spans="1:9" x14ac:dyDescent="0.2">
      <c r="A162" s="1" t="s">
        <v>53</v>
      </c>
      <c r="B162" s="1" t="s">
        <v>66</v>
      </c>
      <c r="C162" s="1" t="s">
        <v>66</v>
      </c>
      <c r="D162" s="2">
        <v>452</v>
      </c>
      <c r="E162" s="2">
        <v>785</v>
      </c>
      <c r="F162" s="2">
        <f t="shared" si="6"/>
        <v>1237</v>
      </c>
      <c r="G162" s="3">
        <f t="shared" si="7"/>
        <v>0.36540016168148748</v>
      </c>
      <c r="H162" s="3">
        <f t="shared" si="8"/>
        <v>0.63459983831851252</v>
      </c>
      <c r="I162" s="1" t="s">
        <v>129</v>
      </c>
    </row>
    <row r="163" spans="1:9" x14ac:dyDescent="0.2">
      <c r="A163" s="1" t="s">
        <v>53</v>
      </c>
      <c r="B163" s="1" t="s">
        <v>67</v>
      </c>
      <c r="C163" s="1" t="s">
        <v>267</v>
      </c>
      <c r="D163" s="2">
        <v>157</v>
      </c>
      <c r="E163" s="2">
        <v>396</v>
      </c>
      <c r="F163" s="2">
        <f t="shared" si="6"/>
        <v>553</v>
      </c>
      <c r="G163" s="3">
        <f t="shared" si="7"/>
        <v>0.28390596745027125</v>
      </c>
      <c r="H163" s="3">
        <f t="shared" si="8"/>
        <v>0.7160940325497287</v>
      </c>
      <c r="I163" s="1" t="s">
        <v>129</v>
      </c>
    </row>
    <row r="164" spans="1:9" x14ac:dyDescent="0.2">
      <c r="A164" s="1" t="s">
        <v>53</v>
      </c>
      <c r="B164" s="1" t="s">
        <v>67</v>
      </c>
      <c r="C164" s="1" t="s">
        <v>268</v>
      </c>
      <c r="D164" s="2">
        <v>120</v>
      </c>
      <c r="E164" s="2">
        <v>255</v>
      </c>
      <c r="F164" s="2">
        <f t="shared" si="6"/>
        <v>375</v>
      </c>
      <c r="G164" s="3">
        <f t="shared" si="7"/>
        <v>0.32</v>
      </c>
      <c r="H164" s="3">
        <f t="shared" si="8"/>
        <v>0.68</v>
      </c>
      <c r="I164" s="1" t="s">
        <v>129</v>
      </c>
    </row>
    <row r="165" spans="1:9" x14ac:dyDescent="0.2">
      <c r="A165" s="1" t="s">
        <v>53</v>
      </c>
      <c r="B165" s="1" t="s">
        <v>67</v>
      </c>
      <c r="C165" s="1" t="s">
        <v>269</v>
      </c>
      <c r="D165" s="2">
        <v>421</v>
      </c>
      <c r="E165" s="2">
        <v>843</v>
      </c>
      <c r="F165" s="2">
        <f t="shared" si="6"/>
        <v>1264</v>
      </c>
      <c r="G165" s="3">
        <f t="shared" si="7"/>
        <v>0.33306962025316456</v>
      </c>
      <c r="H165" s="3">
        <f t="shared" si="8"/>
        <v>0.66693037974683544</v>
      </c>
      <c r="I165" s="1" t="s">
        <v>129</v>
      </c>
    </row>
    <row r="166" spans="1:9" x14ac:dyDescent="0.2">
      <c r="A166" s="1" t="s">
        <v>53</v>
      </c>
      <c r="B166" s="1" t="s">
        <v>68</v>
      </c>
      <c r="C166" s="1" t="s">
        <v>68</v>
      </c>
      <c r="D166" s="2">
        <v>804</v>
      </c>
      <c r="E166" s="2">
        <v>709</v>
      </c>
      <c r="F166" s="2">
        <f t="shared" si="6"/>
        <v>1513</v>
      </c>
      <c r="G166" s="3">
        <f t="shared" si="7"/>
        <v>0.53139458030403175</v>
      </c>
      <c r="H166" s="3">
        <f t="shared" si="8"/>
        <v>0.46860541969596825</v>
      </c>
      <c r="I166" s="1" t="s">
        <v>129</v>
      </c>
    </row>
    <row r="167" spans="1:9" x14ac:dyDescent="0.2">
      <c r="A167" s="1" t="s">
        <v>53</v>
      </c>
      <c r="B167" s="1" t="s">
        <v>69</v>
      </c>
      <c r="C167" s="1" t="s">
        <v>270</v>
      </c>
      <c r="D167" s="2">
        <v>837</v>
      </c>
      <c r="E167" s="2">
        <v>1088</v>
      </c>
      <c r="F167" s="2">
        <f t="shared" si="6"/>
        <v>1925</v>
      </c>
      <c r="G167" s="3">
        <f t="shared" si="7"/>
        <v>0.43480519480519481</v>
      </c>
      <c r="H167" s="3">
        <f t="shared" si="8"/>
        <v>0.56519480519480525</v>
      </c>
      <c r="I167" s="1" t="s">
        <v>129</v>
      </c>
    </row>
    <row r="168" spans="1:9" x14ac:dyDescent="0.2">
      <c r="A168" s="1" t="s">
        <v>53</v>
      </c>
      <c r="B168" s="1" t="s">
        <v>69</v>
      </c>
      <c r="C168" s="1" t="s">
        <v>271</v>
      </c>
      <c r="D168" s="2">
        <v>701</v>
      </c>
      <c r="E168" s="2">
        <v>1006</v>
      </c>
      <c r="F168" s="2">
        <f t="shared" si="6"/>
        <v>1707</v>
      </c>
      <c r="G168" s="3">
        <f t="shared" si="7"/>
        <v>0.41066198008201521</v>
      </c>
      <c r="H168" s="3">
        <f t="shared" si="8"/>
        <v>0.58933801991798473</v>
      </c>
      <c r="I168" s="1" t="s">
        <v>129</v>
      </c>
    </row>
    <row r="169" spans="1:9" x14ac:dyDescent="0.2">
      <c r="A169" s="1" t="s">
        <v>53</v>
      </c>
      <c r="B169" s="1" t="s">
        <v>69</v>
      </c>
      <c r="C169" s="1" t="s">
        <v>272</v>
      </c>
      <c r="D169" s="2">
        <v>363</v>
      </c>
      <c r="E169" s="2">
        <v>527</v>
      </c>
      <c r="F169" s="2">
        <f t="shared" si="6"/>
        <v>890</v>
      </c>
      <c r="G169" s="3">
        <f t="shared" si="7"/>
        <v>0.40786516853932586</v>
      </c>
      <c r="H169" s="3">
        <f t="shared" si="8"/>
        <v>0.59213483146067414</v>
      </c>
      <c r="I169" s="1" t="s">
        <v>129</v>
      </c>
    </row>
    <row r="170" spans="1:9" x14ac:dyDescent="0.2">
      <c r="A170" s="1" t="s">
        <v>53</v>
      </c>
      <c r="B170" s="1" t="s">
        <v>69</v>
      </c>
      <c r="C170" s="1" t="s">
        <v>273</v>
      </c>
      <c r="D170" s="2">
        <v>536</v>
      </c>
      <c r="E170" s="2">
        <v>776</v>
      </c>
      <c r="F170" s="2">
        <f t="shared" si="6"/>
        <v>1312</v>
      </c>
      <c r="G170" s="3">
        <f t="shared" si="7"/>
        <v>0.40853658536585363</v>
      </c>
      <c r="H170" s="3">
        <f t="shared" si="8"/>
        <v>0.59146341463414631</v>
      </c>
      <c r="I170" s="1" t="s">
        <v>129</v>
      </c>
    </row>
    <row r="171" spans="1:9" x14ac:dyDescent="0.2">
      <c r="A171" s="1" t="s">
        <v>53</v>
      </c>
      <c r="B171" s="1" t="s">
        <v>69</v>
      </c>
      <c r="C171" s="1" t="s">
        <v>274</v>
      </c>
      <c r="D171" s="2">
        <v>478</v>
      </c>
      <c r="E171" s="2">
        <v>715</v>
      </c>
      <c r="F171" s="2">
        <f t="shared" si="6"/>
        <v>1193</v>
      </c>
      <c r="G171" s="3">
        <f t="shared" si="7"/>
        <v>0.40067057837384745</v>
      </c>
      <c r="H171" s="3">
        <f t="shared" si="8"/>
        <v>0.59932942162615255</v>
      </c>
      <c r="I171" s="1" t="s">
        <v>129</v>
      </c>
    </row>
    <row r="172" spans="1:9" x14ac:dyDescent="0.2">
      <c r="A172" s="1" t="s">
        <v>53</v>
      </c>
      <c r="B172" s="1" t="s">
        <v>69</v>
      </c>
      <c r="C172" s="1" t="s">
        <v>275</v>
      </c>
      <c r="D172" s="2">
        <v>372</v>
      </c>
      <c r="E172" s="2">
        <v>497</v>
      </c>
      <c r="F172" s="2">
        <f t="shared" si="6"/>
        <v>869</v>
      </c>
      <c r="G172" s="3">
        <f t="shared" si="7"/>
        <v>0.42807825086306101</v>
      </c>
      <c r="H172" s="3">
        <f t="shared" si="8"/>
        <v>0.57192174913693905</v>
      </c>
      <c r="I172" s="1" t="s">
        <v>129</v>
      </c>
    </row>
    <row r="173" spans="1:9" x14ac:dyDescent="0.2">
      <c r="A173" s="1" t="s">
        <v>53</v>
      </c>
      <c r="B173" s="1" t="s">
        <v>70</v>
      </c>
      <c r="C173" s="1" t="s">
        <v>276</v>
      </c>
      <c r="D173" s="2">
        <v>508</v>
      </c>
      <c r="E173" s="2">
        <v>506</v>
      </c>
      <c r="F173" s="2">
        <f t="shared" si="6"/>
        <v>1014</v>
      </c>
      <c r="G173" s="3">
        <f t="shared" si="7"/>
        <v>0.50098619329388561</v>
      </c>
      <c r="H173" s="3">
        <f t="shared" si="8"/>
        <v>0.49901380670611439</v>
      </c>
      <c r="I173" s="1" t="s">
        <v>129</v>
      </c>
    </row>
    <row r="174" spans="1:9" x14ac:dyDescent="0.2">
      <c r="A174" s="1" t="s">
        <v>53</v>
      </c>
      <c r="B174" s="1" t="s">
        <v>70</v>
      </c>
      <c r="C174" s="1" t="s">
        <v>277</v>
      </c>
      <c r="D174" s="2">
        <v>607</v>
      </c>
      <c r="E174" s="2">
        <v>598</v>
      </c>
      <c r="F174" s="2">
        <f t="shared" si="6"/>
        <v>1205</v>
      </c>
      <c r="G174" s="3">
        <f t="shared" si="7"/>
        <v>0.50373443983402488</v>
      </c>
      <c r="H174" s="3">
        <f t="shared" si="8"/>
        <v>0.49626556016597512</v>
      </c>
      <c r="I174" s="1" t="s">
        <v>129</v>
      </c>
    </row>
    <row r="175" spans="1:9" x14ac:dyDescent="0.2">
      <c r="A175" s="1" t="s">
        <v>53</v>
      </c>
      <c r="B175" s="1" t="s">
        <v>70</v>
      </c>
      <c r="C175" s="1" t="s">
        <v>278</v>
      </c>
      <c r="D175" s="2">
        <v>285</v>
      </c>
      <c r="E175" s="2">
        <v>283</v>
      </c>
      <c r="F175" s="2">
        <f t="shared" si="6"/>
        <v>568</v>
      </c>
      <c r="G175" s="3">
        <f t="shared" si="7"/>
        <v>0.50176056338028174</v>
      </c>
      <c r="H175" s="3">
        <f t="shared" si="8"/>
        <v>0.49823943661971831</v>
      </c>
      <c r="I175" s="1" t="s">
        <v>129</v>
      </c>
    </row>
    <row r="176" spans="1:9" x14ac:dyDescent="0.2">
      <c r="A176" s="1" t="s">
        <v>53</v>
      </c>
      <c r="B176" s="1" t="s">
        <v>70</v>
      </c>
      <c r="C176" s="1" t="s">
        <v>279</v>
      </c>
      <c r="D176" s="2">
        <v>317</v>
      </c>
      <c r="E176" s="2">
        <v>311</v>
      </c>
      <c r="F176" s="2">
        <f t="shared" si="6"/>
        <v>628</v>
      </c>
      <c r="G176" s="3">
        <f t="shared" si="7"/>
        <v>0.50477707006369432</v>
      </c>
      <c r="H176" s="3">
        <f t="shared" si="8"/>
        <v>0.49522292993630573</v>
      </c>
      <c r="I176" s="1" t="s">
        <v>129</v>
      </c>
    </row>
    <row r="177" spans="1:9" x14ac:dyDescent="0.2">
      <c r="A177" s="1" t="s">
        <v>53</v>
      </c>
      <c r="B177" s="1" t="s">
        <v>70</v>
      </c>
      <c r="C177" s="1" t="s">
        <v>280</v>
      </c>
      <c r="D177" s="2">
        <v>432</v>
      </c>
      <c r="E177" s="2">
        <v>440</v>
      </c>
      <c r="F177" s="2">
        <f t="shared" si="6"/>
        <v>872</v>
      </c>
      <c r="G177" s="3">
        <f t="shared" si="7"/>
        <v>0.49541284403669728</v>
      </c>
      <c r="H177" s="3">
        <f t="shared" si="8"/>
        <v>0.50458715596330272</v>
      </c>
      <c r="I177" s="1" t="s">
        <v>129</v>
      </c>
    </row>
    <row r="178" spans="1:9" x14ac:dyDescent="0.2">
      <c r="A178" s="1" t="s">
        <v>53</v>
      </c>
      <c r="B178" s="1" t="s">
        <v>70</v>
      </c>
      <c r="C178" s="1" t="s">
        <v>281</v>
      </c>
      <c r="D178" s="2">
        <v>278</v>
      </c>
      <c r="E178" s="2">
        <v>301</v>
      </c>
      <c r="F178" s="2">
        <f t="shared" si="6"/>
        <v>579</v>
      </c>
      <c r="G178" s="3">
        <f t="shared" si="7"/>
        <v>0.48013816925734026</v>
      </c>
      <c r="H178" s="3">
        <f t="shared" si="8"/>
        <v>0.51986183074265979</v>
      </c>
      <c r="I178" s="1" t="s">
        <v>129</v>
      </c>
    </row>
    <row r="179" spans="1:9" x14ac:dyDescent="0.2">
      <c r="A179" s="1" t="s">
        <v>53</v>
      </c>
      <c r="B179" s="1" t="s">
        <v>70</v>
      </c>
      <c r="C179" s="1" t="s">
        <v>282</v>
      </c>
      <c r="D179" s="2">
        <v>351</v>
      </c>
      <c r="E179" s="2">
        <v>310</v>
      </c>
      <c r="F179" s="2">
        <f t="shared" si="6"/>
        <v>661</v>
      </c>
      <c r="G179" s="3">
        <f t="shared" si="7"/>
        <v>0.53101361573373673</v>
      </c>
      <c r="H179" s="3">
        <f t="shared" si="8"/>
        <v>0.46898638426626321</v>
      </c>
      <c r="I179" s="1" t="s">
        <v>129</v>
      </c>
    </row>
    <row r="180" spans="1:9" x14ac:dyDescent="0.2">
      <c r="A180" s="1" t="s">
        <v>53</v>
      </c>
      <c r="B180" s="1" t="s">
        <v>70</v>
      </c>
      <c r="C180" s="1" t="s">
        <v>283</v>
      </c>
      <c r="D180" s="2">
        <v>457</v>
      </c>
      <c r="E180" s="2">
        <v>446</v>
      </c>
      <c r="F180" s="2">
        <f t="shared" si="6"/>
        <v>903</v>
      </c>
      <c r="G180" s="3">
        <f t="shared" si="7"/>
        <v>0.50609080841638976</v>
      </c>
      <c r="H180" s="3">
        <f t="shared" si="8"/>
        <v>0.49390919158361019</v>
      </c>
      <c r="I180" s="1" t="s">
        <v>129</v>
      </c>
    </row>
    <row r="181" spans="1:9" x14ac:dyDescent="0.2">
      <c r="A181" s="1" t="s">
        <v>53</v>
      </c>
      <c r="B181" s="1" t="s">
        <v>71</v>
      </c>
      <c r="C181" s="1" t="s">
        <v>284</v>
      </c>
      <c r="D181" s="2">
        <v>171</v>
      </c>
      <c r="E181" s="2">
        <v>228</v>
      </c>
      <c r="F181" s="2">
        <f t="shared" si="6"/>
        <v>399</v>
      </c>
      <c r="G181" s="3">
        <f t="shared" si="7"/>
        <v>0.42857142857142855</v>
      </c>
      <c r="H181" s="3">
        <f t="shared" si="8"/>
        <v>0.5714285714285714</v>
      </c>
      <c r="I181" s="1" t="s">
        <v>129</v>
      </c>
    </row>
    <row r="182" spans="1:9" x14ac:dyDescent="0.2">
      <c r="A182" s="1" t="s">
        <v>53</v>
      </c>
      <c r="B182" s="1" t="s">
        <v>71</v>
      </c>
      <c r="C182" s="1" t="s">
        <v>285</v>
      </c>
      <c r="D182" s="2">
        <v>128</v>
      </c>
      <c r="E182" s="2">
        <v>187</v>
      </c>
      <c r="F182" s="2">
        <f t="shared" si="6"/>
        <v>315</v>
      </c>
      <c r="G182" s="3">
        <f t="shared" si="7"/>
        <v>0.40634920634920635</v>
      </c>
      <c r="H182" s="3">
        <f t="shared" si="8"/>
        <v>0.59365079365079365</v>
      </c>
      <c r="I182" s="1" t="s">
        <v>129</v>
      </c>
    </row>
    <row r="183" spans="1:9" x14ac:dyDescent="0.2">
      <c r="A183" s="1" t="s">
        <v>53</v>
      </c>
      <c r="B183" s="1" t="s">
        <v>71</v>
      </c>
      <c r="C183" s="1" t="s">
        <v>286</v>
      </c>
      <c r="D183" s="2">
        <v>281</v>
      </c>
      <c r="E183" s="2">
        <v>395</v>
      </c>
      <c r="F183" s="2">
        <f t="shared" si="6"/>
        <v>676</v>
      </c>
      <c r="G183" s="3">
        <f t="shared" si="7"/>
        <v>0.41568047337278108</v>
      </c>
      <c r="H183" s="3">
        <f t="shared" si="8"/>
        <v>0.58431952662721898</v>
      </c>
      <c r="I183" s="1" t="s">
        <v>129</v>
      </c>
    </row>
    <row r="184" spans="1:9" x14ac:dyDescent="0.2">
      <c r="A184" s="1" t="s">
        <v>53</v>
      </c>
      <c r="B184" s="1" t="s">
        <v>72</v>
      </c>
      <c r="C184" s="1" t="s">
        <v>287</v>
      </c>
      <c r="D184" s="2">
        <v>711</v>
      </c>
      <c r="E184" s="2">
        <v>725</v>
      </c>
      <c r="F184" s="2">
        <f t="shared" si="6"/>
        <v>1436</v>
      </c>
      <c r="G184" s="3">
        <f t="shared" si="7"/>
        <v>0.49512534818941506</v>
      </c>
      <c r="H184" s="3">
        <f t="shared" si="8"/>
        <v>0.504874651810585</v>
      </c>
      <c r="I184" s="1" t="s">
        <v>129</v>
      </c>
    </row>
    <row r="185" spans="1:9" x14ac:dyDescent="0.2">
      <c r="A185" s="1" t="s">
        <v>53</v>
      </c>
      <c r="B185" s="1" t="s">
        <v>72</v>
      </c>
      <c r="C185" s="1" t="s">
        <v>288</v>
      </c>
      <c r="D185" s="2">
        <v>338</v>
      </c>
      <c r="E185" s="2">
        <v>330</v>
      </c>
      <c r="F185" s="2">
        <f t="shared" si="6"/>
        <v>668</v>
      </c>
      <c r="G185" s="3">
        <f t="shared" si="7"/>
        <v>0.50598802395209586</v>
      </c>
      <c r="H185" s="3">
        <f t="shared" si="8"/>
        <v>0.4940119760479042</v>
      </c>
      <c r="I185" s="1" t="s">
        <v>129</v>
      </c>
    </row>
    <row r="186" spans="1:9" x14ac:dyDescent="0.2">
      <c r="A186" s="1" t="s">
        <v>53</v>
      </c>
      <c r="B186" s="1" t="s">
        <v>72</v>
      </c>
      <c r="C186" s="1" t="s">
        <v>289</v>
      </c>
      <c r="D186" s="2">
        <v>917</v>
      </c>
      <c r="E186" s="2">
        <v>729</v>
      </c>
      <c r="F186" s="2">
        <f t="shared" si="6"/>
        <v>1646</v>
      </c>
      <c r="G186" s="3">
        <f t="shared" si="7"/>
        <v>0.55710814094775207</v>
      </c>
      <c r="H186" s="3">
        <f t="shared" si="8"/>
        <v>0.44289185905224787</v>
      </c>
      <c r="I186" s="1" t="s">
        <v>129</v>
      </c>
    </row>
    <row r="187" spans="1:9" x14ac:dyDescent="0.2">
      <c r="A187" s="1" t="s">
        <v>53</v>
      </c>
      <c r="B187" s="1" t="s">
        <v>72</v>
      </c>
      <c r="C187" s="1" t="s">
        <v>290</v>
      </c>
      <c r="D187" s="2">
        <v>420</v>
      </c>
      <c r="E187" s="2">
        <v>439</v>
      </c>
      <c r="F187" s="2">
        <f t="shared" si="6"/>
        <v>859</v>
      </c>
      <c r="G187" s="3">
        <f t="shared" si="7"/>
        <v>0.48894062863795112</v>
      </c>
      <c r="H187" s="3">
        <f t="shared" si="8"/>
        <v>0.51105937136204893</v>
      </c>
      <c r="I187" s="1" t="s">
        <v>129</v>
      </c>
    </row>
    <row r="188" spans="1:9" x14ac:dyDescent="0.2">
      <c r="A188" s="1" t="s">
        <v>53</v>
      </c>
      <c r="B188" s="1" t="s">
        <v>72</v>
      </c>
      <c r="C188" s="1" t="s">
        <v>291</v>
      </c>
      <c r="D188" s="2">
        <v>927</v>
      </c>
      <c r="E188" s="2">
        <v>624</v>
      </c>
      <c r="F188" s="2">
        <f t="shared" si="6"/>
        <v>1551</v>
      </c>
      <c r="G188" s="3">
        <f t="shared" si="7"/>
        <v>0.59767891682785301</v>
      </c>
      <c r="H188" s="3">
        <f t="shared" si="8"/>
        <v>0.40232108317214699</v>
      </c>
      <c r="I188" s="1" t="s">
        <v>129</v>
      </c>
    </row>
    <row r="189" spans="1:9" x14ac:dyDescent="0.2">
      <c r="A189" s="1" t="s">
        <v>53</v>
      </c>
      <c r="B189" s="1" t="s">
        <v>72</v>
      </c>
      <c r="C189" s="1" t="s">
        <v>292</v>
      </c>
      <c r="D189" s="2">
        <v>873</v>
      </c>
      <c r="E189" s="2">
        <v>601</v>
      </c>
      <c r="F189" s="2">
        <f t="shared" si="6"/>
        <v>1474</v>
      </c>
      <c r="G189" s="3">
        <f t="shared" si="7"/>
        <v>0.59226594301221169</v>
      </c>
      <c r="H189" s="3">
        <f t="shared" si="8"/>
        <v>0.40773405698778831</v>
      </c>
      <c r="I189" s="1" t="s">
        <v>129</v>
      </c>
    </row>
    <row r="190" spans="1:9" x14ac:dyDescent="0.2">
      <c r="A190" s="1" t="s">
        <v>53</v>
      </c>
      <c r="B190" s="1" t="s">
        <v>72</v>
      </c>
      <c r="C190" s="1" t="s">
        <v>293</v>
      </c>
      <c r="D190" s="2">
        <v>388</v>
      </c>
      <c r="E190" s="2">
        <v>374</v>
      </c>
      <c r="F190" s="2">
        <f t="shared" si="6"/>
        <v>762</v>
      </c>
      <c r="G190" s="3">
        <f t="shared" si="7"/>
        <v>0.50918635170603677</v>
      </c>
      <c r="H190" s="3">
        <f t="shared" si="8"/>
        <v>0.49081364829396323</v>
      </c>
      <c r="I190" s="1" t="s">
        <v>129</v>
      </c>
    </row>
    <row r="191" spans="1:9" x14ac:dyDescent="0.2">
      <c r="A191" s="1" t="s">
        <v>53</v>
      </c>
      <c r="B191" s="1" t="s">
        <v>72</v>
      </c>
      <c r="C191" s="1" t="s">
        <v>294</v>
      </c>
      <c r="D191" s="2">
        <v>1069</v>
      </c>
      <c r="E191" s="2">
        <v>1021</v>
      </c>
      <c r="F191" s="2">
        <f t="shared" si="6"/>
        <v>2090</v>
      </c>
      <c r="G191" s="3">
        <f t="shared" si="7"/>
        <v>0.51148325358851676</v>
      </c>
      <c r="H191" s="3">
        <f t="shared" si="8"/>
        <v>0.48851674641148324</v>
      </c>
      <c r="I191" s="1" t="s">
        <v>129</v>
      </c>
    </row>
    <row r="192" spans="1:9" x14ac:dyDescent="0.2">
      <c r="A192" s="1" t="s">
        <v>53</v>
      </c>
      <c r="B192" s="1" t="s">
        <v>73</v>
      </c>
      <c r="C192" s="1" t="s">
        <v>295</v>
      </c>
      <c r="D192" s="2">
        <v>804</v>
      </c>
      <c r="E192" s="2">
        <v>763</v>
      </c>
      <c r="F192" s="2">
        <f t="shared" si="6"/>
        <v>1567</v>
      </c>
      <c r="G192" s="3">
        <f t="shared" si="7"/>
        <v>0.5130823229100191</v>
      </c>
      <c r="H192" s="3">
        <f t="shared" si="8"/>
        <v>0.48691767708998085</v>
      </c>
      <c r="I192" s="1" t="s">
        <v>129</v>
      </c>
    </row>
    <row r="193" spans="1:9" x14ac:dyDescent="0.2">
      <c r="A193" s="1" t="s">
        <v>53</v>
      </c>
      <c r="B193" s="1" t="s">
        <v>73</v>
      </c>
      <c r="C193" s="1" t="s">
        <v>296</v>
      </c>
      <c r="D193" s="2">
        <v>1091</v>
      </c>
      <c r="E193" s="2">
        <v>1014</v>
      </c>
      <c r="F193" s="2">
        <f t="shared" si="6"/>
        <v>2105</v>
      </c>
      <c r="G193" s="3">
        <f t="shared" si="7"/>
        <v>0.51828978622327793</v>
      </c>
      <c r="H193" s="3">
        <f t="shared" si="8"/>
        <v>0.48171021377672207</v>
      </c>
      <c r="I193" s="1" t="s">
        <v>129</v>
      </c>
    </row>
    <row r="194" spans="1:9" x14ac:dyDescent="0.2">
      <c r="A194" s="1" t="s">
        <v>53</v>
      </c>
      <c r="B194" s="1" t="s">
        <v>73</v>
      </c>
      <c r="C194" s="1" t="s">
        <v>297</v>
      </c>
      <c r="D194" s="2">
        <v>766</v>
      </c>
      <c r="E194" s="2">
        <v>851</v>
      </c>
      <c r="F194" s="2">
        <f t="shared" si="6"/>
        <v>1617</v>
      </c>
      <c r="G194" s="3">
        <f t="shared" si="7"/>
        <v>0.47371675943104513</v>
      </c>
      <c r="H194" s="3">
        <f t="shared" si="8"/>
        <v>0.52628324056895481</v>
      </c>
      <c r="I194" s="1" t="s">
        <v>129</v>
      </c>
    </row>
    <row r="195" spans="1:9" x14ac:dyDescent="0.2">
      <c r="A195" s="1" t="s">
        <v>53</v>
      </c>
      <c r="B195" s="1" t="s">
        <v>73</v>
      </c>
      <c r="C195" s="1" t="s">
        <v>298</v>
      </c>
      <c r="D195" s="2">
        <v>563</v>
      </c>
      <c r="E195" s="2">
        <v>504</v>
      </c>
      <c r="F195" s="2">
        <f t="shared" si="6"/>
        <v>1067</v>
      </c>
      <c r="G195" s="3">
        <f t="shared" si="7"/>
        <v>0.52764761012183692</v>
      </c>
      <c r="H195" s="3">
        <f t="shared" si="8"/>
        <v>0.47235238987816308</v>
      </c>
      <c r="I195" s="1" t="s">
        <v>129</v>
      </c>
    </row>
    <row r="196" spans="1:9" x14ac:dyDescent="0.2">
      <c r="A196" s="1" t="s">
        <v>53</v>
      </c>
      <c r="B196" s="1" t="s">
        <v>73</v>
      </c>
      <c r="C196" s="1" t="s">
        <v>299</v>
      </c>
      <c r="D196" s="2">
        <v>1462</v>
      </c>
      <c r="E196" s="2">
        <v>1269</v>
      </c>
      <c r="F196" s="2">
        <f t="shared" si="6"/>
        <v>2731</v>
      </c>
      <c r="G196" s="3">
        <f t="shared" si="7"/>
        <v>0.53533504210911753</v>
      </c>
      <c r="H196" s="3">
        <f t="shared" si="8"/>
        <v>0.46466495789088247</v>
      </c>
      <c r="I196" s="1" t="s">
        <v>129</v>
      </c>
    </row>
    <row r="197" spans="1:9" x14ac:dyDescent="0.2">
      <c r="A197" s="1" t="s">
        <v>53</v>
      </c>
      <c r="B197" s="1" t="s">
        <v>73</v>
      </c>
      <c r="C197" s="1" t="s">
        <v>300</v>
      </c>
      <c r="D197" s="2">
        <v>489</v>
      </c>
      <c r="E197" s="2">
        <v>451</v>
      </c>
      <c r="F197" s="2">
        <f t="shared" si="6"/>
        <v>940</v>
      </c>
      <c r="G197" s="3">
        <f t="shared" si="7"/>
        <v>0.52021276595744681</v>
      </c>
      <c r="H197" s="3">
        <f t="shared" si="8"/>
        <v>0.47978723404255319</v>
      </c>
      <c r="I197" s="1" t="s">
        <v>129</v>
      </c>
    </row>
    <row r="198" spans="1:9" x14ac:dyDescent="0.2">
      <c r="A198" s="1" t="s">
        <v>53</v>
      </c>
      <c r="B198" s="1" t="s">
        <v>73</v>
      </c>
      <c r="C198" s="1" t="s">
        <v>301</v>
      </c>
      <c r="D198" s="2">
        <v>500</v>
      </c>
      <c r="E198" s="2">
        <v>419</v>
      </c>
      <c r="F198" s="2">
        <f t="shared" si="6"/>
        <v>919</v>
      </c>
      <c r="G198" s="3">
        <f t="shared" si="7"/>
        <v>0.54406964091403698</v>
      </c>
      <c r="H198" s="3">
        <f t="shared" si="8"/>
        <v>0.45593035908596302</v>
      </c>
      <c r="I198" s="1" t="s">
        <v>129</v>
      </c>
    </row>
    <row r="199" spans="1:9" x14ac:dyDescent="0.2">
      <c r="A199" s="1" t="s">
        <v>53</v>
      </c>
      <c r="B199" s="1" t="s">
        <v>73</v>
      </c>
      <c r="C199" s="1" t="s">
        <v>302</v>
      </c>
      <c r="D199" s="2">
        <v>566</v>
      </c>
      <c r="E199" s="2">
        <v>519</v>
      </c>
      <c r="F199" s="2">
        <f t="shared" si="6"/>
        <v>1085</v>
      </c>
      <c r="G199" s="3">
        <f t="shared" si="7"/>
        <v>0.52165898617511519</v>
      </c>
      <c r="H199" s="3">
        <f t="shared" si="8"/>
        <v>0.47834101382488481</v>
      </c>
      <c r="I199" s="1" t="s">
        <v>129</v>
      </c>
    </row>
    <row r="200" spans="1:9" x14ac:dyDescent="0.2">
      <c r="A200" s="1" t="s">
        <v>53</v>
      </c>
      <c r="B200" s="1" t="s">
        <v>74</v>
      </c>
      <c r="C200" s="1" t="s">
        <v>303</v>
      </c>
      <c r="D200" s="2">
        <v>1241</v>
      </c>
      <c r="E200" s="2">
        <v>1364</v>
      </c>
      <c r="F200" s="2">
        <f t="shared" si="6"/>
        <v>2605</v>
      </c>
      <c r="G200" s="3">
        <f t="shared" si="7"/>
        <v>0.47639155470249522</v>
      </c>
      <c r="H200" s="3">
        <f t="shared" si="8"/>
        <v>0.52360844529750483</v>
      </c>
      <c r="I200" s="1" t="s">
        <v>129</v>
      </c>
    </row>
    <row r="201" spans="1:9" x14ac:dyDescent="0.2">
      <c r="A201" s="1" t="s">
        <v>53</v>
      </c>
      <c r="B201" s="1" t="s">
        <v>74</v>
      </c>
      <c r="C201" s="1" t="s">
        <v>304</v>
      </c>
      <c r="D201" s="2">
        <v>804</v>
      </c>
      <c r="E201" s="2">
        <v>1204</v>
      </c>
      <c r="F201" s="2">
        <f t="shared" si="6"/>
        <v>2008</v>
      </c>
      <c r="G201" s="3">
        <f t="shared" si="7"/>
        <v>0.40039840637450197</v>
      </c>
      <c r="H201" s="3">
        <f t="shared" si="8"/>
        <v>0.59960159362549803</v>
      </c>
      <c r="I201" s="1" t="s">
        <v>129</v>
      </c>
    </row>
    <row r="202" spans="1:9" x14ac:dyDescent="0.2">
      <c r="A202" s="1" t="s">
        <v>53</v>
      </c>
      <c r="B202" s="1" t="s">
        <v>75</v>
      </c>
      <c r="C202" s="1" t="s">
        <v>305</v>
      </c>
      <c r="D202" s="2">
        <v>903</v>
      </c>
      <c r="E202" s="2">
        <v>899</v>
      </c>
      <c r="F202" s="2">
        <f t="shared" si="6"/>
        <v>1802</v>
      </c>
      <c r="G202" s="3">
        <f t="shared" si="7"/>
        <v>0.50110987791342954</v>
      </c>
      <c r="H202" s="3">
        <f t="shared" si="8"/>
        <v>0.49889012208657046</v>
      </c>
      <c r="I202" s="1" t="s">
        <v>129</v>
      </c>
    </row>
    <row r="203" spans="1:9" x14ac:dyDescent="0.2">
      <c r="A203" s="1" t="s">
        <v>53</v>
      </c>
      <c r="B203" s="1" t="s">
        <v>75</v>
      </c>
      <c r="C203" s="1" t="s">
        <v>306</v>
      </c>
      <c r="D203" s="2">
        <v>649</v>
      </c>
      <c r="E203" s="2">
        <v>695</v>
      </c>
      <c r="F203" s="2">
        <f t="shared" si="6"/>
        <v>1344</v>
      </c>
      <c r="G203" s="3">
        <f t="shared" si="7"/>
        <v>0.48288690476190477</v>
      </c>
      <c r="H203" s="3">
        <f t="shared" si="8"/>
        <v>0.51711309523809523</v>
      </c>
      <c r="I203" s="1" t="s">
        <v>129</v>
      </c>
    </row>
    <row r="204" spans="1:9" x14ac:dyDescent="0.2">
      <c r="A204" s="1" t="s">
        <v>53</v>
      </c>
      <c r="B204" s="1" t="s">
        <v>75</v>
      </c>
      <c r="C204" s="1" t="s">
        <v>307</v>
      </c>
      <c r="D204" s="2">
        <v>560</v>
      </c>
      <c r="E204" s="2">
        <v>577</v>
      </c>
      <c r="F204" s="2">
        <f t="shared" ref="F204:F267" si="9">IF(COUNTA(D204:E204)=0,"",SUM(D204:E204))</f>
        <v>1137</v>
      </c>
      <c r="G204" s="3">
        <f t="shared" ref="G204:G267" si="10">IF(OR(F204="",F204=0),"",D204/F204)</f>
        <v>0.49252418645558488</v>
      </c>
      <c r="H204" s="3">
        <f t="shared" ref="H204:H267" si="11">IF(OR(F204="",F204=0),"",E204/F204)</f>
        <v>0.50747581354441518</v>
      </c>
      <c r="I204" s="1" t="s">
        <v>129</v>
      </c>
    </row>
    <row r="205" spans="1:9" x14ac:dyDescent="0.2">
      <c r="A205" s="1" t="s">
        <v>53</v>
      </c>
      <c r="B205" s="1" t="s">
        <v>75</v>
      </c>
      <c r="C205" s="1" t="s">
        <v>308</v>
      </c>
      <c r="D205" s="2">
        <v>1416</v>
      </c>
      <c r="E205" s="2">
        <v>1456</v>
      </c>
      <c r="F205" s="2">
        <f t="shared" si="9"/>
        <v>2872</v>
      </c>
      <c r="G205" s="3">
        <f t="shared" si="10"/>
        <v>0.49303621169916434</v>
      </c>
      <c r="H205" s="3">
        <f t="shared" si="11"/>
        <v>0.50696378830083566</v>
      </c>
      <c r="I205" s="1" t="s">
        <v>129</v>
      </c>
    </row>
    <row r="206" spans="1:9" x14ac:dyDescent="0.2">
      <c r="A206" s="1" t="s">
        <v>53</v>
      </c>
      <c r="B206" s="1" t="s">
        <v>75</v>
      </c>
      <c r="C206" s="1" t="s">
        <v>309</v>
      </c>
      <c r="D206" s="2">
        <v>569</v>
      </c>
      <c r="E206" s="2">
        <v>529</v>
      </c>
      <c r="F206" s="2">
        <f t="shared" si="9"/>
        <v>1098</v>
      </c>
      <c r="G206" s="3">
        <f t="shared" si="10"/>
        <v>0.51821493624772308</v>
      </c>
      <c r="H206" s="3">
        <f t="shared" si="11"/>
        <v>0.48178506375227687</v>
      </c>
      <c r="I206" s="1" t="s">
        <v>129</v>
      </c>
    </row>
    <row r="207" spans="1:9" x14ac:dyDescent="0.2">
      <c r="A207" s="1" t="s">
        <v>53</v>
      </c>
      <c r="B207" s="1" t="s">
        <v>75</v>
      </c>
      <c r="C207" s="1" t="s">
        <v>310</v>
      </c>
      <c r="D207" s="2">
        <v>579</v>
      </c>
      <c r="E207" s="2">
        <v>512</v>
      </c>
      <c r="F207" s="2">
        <f t="shared" si="9"/>
        <v>1091</v>
      </c>
      <c r="G207" s="3">
        <f t="shared" si="10"/>
        <v>0.53070577451879009</v>
      </c>
      <c r="H207" s="3">
        <f t="shared" si="11"/>
        <v>0.46929422548120991</v>
      </c>
      <c r="I207" s="1" t="s">
        <v>129</v>
      </c>
    </row>
    <row r="208" spans="1:9" x14ac:dyDescent="0.2">
      <c r="A208" s="1" t="s">
        <v>53</v>
      </c>
      <c r="B208" s="1" t="s">
        <v>76</v>
      </c>
      <c r="C208" s="1" t="s">
        <v>311</v>
      </c>
      <c r="D208" s="2">
        <v>191</v>
      </c>
      <c r="E208" s="2">
        <v>405</v>
      </c>
      <c r="F208" s="2">
        <f t="shared" si="9"/>
        <v>596</v>
      </c>
      <c r="G208" s="3">
        <f t="shared" si="10"/>
        <v>0.32046979865771813</v>
      </c>
      <c r="H208" s="3">
        <f t="shared" si="11"/>
        <v>0.67953020134228193</v>
      </c>
      <c r="I208" s="1" t="s">
        <v>129</v>
      </c>
    </row>
    <row r="209" spans="1:9" x14ac:dyDescent="0.2">
      <c r="A209" s="1" t="s">
        <v>53</v>
      </c>
      <c r="B209" s="1" t="s">
        <v>76</v>
      </c>
      <c r="C209" s="1" t="s">
        <v>312</v>
      </c>
      <c r="D209" s="2">
        <v>682</v>
      </c>
      <c r="E209" s="2">
        <v>1292</v>
      </c>
      <c r="F209" s="2">
        <f t="shared" si="9"/>
        <v>1974</v>
      </c>
      <c r="G209" s="3">
        <f t="shared" si="10"/>
        <v>0.34549138804457952</v>
      </c>
      <c r="H209" s="3">
        <f t="shared" si="11"/>
        <v>0.65450861195542043</v>
      </c>
      <c r="I209" s="1" t="s">
        <v>129</v>
      </c>
    </row>
    <row r="210" spans="1:9" x14ac:dyDescent="0.2">
      <c r="A210" s="1" t="s">
        <v>53</v>
      </c>
      <c r="B210" s="1" t="s">
        <v>76</v>
      </c>
      <c r="C210" s="1" t="s">
        <v>313</v>
      </c>
      <c r="D210" s="2">
        <v>154</v>
      </c>
      <c r="E210" s="2">
        <v>379</v>
      </c>
      <c r="F210" s="2">
        <f t="shared" si="9"/>
        <v>533</v>
      </c>
      <c r="G210" s="3">
        <f t="shared" si="10"/>
        <v>0.28893058161350843</v>
      </c>
      <c r="H210" s="3">
        <f t="shared" si="11"/>
        <v>0.71106941838649151</v>
      </c>
      <c r="I210" s="1" t="s">
        <v>129</v>
      </c>
    </row>
    <row r="211" spans="1:9" x14ac:dyDescent="0.2">
      <c r="A211" s="1" t="s">
        <v>53</v>
      </c>
      <c r="B211" s="1" t="s">
        <v>77</v>
      </c>
      <c r="C211" s="1" t="s">
        <v>77</v>
      </c>
      <c r="D211" s="2">
        <v>969</v>
      </c>
      <c r="E211" s="2">
        <v>1771</v>
      </c>
      <c r="F211" s="2">
        <f t="shared" si="9"/>
        <v>2740</v>
      </c>
      <c r="G211" s="3">
        <f t="shared" si="10"/>
        <v>0.35364963503649632</v>
      </c>
      <c r="H211" s="3">
        <f t="shared" si="11"/>
        <v>0.64635036496350362</v>
      </c>
      <c r="I211" s="1" t="s">
        <v>129</v>
      </c>
    </row>
    <row r="212" spans="1:9" x14ac:dyDescent="0.2">
      <c r="A212" s="1" t="s">
        <v>53</v>
      </c>
      <c r="B212" s="1" t="s">
        <v>78</v>
      </c>
      <c r="C212" s="1" t="s">
        <v>314</v>
      </c>
      <c r="D212" s="2">
        <v>641</v>
      </c>
      <c r="E212" s="2">
        <v>701</v>
      </c>
      <c r="F212" s="2">
        <f t="shared" si="9"/>
        <v>1342</v>
      </c>
      <c r="G212" s="3">
        <f t="shared" si="10"/>
        <v>0.47764530551415796</v>
      </c>
      <c r="H212" s="3">
        <f t="shared" si="11"/>
        <v>0.52235469448584204</v>
      </c>
      <c r="I212" s="1" t="s">
        <v>129</v>
      </c>
    </row>
    <row r="213" spans="1:9" x14ac:dyDescent="0.2">
      <c r="A213" s="1" t="s">
        <v>53</v>
      </c>
      <c r="B213" s="1" t="s">
        <v>78</v>
      </c>
      <c r="C213" s="1" t="s">
        <v>315</v>
      </c>
      <c r="D213" s="2">
        <v>473</v>
      </c>
      <c r="E213" s="2">
        <v>509</v>
      </c>
      <c r="F213" s="2">
        <f t="shared" si="9"/>
        <v>982</v>
      </c>
      <c r="G213" s="3">
        <f t="shared" si="10"/>
        <v>0.48167006109979632</v>
      </c>
      <c r="H213" s="3">
        <f t="shared" si="11"/>
        <v>0.51832993890020362</v>
      </c>
      <c r="I213" s="1" t="s">
        <v>129</v>
      </c>
    </row>
    <row r="214" spans="1:9" x14ac:dyDescent="0.2">
      <c r="A214" s="1" t="s">
        <v>53</v>
      </c>
      <c r="B214" s="1" t="s">
        <v>78</v>
      </c>
      <c r="C214" s="1" t="s">
        <v>316</v>
      </c>
      <c r="D214" s="2">
        <v>496</v>
      </c>
      <c r="E214" s="2">
        <v>433</v>
      </c>
      <c r="F214" s="2">
        <f t="shared" si="9"/>
        <v>929</v>
      </c>
      <c r="G214" s="3">
        <f t="shared" si="10"/>
        <v>0.53390742734122709</v>
      </c>
      <c r="H214" s="3">
        <f t="shared" si="11"/>
        <v>0.46609257265877285</v>
      </c>
      <c r="I214" s="1" t="s">
        <v>129</v>
      </c>
    </row>
    <row r="215" spans="1:9" x14ac:dyDescent="0.2">
      <c r="A215" s="1" t="s">
        <v>53</v>
      </c>
      <c r="B215" s="1" t="s">
        <v>78</v>
      </c>
      <c r="C215" s="1" t="s">
        <v>317</v>
      </c>
      <c r="D215" s="2">
        <v>589</v>
      </c>
      <c r="E215" s="2">
        <v>437</v>
      </c>
      <c r="F215" s="2">
        <f t="shared" si="9"/>
        <v>1026</v>
      </c>
      <c r="G215" s="3">
        <f t="shared" si="10"/>
        <v>0.57407407407407407</v>
      </c>
      <c r="H215" s="3">
        <f t="shared" si="11"/>
        <v>0.42592592592592593</v>
      </c>
      <c r="I215" s="1" t="s">
        <v>129</v>
      </c>
    </row>
    <row r="216" spans="1:9" x14ac:dyDescent="0.2">
      <c r="A216" s="1" t="s">
        <v>53</v>
      </c>
      <c r="B216" s="1" t="s">
        <v>78</v>
      </c>
      <c r="C216" s="1" t="s">
        <v>318</v>
      </c>
      <c r="D216" s="2">
        <v>217</v>
      </c>
      <c r="E216" s="2">
        <v>192</v>
      </c>
      <c r="F216" s="2">
        <f t="shared" si="9"/>
        <v>409</v>
      </c>
      <c r="G216" s="3">
        <f t="shared" si="10"/>
        <v>0.53056234718826401</v>
      </c>
      <c r="H216" s="3">
        <f t="shared" si="11"/>
        <v>0.46943765281173594</v>
      </c>
      <c r="I216" s="1" t="s">
        <v>129</v>
      </c>
    </row>
    <row r="217" spans="1:9" x14ac:dyDescent="0.2">
      <c r="A217" s="1" t="s">
        <v>53</v>
      </c>
      <c r="B217" s="1" t="s">
        <v>78</v>
      </c>
      <c r="C217" s="1" t="s">
        <v>319</v>
      </c>
      <c r="D217" s="2">
        <v>331</v>
      </c>
      <c r="E217" s="2">
        <v>232</v>
      </c>
      <c r="F217" s="2">
        <f t="shared" si="9"/>
        <v>563</v>
      </c>
      <c r="G217" s="3">
        <f t="shared" si="10"/>
        <v>0.58792184724689167</v>
      </c>
      <c r="H217" s="3">
        <f t="shared" si="11"/>
        <v>0.41207815275310833</v>
      </c>
      <c r="I217" s="1" t="s">
        <v>129</v>
      </c>
    </row>
    <row r="218" spans="1:9" x14ac:dyDescent="0.2">
      <c r="A218" s="1" t="s">
        <v>53</v>
      </c>
      <c r="B218" s="1" t="s">
        <v>78</v>
      </c>
      <c r="C218" s="1" t="s">
        <v>320</v>
      </c>
      <c r="D218" s="2">
        <v>374</v>
      </c>
      <c r="E218" s="2">
        <v>311</v>
      </c>
      <c r="F218" s="2">
        <f t="shared" si="9"/>
        <v>685</v>
      </c>
      <c r="G218" s="3">
        <f t="shared" si="10"/>
        <v>0.54598540145985397</v>
      </c>
      <c r="H218" s="3">
        <f t="shared" si="11"/>
        <v>0.45401459854014597</v>
      </c>
      <c r="I218" s="1" t="s">
        <v>129</v>
      </c>
    </row>
    <row r="219" spans="1:9" x14ac:dyDescent="0.2">
      <c r="A219" s="1" t="s">
        <v>53</v>
      </c>
      <c r="B219" s="1" t="s">
        <v>78</v>
      </c>
      <c r="C219" s="1" t="s">
        <v>321</v>
      </c>
      <c r="D219" s="2">
        <v>215</v>
      </c>
      <c r="E219" s="2">
        <v>234</v>
      </c>
      <c r="F219" s="2">
        <f t="shared" si="9"/>
        <v>449</v>
      </c>
      <c r="G219" s="3">
        <f t="shared" si="10"/>
        <v>0.47884187082405344</v>
      </c>
      <c r="H219" s="3">
        <f t="shared" si="11"/>
        <v>0.52115812917594651</v>
      </c>
      <c r="I219" s="1" t="s">
        <v>129</v>
      </c>
    </row>
    <row r="220" spans="1:9" x14ac:dyDescent="0.2">
      <c r="A220" s="1" t="s">
        <v>53</v>
      </c>
      <c r="B220" s="1" t="s">
        <v>78</v>
      </c>
      <c r="C220" s="1" t="s">
        <v>322</v>
      </c>
      <c r="D220" s="2">
        <v>379</v>
      </c>
      <c r="E220" s="2">
        <v>352</v>
      </c>
      <c r="F220" s="2">
        <f t="shared" si="9"/>
        <v>731</v>
      </c>
      <c r="G220" s="3">
        <f t="shared" si="10"/>
        <v>0.51846785225718195</v>
      </c>
      <c r="H220" s="3">
        <f t="shared" si="11"/>
        <v>0.48153214774281805</v>
      </c>
      <c r="I220" s="1" t="s">
        <v>129</v>
      </c>
    </row>
    <row r="221" spans="1:9" x14ac:dyDescent="0.2">
      <c r="A221" s="1" t="s">
        <v>53</v>
      </c>
      <c r="B221" s="1" t="s">
        <v>78</v>
      </c>
      <c r="C221" s="1" t="s">
        <v>323</v>
      </c>
      <c r="D221" s="2">
        <v>662</v>
      </c>
      <c r="E221" s="2">
        <v>740</v>
      </c>
      <c r="F221" s="2">
        <f t="shared" si="9"/>
        <v>1402</v>
      </c>
      <c r="G221" s="3">
        <f t="shared" si="10"/>
        <v>0.47218259629101283</v>
      </c>
      <c r="H221" s="3">
        <f t="shared" si="11"/>
        <v>0.52781740370898711</v>
      </c>
      <c r="I221" s="1" t="s">
        <v>129</v>
      </c>
    </row>
    <row r="222" spans="1:9" x14ac:dyDescent="0.2">
      <c r="A222" s="1" t="s">
        <v>53</v>
      </c>
      <c r="B222" s="1" t="s">
        <v>78</v>
      </c>
      <c r="C222" s="1" t="s">
        <v>324</v>
      </c>
      <c r="D222" s="2">
        <v>549</v>
      </c>
      <c r="E222" s="2">
        <v>571</v>
      </c>
      <c r="F222" s="2">
        <f t="shared" si="9"/>
        <v>1120</v>
      </c>
      <c r="G222" s="3">
        <f t="shared" si="10"/>
        <v>0.49017857142857141</v>
      </c>
      <c r="H222" s="3">
        <f t="shared" si="11"/>
        <v>0.50982142857142854</v>
      </c>
      <c r="I222" s="1" t="s">
        <v>129</v>
      </c>
    </row>
    <row r="223" spans="1:9" x14ac:dyDescent="0.2">
      <c r="A223" s="1" t="s">
        <v>53</v>
      </c>
      <c r="B223" s="1" t="s">
        <v>78</v>
      </c>
      <c r="C223" s="1" t="s">
        <v>325</v>
      </c>
      <c r="D223" s="2">
        <v>447</v>
      </c>
      <c r="E223" s="2">
        <v>419</v>
      </c>
      <c r="F223" s="2">
        <f t="shared" si="9"/>
        <v>866</v>
      </c>
      <c r="G223" s="3">
        <f t="shared" si="10"/>
        <v>0.5161662817551963</v>
      </c>
      <c r="H223" s="3">
        <f t="shared" si="11"/>
        <v>0.4838337182448037</v>
      </c>
      <c r="I223" s="1" t="s">
        <v>129</v>
      </c>
    </row>
    <row r="224" spans="1:9" x14ac:dyDescent="0.2">
      <c r="A224" s="1" t="s">
        <v>79</v>
      </c>
      <c r="B224" s="1" t="s">
        <v>81</v>
      </c>
      <c r="C224" s="1" t="s">
        <v>326</v>
      </c>
      <c r="D224" s="2">
        <v>376</v>
      </c>
      <c r="E224" s="2">
        <v>858</v>
      </c>
      <c r="F224" s="2">
        <f t="shared" si="9"/>
        <v>1234</v>
      </c>
      <c r="G224" s="3">
        <f t="shared" si="10"/>
        <v>0.3047001620745543</v>
      </c>
      <c r="H224" s="3">
        <f t="shared" si="11"/>
        <v>0.6952998379254457</v>
      </c>
      <c r="I224" s="1" t="s">
        <v>129</v>
      </c>
    </row>
    <row r="225" spans="1:9" x14ac:dyDescent="0.2">
      <c r="A225" s="1" t="s">
        <v>79</v>
      </c>
      <c r="B225" s="1" t="s">
        <v>80</v>
      </c>
      <c r="C225" s="1" t="s">
        <v>327</v>
      </c>
      <c r="D225" s="2">
        <v>1063</v>
      </c>
      <c r="E225" s="2">
        <v>2088</v>
      </c>
      <c r="F225" s="2">
        <f t="shared" si="9"/>
        <v>3151</v>
      </c>
      <c r="G225" s="3">
        <f t="shared" si="10"/>
        <v>0.33735322119961919</v>
      </c>
      <c r="H225" s="3">
        <f t="shared" si="11"/>
        <v>0.66264677880038081</v>
      </c>
      <c r="I225" s="1" t="s">
        <v>129</v>
      </c>
    </row>
    <row r="226" spans="1:9" x14ac:dyDescent="0.2">
      <c r="A226" s="1" t="s">
        <v>79</v>
      </c>
      <c r="B226" s="1" t="s">
        <v>82</v>
      </c>
      <c r="C226" s="1" t="s">
        <v>328</v>
      </c>
      <c r="D226" s="2">
        <v>414</v>
      </c>
      <c r="E226" s="2">
        <v>757</v>
      </c>
      <c r="F226" s="2">
        <f t="shared" si="9"/>
        <v>1171</v>
      </c>
      <c r="G226" s="3">
        <f t="shared" si="10"/>
        <v>0.35354397950469685</v>
      </c>
      <c r="H226" s="3">
        <f t="shared" si="11"/>
        <v>0.64645602049530315</v>
      </c>
      <c r="I226" s="1" t="s">
        <v>129</v>
      </c>
    </row>
    <row r="227" spans="1:9" x14ac:dyDescent="0.2">
      <c r="A227" s="1" t="s">
        <v>83</v>
      </c>
      <c r="B227" s="1" t="s">
        <v>84</v>
      </c>
      <c r="C227" s="1" t="s">
        <v>329</v>
      </c>
      <c r="D227" s="2">
        <v>548</v>
      </c>
      <c r="E227" s="2">
        <v>783</v>
      </c>
      <c r="F227" s="2">
        <f t="shared" si="9"/>
        <v>1331</v>
      </c>
      <c r="G227" s="3">
        <f t="shared" si="10"/>
        <v>0.41172051089406464</v>
      </c>
      <c r="H227" s="3">
        <f t="shared" si="11"/>
        <v>0.58827948910593542</v>
      </c>
      <c r="I227" s="1" t="s">
        <v>129</v>
      </c>
    </row>
    <row r="228" spans="1:9" x14ac:dyDescent="0.2">
      <c r="A228" s="1" t="s">
        <v>83</v>
      </c>
      <c r="B228" s="1" t="s">
        <v>84</v>
      </c>
      <c r="C228" s="1" t="s">
        <v>330</v>
      </c>
      <c r="D228" s="2">
        <v>633</v>
      </c>
      <c r="E228" s="2">
        <v>744</v>
      </c>
      <c r="F228" s="2">
        <f t="shared" si="9"/>
        <v>1377</v>
      </c>
      <c r="G228" s="3">
        <f t="shared" si="10"/>
        <v>0.45969498910675383</v>
      </c>
      <c r="H228" s="3">
        <f t="shared" si="11"/>
        <v>0.54030501089324623</v>
      </c>
      <c r="I228" s="1" t="s">
        <v>129</v>
      </c>
    </row>
    <row r="229" spans="1:9" x14ac:dyDescent="0.2">
      <c r="A229" s="1" t="s">
        <v>83</v>
      </c>
      <c r="B229" s="1" t="s">
        <v>85</v>
      </c>
      <c r="C229" s="1" t="s">
        <v>331</v>
      </c>
      <c r="D229" s="2">
        <v>353</v>
      </c>
      <c r="E229" s="2">
        <v>473</v>
      </c>
      <c r="F229" s="2">
        <f t="shared" si="9"/>
        <v>826</v>
      </c>
      <c r="G229" s="3">
        <f t="shared" si="10"/>
        <v>0.42736077481840196</v>
      </c>
      <c r="H229" s="3">
        <f t="shared" si="11"/>
        <v>0.57263922518159804</v>
      </c>
      <c r="I229" s="1" t="s">
        <v>332</v>
      </c>
    </row>
    <row r="230" spans="1:9" x14ac:dyDescent="0.2">
      <c r="A230" s="1" t="s">
        <v>83</v>
      </c>
      <c r="B230" s="1" t="s">
        <v>85</v>
      </c>
      <c r="C230" s="1" t="s">
        <v>333</v>
      </c>
      <c r="D230" s="2">
        <v>369</v>
      </c>
      <c r="E230" s="2">
        <v>493</v>
      </c>
      <c r="F230" s="2">
        <f t="shared" si="9"/>
        <v>862</v>
      </c>
      <c r="G230" s="3">
        <f t="shared" si="10"/>
        <v>0.42807424593967519</v>
      </c>
      <c r="H230" s="3">
        <f t="shared" si="11"/>
        <v>0.57192575406032486</v>
      </c>
      <c r="I230" s="1" t="s">
        <v>332</v>
      </c>
    </row>
    <row r="231" spans="1:9" x14ac:dyDescent="0.2">
      <c r="A231" s="1" t="s">
        <v>83</v>
      </c>
      <c r="B231" s="1" t="s">
        <v>86</v>
      </c>
      <c r="C231" s="1" t="s">
        <v>86</v>
      </c>
      <c r="D231" s="2">
        <v>491</v>
      </c>
      <c r="E231" s="2">
        <v>525</v>
      </c>
      <c r="F231" s="2">
        <f t="shared" si="9"/>
        <v>1016</v>
      </c>
      <c r="G231" s="3">
        <f t="shared" si="10"/>
        <v>0.48326771653543305</v>
      </c>
      <c r="H231" s="3">
        <f t="shared" si="11"/>
        <v>0.5167322834645669</v>
      </c>
      <c r="I231" s="1" t="s">
        <v>129</v>
      </c>
    </row>
    <row r="232" spans="1:9" x14ac:dyDescent="0.2">
      <c r="A232" s="1" t="s">
        <v>83</v>
      </c>
      <c r="B232" s="1" t="s">
        <v>56</v>
      </c>
      <c r="C232" s="1" t="s">
        <v>334</v>
      </c>
      <c r="D232" s="2">
        <v>596</v>
      </c>
      <c r="E232" s="2">
        <v>346</v>
      </c>
      <c r="F232" s="2">
        <f t="shared" si="9"/>
        <v>942</v>
      </c>
      <c r="G232" s="3">
        <f t="shared" si="10"/>
        <v>0.63269639065817407</v>
      </c>
      <c r="H232" s="3">
        <f t="shared" si="11"/>
        <v>0.36730360934182588</v>
      </c>
      <c r="I232" s="1" t="s">
        <v>129</v>
      </c>
    </row>
    <row r="233" spans="1:9" x14ac:dyDescent="0.2">
      <c r="A233" s="1" t="s">
        <v>83</v>
      </c>
      <c r="B233" s="1" t="s">
        <v>56</v>
      </c>
      <c r="C233" s="1" t="s">
        <v>335</v>
      </c>
      <c r="D233" s="2">
        <v>830</v>
      </c>
      <c r="E233" s="2">
        <v>561</v>
      </c>
      <c r="F233" s="2">
        <f t="shared" si="9"/>
        <v>1391</v>
      </c>
      <c r="G233" s="3">
        <f t="shared" si="10"/>
        <v>0.59669302659956869</v>
      </c>
      <c r="H233" s="3">
        <f t="shared" si="11"/>
        <v>0.40330697340043137</v>
      </c>
      <c r="I233" s="1" t="s">
        <v>129</v>
      </c>
    </row>
    <row r="234" spans="1:9" x14ac:dyDescent="0.2">
      <c r="A234" s="1" t="s">
        <v>83</v>
      </c>
      <c r="B234" s="1" t="s">
        <v>56</v>
      </c>
      <c r="C234" s="1" t="s">
        <v>336</v>
      </c>
      <c r="D234" s="2">
        <v>595</v>
      </c>
      <c r="E234" s="2">
        <v>332</v>
      </c>
      <c r="F234" s="2">
        <f t="shared" si="9"/>
        <v>927</v>
      </c>
      <c r="G234" s="3">
        <f t="shared" si="10"/>
        <v>0.64185544768069036</v>
      </c>
      <c r="H234" s="3">
        <f t="shared" si="11"/>
        <v>0.35814455231930958</v>
      </c>
      <c r="I234" s="1" t="s">
        <v>129</v>
      </c>
    </row>
    <row r="235" spans="1:9" x14ac:dyDescent="0.2">
      <c r="A235" s="1" t="s">
        <v>83</v>
      </c>
      <c r="B235" s="1" t="s">
        <v>56</v>
      </c>
      <c r="C235" s="1" t="s">
        <v>337</v>
      </c>
      <c r="D235" s="2">
        <v>466</v>
      </c>
      <c r="E235" s="2">
        <v>270</v>
      </c>
      <c r="F235" s="2">
        <f t="shared" si="9"/>
        <v>736</v>
      </c>
      <c r="G235" s="3">
        <f t="shared" si="10"/>
        <v>0.63315217391304346</v>
      </c>
      <c r="H235" s="3">
        <f t="shared" si="11"/>
        <v>0.36684782608695654</v>
      </c>
      <c r="I235" s="1" t="s">
        <v>129</v>
      </c>
    </row>
    <row r="236" spans="1:9" x14ac:dyDescent="0.2">
      <c r="A236" s="1" t="s">
        <v>83</v>
      </c>
      <c r="B236" s="1" t="s">
        <v>56</v>
      </c>
      <c r="C236" s="1" t="s">
        <v>338</v>
      </c>
      <c r="D236" s="2">
        <v>589</v>
      </c>
      <c r="E236" s="2">
        <v>390</v>
      </c>
      <c r="F236" s="2">
        <f t="shared" si="9"/>
        <v>979</v>
      </c>
      <c r="G236" s="3">
        <f t="shared" si="10"/>
        <v>0.60163432073544432</v>
      </c>
      <c r="H236" s="3">
        <f t="shared" si="11"/>
        <v>0.39836567926455568</v>
      </c>
      <c r="I236" s="1" t="s">
        <v>129</v>
      </c>
    </row>
    <row r="237" spans="1:9" x14ac:dyDescent="0.2">
      <c r="A237" s="1" t="s">
        <v>83</v>
      </c>
      <c r="B237" s="1" t="s">
        <v>56</v>
      </c>
      <c r="C237" s="1" t="s">
        <v>339</v>
      </c>
      <c r="D237" s="2">
        <v>751</v>
      </c>
      <c r="E237" s="2">
        <v>451</v>
      </c>
      <c r="F237" s="2">
        <f t="shared" si="9"/>
        <v>1202</v>
      </c>
      <c r="G237" s="3">
        <f t="shared" si="10"/>
        <v>0.62479201331114809</v>
      </c>
      <c r="H237" s="3">
        <f t="shared" si="11"/>
        <v>0.37520798668885191</v>
      </c>
      <c r="I237" s="1" t="s">
        <v>129</v>
      </c>
    </row>
    <row r="238" spans="1:9" x14ac:dyDescent="0.2">
      <c r="A238" s="1" t="s">
        <v>83</v>
      </c>
      <c r="B238" s="1" t="s">
        <v>56</v>
      </c>
      <c r="C238" s="1" t="s">
        <v>340</v>
      </c>
      <c r="D238" s="2">
        <v>594</v>
      </c>
      <c r="E238" s="2">
        <v>432</v>
      </c>
      <c r="F238" s="2">
        <f t="shared" si="9"/>
        <v>1026</v>
      </c>
      <c r="G238" s="3">
        <f t="shared" si="10"/>
        <v>0.57894736842105265</v>
      </c>
      <c r="H238" s="3">
        <f t="shared" si="11"/>
        <v>0.42105263157894735</v>
      </c>
      <c r="I238" s="1" t="s">
        <v>129</v>
      </c>
    </row>
    <row r="239" spans="1:9" x14ac:dyDescent="0.2">
      <c r="A239" s="1" t="s">
        <v>83</v>
      </c>
      <c r="B239" s="1" t="s">
        <v>56</v>
      </c>
      <c r="C239" s="1" t="s">
        <v>341</v>
      </c>
      <c r="D239" s="2">
        <v>434</v>
      </c>
      <c r="E239" s="2">
        <v>247</v>
      </c>
      <c r="F239" s="2">
        <f t="shared" si="9"/>
        <v>681</v>
      </c>
      <c r="G239" s="3">
        <f t="shared" si="10"/>
        <v>0.63729809104258439</v>
      </c>
      <c r="H239" s="3">
        <f t="shared" si="11"/>
        <v>0.36270190895741555</v>
      </c>
      <c r="I239" s="1" t="s">
        <v>129</v>
      </c>
    </row>
    <row r="240" spans="1:9" x14ac:dyDescent="0.2">
      <c r="A240" s="1" t="s">
        <v>83</v>
      </c>
      <c r="B240" s="1" t="s">
        <v>56</v>
      </c>
      <c r="C240" s="1" t="s">
        <v>342</v>
      </c>
      <c r="D240" s="2">
        <v>549</v>
      </c>
      <c r="E240" s="2">
        <v>288</v>
      </c>
      <c r="F240" s="2">
        <f t="shared" si="9"/>
        <v>837</v>
      </c>
      <c r="G240" s="3">
        <f t="shared" si="10"/>
        <v>0.65591397849462363</v>
      </c>
      <c r="H240" s="3">
        <f t="shared" si="11"/>
        <v>0.34408602150537637</v>
      </c>
      <c r="I240" s="1" t="s">
        <v>129</v>
      </c>
    </row>
    <row r="241" spans="1:9" x14ac:dyDescent="0.2">
      <c r="A241" s="1" t="s">
        <v>83</v>
      </c>
      <c r="B241" s="1" t="s">
        <v>56</v>
      </c>
      <c r="C241" s="1" t="s">
        <v>343</v>
      </c>
      <c r="D241" s="2">
        <v>698</v>
      </c>
      <c r="E241" s="2">
        <v>445</v>
      </c>
      <c r="F241" s="2">
        <f t="shared" si="9"/>
        <v>1143</v>
      </c>
      <c r="G241" s="3">
        <f t="shared" si="10"/>
        <v>0.61067366579177607</v>
      </c>
      <c r="H241" s="3">
        <f t="shared" si="11"/>
        <v>0.38932633420822399</v>
      </c>
      <c r="I241" s="1" t="s">
        <v>129</v>
      </c>
    </row>
    <row r="242" spans="1:9" x14ac:dyDescent="0.2">
      <c r="A242" s="1" t="s">
        <v>83</v>
      </c>
      <c r="B242" s="1" t="s">
        <v>56</v>
      </c>
      <c r="C242" s="1" t="s">
        <v>344</v>
      </c>
      <c r="D242" s="2">
        <v>546</v>
      </c>
      <c r="E242" s="2">
        <v>252</v>
      </c>
      <c r="F242" s="2">
        <f t="shared" si="9"/>
        <v>798</v>
      </c>
      <c r="G242" s="3">
        <f t="shared" si="10"/>
        <v>0.68421052631578949</v>
      </c>
      <c r="H242" s="3">
        <f t="shared" si="11"/>
        <v>0.31578947368421051</v>
      </c>
      <c r="I242" s="1" t="s">
        <v>129</v>
      </c>
    </row>
    <row r="243" spans="1:9" x14ac:dyDescent="0.2">
      <c r="A243" s="1" t="s">
        <v>83</v>
      </c>
      <c r="B243" s="1" t="s">
        <v>56</v>
      </c>
      <c r="C243" s="1" t="s">
        <v>345</v>
      </c>
      <c r="D243" s="2">
        <v>514</v>
      </c>
      <c r="E243" s="2">
        <v>295</v>
      </c>
      <c r="F243" s="2">
        <f t="shared" si="9"/>
        <v>809</v>
      </c>
      <c r="G243" s="3">
        <f t="shared" si="10"/>
        <v>0.63535228677379485</v>
      </c>
      <c r="H243" s="3">
        <f t="shared" si="11"/>
        <v>0.36464771322620521</v>
      </c>
      <c r="I243" s="1" t="s">
        <v>129</v>
      </c>
    </row>
    <row r="244" spans="1:9" x14ac:dyDescent="0.2">
      <c r="A244" s="1" t="s">
        <v>83</v>
      </c>
      <c r="B244" s="1" t="s">
        <v>56</v>
      </c>
      <c r="C244" s="1" t="s">
        <v>346</v>
      </c>
      <c r="D244" s="2">
        <v>169</v>
      </c>
      <c r="E244" s="2">
        <v>67</v>
      </c>
      <c r="F244" s="2">
        <f t="shared" si="9"/>
        <v>236</v>
      </c>
      <c r="G244" s="3">
        <f t="shared" si="10"/>
        <v>0.71610169491525422</v>
      </c>
      <c r="H244" s="3">
        <f t="shared" si="11"/>
        <v>0.28389830508474578</v>
      </c>
      <c r="I244" s="1" t="s">
        <v>129</v>
      </c>
    </row>
    <row r="245" spans="1:9" x14ac:dyDescent="0.2">
      <c r="A245" s="1" t="s">
        <v>83</v>
      </c>
      <c r="B245" s="1" t="s">
        <v>56</v>
      </c>
      <c r="C245" s="1" t="s">
        <v>347</v>
      </c>
      <c r="D245" s="2">
        <v>303</v>
      </c>
      <c r="E245" s="2">
        <v>126</v>
      </c>
      <c r="F245" s="2">
        <f t="shared" si="9"/>
        <v>429</v>
      </c>
      <c r="G245" s="3">
        <f t="shared" si="10"/>
        <v>0.70629370629370625</v>
      </c>
      <c r="H245" s="3">
        <f t="shared" si="11"/>
        <v>0.2937062937062937</v>
      </c>
      <c r="I245" s="1" t="s">
        <v>129</v>
      </c>
    </row>
    <row r="246" spans="1:9" x14ac:dyDescent="0.2">
      <c r="A246" s="1" t="s">
        <v>83</v>
      </c>
      <c r="B246" s="1" t="s">
        <v>56</v>
      </c>
      <c r="C246" s="1" t="s">
        <v>348</v>
      </c>
      <c r="D246" s="2">
        <v>255</v>
      </c>
      <c r="E246" s="2">
        <v>99</v>
      </c>
      <c r="F246" s="2">
        <f t="shared" si="9"/>
        <v>354</v>
      </c>
      <c r="G246" s="3">
        <f t="shared" si="10"/>
        <v>0.72033898305084743</v>
      </c>
      <c r="H246" s="3">
        <f t="shared" si="11"/>
        <v>0.27966101694915252</v>
      </c>
      <c r="I246" s="1" t="s">
        <v>129</v>
      </c>
    </row>
    <row r="247" spans="1:9" x14ac:dyDescent="0.2">
      <c r="A247" s="1" t="s">
        <v>83</v>
      </c>
      <c r="B247" s="1" t="s">
        <v>56</v>
      </c>
      <c r="C247" s="1" t="s">
        <v>349</v>
      </c>
      <c r="D247" s="2">
        <v>381</v>
      </c>
      <c r="E247" s="2">
        <v>141</v>
      </c>
      <c r="F247" s="2">
        <f t="shared" si="9"/>
        <v>522</v>
      </c>
      <c r="G247" s="3">
        <f t="shared" si="10"/>
        <v>0.72988505747126442</v>
      </c>
      <c r="H247" s="3">
        <f t="shared" si="11"/>
        <v>0.27011494252873564</v>
      </c>
      <c r="I247" s="1" t="s">
        <v>129</v>
      </c>
    </row>
    <row r="248" spans="1:9" x14ac:dyDescent="0.2">
      <c r="A248" s="1" t="s">
        <v>83</v>
      </c>
      <c r="B248" s="1" t="s">
        <v>56</v>
      </c>
      <c r="C248" s="1" t="s">
        <v>350</v>
      </c>
      <c r="D248" s="2">
        <v>875</v>
      </c>
      <c r="E248" s="2">
        <v>250</v>
      </c>
      <c r="F248" s="2">
        <f t="shared" si="9"/>
        <v>1125</v>
      </c>
      <c r="G248" s="3">
        <f t="shared" si="10"/>
        <v>0.77777777777777779</v>
      </c>
      <c r="H248" s="3">
        <f t="shared" si="11"/>
        <v>0.22222222222222221</v>
      </c>
      <c r="I248" s="1" t="s">
        <v>129</v>
      </c>
    </row>
    <row r="249" spans="1:9" x14ac:dyDescent="0.2">
      <c r="A249" s="1" t="s">
        <v>83</v>
      </c>
      <c r="B249" s="1" t="s">
        <v>56</v>
      </c>
      <c r="C249" s="1" t="s">
        <v>351</v>
      </c>
      <c r="D249" s="2">
        <v>386</v>
      </c>
      <c r="E249" s="2">
        <v>154</v>
      </c>
      <c r="F249" s="2">
        <f t="shared" si="9"/>
        <v>540</v>
      </c>
      <c r="G249" s="3">
        <f t="shared" si="10"/>
        <v>0.71481481481481479</v>
      </c>
      <c r="H249" s="3">
        <f t="shared" si="11"/>
        <v>0.28518518518518521</v>
      </c>
      <c r="I249" s="1" t="s">
        <v>129</v>
      </c>
    </row>
    <row r="250" spans="1:9" x14ac:dyDescent="0.2">
      <c r="A250" s="1" t="s">
        <v>83</v>
      </c>
      <c r="B250" s="1" t="s">
        <v>56</v>
      </c>
      <c r="C250" s="1" t="s">
        <v>352</v>
      </c>
      <c r="D250" s="2">
        <v>357</v>
      </c>
      <c r="E250" s="2">
        <v>158</v>
      </c>
      <c r="F250" s="2">
        <f t="shared" si="9"/>
        <v>515</v>
      </c>
      <c r="G250" s="3">
        <f t="shared" si="10"/>
        <v>0.69320388349514561</v>
      </c>
      <c r="H250" s="3">
        <f t="shared" si="11"/>
        <v>0.30679611650485439</v>
      </c>
      <c r="I250" s="1" t="s">
        <v>129</v>
      </c>
    </row>
    <row r="251" spans="1:9" x14ac:dyDescent="0.2">
      <c r="A251" s="1" t="s">
        <v>83</v>
      </c>
      <c r="B251" s="1" t="s">
        <v>56</v>
      </c>
      <c r="C251" s="1" t="s">
        <v>353</v>
      </c>
      <c r="D251" s="2">
        <v>358</v>
      </c>
      <c r="E251" s="2">
        <v>129</v>
      </c>
      <c r="F251" s="2">
        <f t="shared" si="9"/>
        <v>487</v>
      </c>
      <c r="G251" s="3">
        <f t="shared" si="10"/>
        <v>0.73511293634496921</v>
      </c>
      <c r="H251" s="3">
        <f t="shared" si="11"/>
        <v>0.26488706365503079</v>
      </c>
      <c r="I251" s="1" t="s">
        <v>129</v>
      </c>
    </row>
    <row r="252" spans="1:9" x14ac:dyDescent="0.2">
      <c r="A252" s="1" t="s">
        <v>83</v>
      </c>
      <c r="B252" s="1" t="s">
        <v>56</v>
      </c>
      <c r="C252" s="1" t="s">
        <v>354</v>
      </c>
      <c r="D252" s="2">
        <v>499</v>
      </c>
      <c r="E252" s="2">
        <v>209</v>
      </c>
      <c r="F252" s="2">
        <f t="shared" si="9"/>
        <v>708</v>
      </c>
      <c r="G252" s="3">
        <f t="shared" si="10"/>
        <v>0.70480225988700562</v>
      </c>
      <c r="H252" s="3">
        <f t="shared" si="11"/>
        <v>0.29519774011299438</v>
      </c>
      <c r="I252" s="1" t="s">
        <v>129</v>
      </c>
    </row>
    <row r="253" spans="1:9" x14ac:dyDescent="0.2">
      <c r="A253" s="1" t="s">
        <v>83</v>
      </c>
      <c r="B253" s="1" t="s">
        <v>56</v>
      </c>
      <c r="C253" s="1" t="s">
        <v>355</v>
      </c>
      <c r="D253" s="2">
        <v>463</v>
      </c>
      <c r="E253" s="2">
        <v>223</v>
      </c>
      <c r="F253" s="2">
        <f t="shared" si="9"/>
        <v>686</v>
      </c>
      <c r="G253" s="3">
        <f t="shared" si="10"/>
        <v>0.67492711370262393</v>
      </c>
      <c r="H253" s="3">
        <f t="shared" si="11"/>
        <v>0.32507288629737607</v>
      </c>
      <c r="I253" s="1" t="s">
        <v>129</v>
      </c>
    </row>
    <row r="254" spans="1:9" x14ac:dyDescent="0.2">
      <c r="A254" s="1" t="s">
        <v>83</v>
      </c>
      <c r="B254" s="1" t="s">
        <v>56</v>
      </c>
      <c r="C254" s="1" t="s">
        <v>356</v>
      </c>
      <c r="D254" s="2">
        <v>510</v>
      </c>
      <c r="E254" s="2">
        <v>254</v>
      </c>
      <c r="F254" s="2">
        <f t="shared" si="9"/>
        <v>764</v>
      </c>
      <c r="G254" s="3">
        <f t="shared" si="10"/>
        <v>0.66753926701570676</v>
      </c>
      <c r="H254" s="3">
        <f t="shared" si="11"/>
        <v>0.33246073298429318</v>
      </c>
      <c r="I254" s="1" t="s">
        <v>129</v>
      </c>
    </row>
    <row r="255" spans="1:9" x14ac:dyDescent="0.2">
      <c r="A255" s="1" t="s">
        <v>83</v>
      </c>
      <c r="B255" s="1" t="s">
        <v>56</v>
      </c>
      <c r="C255" s="1" t="s">
        <v>357</v>
      </c>
      <c r="D255" s="2">
        <v>466</v>
      </c>
      <c r="E255" s="2">
        <v>230</v>
      </c>
      <c r="F255" s="2">
        <f t="shared" si="9"/>
        <v>696</v>
      </c>
      <c r="G255" s="3">
        <f t="shared" si="10"/>
        <v>0.66954022988505746</v>
      </c>
      <c r="H255" s="3">
        <f t="shared" si="11"/>
        <v>0.33045977011494254</v>
      </c>
      <c r="I255" s="1" t="s">
        <v>129</v>
      </c>
    </row>
    <row r="256" spans="1:9" x14ac:dyDescent="0.2">
      <c r="A256" s="1" t="s">
        <v>83</v>
      </c>
      <c r="B256" s="1" t="s">
        <v>87</v>
      </c>
      <c r="C256" s="1" t="s">
        <v>358</v>
      </c>
      <c r="D256" s="2">
        <v>397</v>
      </c>
      <c r="E256" s="2">
        <v>334</v>
      </c>
      <c r="F256" s="2">
        <f t="shared" si="9"/>
        <v>731</v>
      </c>
      <c r="G256" s="3">
        <f t="shared" si="10"/>
        <v>0.54309165526675784</v>
      </c>
      <c r="H256" s="3">
        <f t="shared" si="11"/>
        <v>0.45690834473324216</v>
      </c>
      <c r="I256" s="1" t="s">
        <v>129</v>
      </c>
    </row>
    <row r="257" spans="1:9" x14ac:dyDescent="0.2">
      <c r="A257" s="1" t="s">
        <v>83</v>
      </c>
      <c r="B257" s="1" t="s">
        <v>87</v>
      </c>
      <c r="C257" s="1" t="s">
        <v>359</v>
      </c>
      <c r="D257" s="2">
        <v>487</v>
      </c>
      <c r="E257" s="2">
        <v>429</v>
      </c>
      <c r="F257" s="2">
        <f t="shared" si="9"/>
        <v>916</v>
      </c>
      <c r="G257" s="3">
        <f t="shared" si="10"/>
        <v>0.53165938864628826</v>
      </c>
      <c r="H257" s="3">
        <f t="shared" si="11"/>
        <v>0.4683406113537118</v>
      </c>
      <c r="I257" s="1" t="s">
        <v>129</v>
      </c>
    </row>
    <row r="258" spans="1:9" x14ac:dyDescent="0.2">
      <c r="A258" s="1" t="s">
        <v>83</v>
      </c>
      <c r="B258" s="1" t="s">
        <v>87</v>
      </c>
      <c r="C258" s="1" t="s">
        <v>360</v>
      </c>
      <c r="D258" s="2">
        <v>566</v>
      </c>
      <c r="E258" s="2">
        <v>454</v>
      </c>
      <c r="F258" s="2">
        <f t="shared" si="9"/>
        <v>1020</v>
      </c>
      <c r="G258" s="3">
        <f t="shared" si="10"/>
        <v>0.55490196078431375</v>
      </c>
      <c r="H258" s="3">
        <f t="shared" si="11"/>
        <v>0.44509803921568625</v>
      </c>
      <c r="I258" s="1" t="s">
        <v>129</v>
      </c>
    </row>
    <row r="259" spans="1:9" x14ac:dyDescent="0.2">
      <c r="A259" s="1" t="s">
        <v>83</v>
      </c>
      <c r="B259" s="1" t="s">
        <v>87</v>
      </c>
      <c r="C259" s="1" t="s">
        <v>361</v>
      </c>
      <c r="D259" s="2">
        <v>288</v>
      </c>
      <c r="E259" s="2">
        <v>270</v>
      </c>
      <c r="F259" s="2">
        <f t="shared" si="9"/>
        <v>558</v>
      </c>
      <c r="G259" s="3">
        <f t="shared" si="10"/>
        <v>0.5161290322580645</v>
      </c>
      <c r="H259" s="3">
        <f t="shared" si="11"/>
        <v>0.4838709677419355</v>
      </c>
      <c r="I259" s="1" t="s">
        <v>129</v>
      </c>
    </row>
    <row r="260" spans="1:9" x14ac:dyDescent="0.2">
      <c r="A260" s="1" t="s">
        <v>83</v>
      </c>
      <c r="B260" s="1" t="s">
        <v>87</v>
      </c>
      <c r="C260" s="1" t="s">
        <v>362</v>
      </c>
      <c r="D260" s="2">
        <v>433</v>
      </c>
      <c r="E260" s="2">
        <v>349</v>
      </c>
      <c r="F260" s="2">
        <f t="shared" si="9"/>
        <v>782</v>
      </c>
      <c r="G260" s="3">
        <f t="shared" si="10"/>
        <v>0.55370843989769825</v>
      </c>
      <c r="H260" s="3">
        <f t="shared" si="11"/>
        <v>0.44629156010230181</v>
      </c>
      <c r="I260" s="1" t="s">
        <v>129</v>
      </c>
    </row>
    <row r="261" spans="1:9" x14ac:dyDescent="0.2">
      <c r="A261" s="1" t="s">
        <v>83</v>
      </c>
      <c r="B261" s="1" t="s">
        <v>87</v>
      </c>
      <c r="C261" s="1" t="s">
        <v>363</v>
      </c>
      <c r="D261" s="2">
        <v>440</v>
      </c>
      <c r="E261" s="2">
        <v>392</v>
      </c>
      <c r="F261" s="2">
        <f t="shared" si="9"/>
        <v>832</v>
      </c>
      <c r="G261" s="3">
        <f t="shared" si="10"/>
        <v>0.52884615384615385</v>
      </c>
      <c r="H261" s="3">
        <f t="shared" si="11"/>
        <v>0.47115384615384615</v>
      </c>
      <c r="I261" s="1" t="s">
        <v>129</v>
      </c>
    </row>
    <row r="262" spans="1:9" x14ac:dyDescent="0.2">
      <c r="A262" s="1" t="s">
        <v>83</v>
      </c>
      <c r="B262" s="1" t="s">
        <v>87</v>
      </c>
      <c r="C262" s="1" t="s">
        <v>364</v>
      </c>
      <c r="D262" s="2">
        <v>272</v>
      </c>
      <c r="E262" s="2">
        <v>230</v>
      </c>
      <c r="F262" s="2">
        <f t="shared" si="9"/>
        <v>502</v>
      </c>
      <c r="G262" s="3">
        <f t="shared" si="10"/>
        <v>0.54183266932270913</v>
      </c>
      <c r="H262" s="3">
        <f t="shared" si="11"/>
        <v>0.45816733067729082</v>
      </c>
      <c r="I262" s="1" t="s">
        <v>129</v>
      </c>
    </row>
    <row r="263" spans="1:9" x14ac:dyDescent="0.2">
      <c r="A263" s="1" t="s">
        <v>83</v>
      </c>
      <c r="B263" s="1" t="s">
        <v>87</v>
      </c>
      <c r="C263" s="1" t="s">
        <v>365</v>
      </c>
      <c r="D263" s="2">
        <v>383</v>
      </c>
      <c r="E263" s="2">
        <v>281</v>
      </c>
      <c r="F263" s="2">
        <f t="shared" si="9"/>
        <v>664</v>
      </c>
      <c r="G263" s="3">
        <f t="shared" si="10"/>
        <v>0.57680722891566261</v>
      </c>
      <c r="H263" s="3">
        <f t="shared" si="11"/>
        <v>0.42319277108433734</v>
      </c>
      <c r="I263" s="1" t="s">
        <v>129</v>
      </c>
    </row>
    <row r="264" spans="1:9" x14ac:dyDescent="0.2">
      <c r="A264" s="1" t="s">
        <v>83</v>
      </c>
      <c r="B264" s="1" t="s">
        <v>87</v>
      </c>
      <c r="C264" s="1" t="s">
        <v>366</v>
      </c>
      <c r="D264" s="2">
        <v>250</v>
      </c>
      <c r="E264" s="2">
        <v>162</v>
      </c>
      <c r="F264" s="2">
        <f t="shared" si="9"/>
        <v>412</v>
      </c>
      <c r="G264" s="3">
        <f t="shared" si="10"/>
        <v>0.60679611650485432</v>
      </c>
      <c r="H264" s="3">
        <f t="shared" si="11"/>
        <v>0.39320388349514562</v>
      </c>
      <c r="I264" s="1" t="s">
        <v>129</v>
      </c>
    </row>
    <row r="265" spans="1:9" x14ac:dyDescent="0.2">
      <c r="A265" s="1" t="s">
        <v>83</v>
      </c>
      <c r="B265" s="1" t="s">
        <v>87</v>
      </c>
      <c r="C265" s="1" t="s">
        <v>367</v>
      </c>
      <c r="D265" s="2">
        <v>290</v>
      </c>
      <c r="E265" s="2">
        <v>258</v>
      </c>
      <c r="F265" s="2">
        <f t="shared" si="9"/>
        <v>548</v>
      </c>
      <c r="G265" s="3">
        <f t="shared" si="10"/>
        <v>0.52919708029197077</v>
      </c>
      <c r="H265" s="3">
        <f t="shared" si="11"/>
        <v>0.47080291970802918</v>
      </c>
      <c r="I265" s="1" t="s">
        <v>129</v>
      </c>
    </row>
    <row r="266" spans="1:9" x14ac:dyDescent="0.2">
      <c r="A266" s="1" t="s">
        <v>83</v>
      </c>
      <c r="B266" s="1" t="s">
        <v>87</v>
      </c>
      <c r="C266" s="1" t="s">
        <v>368</v>
      </c>
      <c r="D266" s="2">
        <v>352</v>
      </c>
      <c r="E266" s="2">
        <v>303</v>
      </c>
      <c r="F266" s="2">
        <f t="shared" si="9"/>
        <v>655</v>
      </c>
      <c r="G266" s="3">
        <f t="shared" si="10"/>
        <v>0.53740458015267178</v>
      </c>
      <c r="H266" s="3">
        <f t="shared" si="11"/>
        <v>0.46259541984732827</v>
      </c>
      <c r="I266" s="1" t="s">
        <v>129</v>
      </c>
    </row>
    <row r="267" spans="1:9" x14ac:dyDescent="0.2">
      <c r="A267" s="1" t="s">
        <v>83</v>
      </c>
      <c r="B267" s="1" t="s">
        <v>87</v>
      </c>
      <c r="C267" s="1" t="s">
        <v>369</v>
      </c>
      <c r="D267" s="2">
        <v>451</v>
      </c>
      <c r="E267" s="2">
        <v>335</v>
      </c>
      <c r="F267" s="2">
        <f t="shared" si="9"/>
        <v>786</v>
      </c>
      <c r="G267" s="3">
        <f t="shared" si="10"/>
        <v>0.57379134860050895</v>
      </c>
      <c r="H267" s="3">
        <f t="shared" si="11"/>
        <v>0.4262086513994911</v>
      </c>
      <c r="I267" s="1" t="s">
        <v>129</v>
      </c>
    </row>
    <row r="268" spans="1:9" x14ac:dyDescent="0.2">
      <c r="A268" s="1" t="s">
        <v>83</v>
      </c>
      <c r="B268" s="1" t="s">
        <v>87</v>
      </c>
      <c r="C268" s="1" t="s">
        <v>370</v>
      </c>
      <c r="D268" s="2">
        <v>360</v>
      </c>
      <c r="E268" s="2">
        <v>328</v>
      </c>
      <c r="F268" s="2">
        <f t="shared" ref="F268:F331" si="12">IF(COUNTA(D268:E268)=0,"",SUM(D268:E268))</f>
        <v>688</v>
      </c>
      <c r="G268" s="3">
        <f t="shared" ref="G268:G331" si="13">IF(OR(F268="",F268=0),"",D268/F268)</f>
        <v>0.52325581395348841</v>
      </c>
      <c r="H268" s="3">
        <f t="shared" ref="H268:H331" si="14">IF(OR(F268="",F268=0),"",E268/F268)</f>
        <v>0.47674418604651164</v>
      </c>
      <c r="I268" s="1" t="s">
        <v>129</v>
      </c>
    </row>
    <row r="269" spans="1:9" x14ac:dyDescent="0.2">
      <c r="A269" s="1" t="s">
        <v>83</v>
      </c>
      <c r="B269" s="1" t="s">
        <v>87</v>
      </c>
      <c r="C269" s="1" t="s">
        <v>371</v>
      </c>
      <c r="D269" s="2">
        <v>716</v>
      </c>
      <c r="E269" s="2">
        <v>531</v>
      </c>
      <c r="F269" s="2">
        <f t="shared" si="12"/>
        <v>1247</v>
      </c>
      <c r="G269" s="3">
        <f t="shared" si="13"/>
        <v>0.5741780272654371</v>
      </c>
      <c r="H269" s="3">
        <f t="shared" si="14"/>
        <v>0.42582197273456296</v>
      </c>
      <c r="I269" s="1" t="s">
        <v>129</v>
      </c>
    </row>
    <row r="270" spans="1:9" x14ac:dyDescent="0.2">
      <c r="A270" s="1" t="s">
        <v>83</v>
      </c>
      <c r="B270" s="1" t="s">
        <v>87</v>
      </c>
      <c r="C270" s="1" t="s">
        <v>372</v>
      </c>
      <c r="D270" s="2">
        <v>431</v>
      </c>
      <c r="E270" s="2">
        <v>390</v>
      </c>
      <c r="F270" s="2">
        <f t="shared" si="12"/>
        <v>821</v>
      </c>
      <c r="G270" s="3">
        <f t="shared" si="13"/>
        <v>0.52496954933008522</v>
      </c>
      <c r="H270" s="3">
        <f t="shared" si="14"/>
        <v>0.47503045066991473</v>
      </c>
      <c r="I270" s="1" t="s">
        <v>129</v>
      </c>
    </row>
    <row r="271" spans="1:9" x14ac:dyDescent="0.2">
      <c r="A271" s="1" t="s">
        <v>83</v>
      </c>
      <c r="B271" s="1" t="s">
        <v>87</v>
      </c>
      <c r="C271" s="1" t="s">
        <v>373</v>
      </c>
      <c r="D271" s="2">
        <v>417</v>
      </c>
      <c r="E271" s="2">
        <v>373</v>
      </c>
      <c r="F271" s="2">
        <f t="shared" si="12"/>
        <v>790</v>
      </c>
      <c r="G271" s="3">
        <f t="shared" si="13"/>
        <v>0.52784810126582282</v>
      </c>
      <c r="H271" s="3">
        <f t="shared" si="14"/>
        <v>0.47215189873417723</v>
      </c>
      <c r="I271" s="1" t="s">
        <v>129</v>
      </c>
    </row>
    <row r="272" spans="1:9" x14ac:dyDescent="0.2">
      <c r="A272" s="1" t="s">
        <v>83</v>
      </c>
      <c r="B272" s="1" t="s">
        <v>87</v>
      </c>
      <c r="C272" s="1" t="s">
        <v>374</v>
      </c>
      <c r="D272" s="2">
        <v>422</v>
      </c>
      <c r="E272" s="2">
        <v>375</v>
      </c>
      <c r="F272" s="2">
        <f t="shared" si="12"/>
        <v>797</v>
      </c>
      <c r="G272" s="3">
        <f t="shared" si="13"/>
        <v>0.5294855708908407</v>
      </c>
      <c r="H272" s="3">
        <f t="shared" si="14"/>
        <v>0.47051442910915936</v>
      </c>
      <c r="I272" s="1" t="s">
        <v>129</v>
      </c>
    </row>
    <row r="273" spans="1:9" x14ac:dyDescent="0.2">
      <c r="A273" s="1" t="s">
        <v>83</v>
      </c>
      <c r="B273" s="1" t="s">
        <v>88</v>
      </c>
      <c r="C273" s="1" t="s">
        <v>375</v>
      </c>
      <c r="D273" s="2">
        <v>772</v>
      </c>
      <c r="E273" s="2">
        <v>1113</v>
      </c>
      <c r="F273" s="2">
        <f t="shared" si="12"/>
        <v>1885</v>
      </c>
      <c r="G273" s="3">
        <f t="shared" si="13"/>
        <v>0.40954907161803711</v>
      </c>
      <c r="H273" s="3">
        <f t="shared" si="14"/>
        <v>0.59045092838196289</v>
      </c>
      <c r="I273" s="1" t="s">
        <v>129</v>
      </c>
    </row>
    <row r="274" spans="1:9" x14ac:dyDescent="0.2">
      <c r="A274" s="1" t="s">
        <v>83</v>
      </c>
      <c r="B274" s="1" t="s">
        <v>88</v>
      </c>
      <c r="C274" s="1" t="s">
        <v>376</v>
      </c>
      <c r="D274" s="2">
        <v>658</v>
      </c>
      <c r="E274" s="2">
        <v>938</v>
      </c>
      <c r="F274" s="2">
        <f t="shared" si="12"/>
        <v>1596</v>
      </c>
      <c r="G274" s="3">
        <f t="shared" si="13"/>
        <v>0.41228070175438597</v>
      </c>
      <c r="H274" s="3">
        <f t="shared" si="14"/>
        <v>0.58771929824561409</v>
      </c>
      <c r="I274" s="1" t="s">
        <v>129</v>
      </c>
    </row>
    <row r="275" spans="1:9" x14ac:dyDescent="0.2">
      <c r="A275" s="1" t="s">
        <v>83</v>
      </c>
      <c r="B275" s="1" t="s">
        <v>88</v>
      </c>
      <c r="C275" s="1" t="s">
        <v>377</v>
      </c>
      <c r="D275" s="2">
        <v>332</v>
      </c>
      <c r="E275" s="2">
        <v>610</v>
      </c>
      <c r="F275" s="2">
        <f t="shared" si="12"/>
        <v>942</v>
      </c>
      <c r="G275" s="3">
        <f t="shared" si="13"/>
        <v>0.35244161358811038</v>
      </c>
      <c r="H275" s="3">
        <f t="shared" si="14"/>
        <v>0.64755838641188956</v>
      </c>
      <c r="I275" s="1" t="s">
        <v>129</v>
      </c>
    </row>
    <row r="276" spans="1:9" x14ac:dyDescent="0.2">
      <c r="A276" s="1" t="s">
        <v>83</v>
      </c>
      <c r="B276" s="1" t="s">
        <v>89</v>
      </c>
      <c r="C276" s="1" t="s">
        <v>89</v>
      </c>
      <c r="D276" s="2">
        <v>33</v>
      </c>
      <c r="E276" s="2">
        <v>64</v>
      </c>
      <c r="F276" s="2">
        <f t="shared" si="12"/>
        <v>97</v>
      </c>
      <c r="G276" s="3">
        <f t="shared" si="13"/>
        <v>0.34020618556701032</v>
      </c>
      <c r="H276" s="3">
        <f t="shared" si="14"/>
        <v>0.65979381443298968</v>
      </c>
      <c r="I276" s="1" t="s">
        <v>129</v>
      </c>
    </row>
    <row r="277" spans="1:9" x14ac:dyDescent="0.2">
      <c r="A277" s="1" t="s">
        <v>83</v>
      </c>
      <c r="B277" s="1" t="s">
        <v>90</v>
      </c>
      <c r="C277" s="1" t="s">
        <v>378</v>
      </c>
      <c r="D277" s="2">
        <v>610</v>
      </c>
      <c r="E277" s="2">
        <v>792</v>
      </c>
      <c r="F277" s="2">
        <f t="shared" si="12"/>
        <v>1402</v>
      </c>
      <c r="G277" s="3">
        <f t="shared" si="13"/>
        <v>0.43509272467902993</v>
      </c>
      <c r="H277" s="3">
        <f t="shared" si="14"/>
        <v>0.56490727532097007</v>
      </c>
      <c r="I277" s="1" t="s">
        <v>129</v>
      </c>
    </row>
    <row r="278" spans="1:9" x14ac:dyDescent="0.2">
      <c r="A278" s="1" t="s">
        <v>83</v>
      </c>
      <c r="B278" s="1" t="s">
        <v>90</v>
      </c>
      <c r="C278" s="1" t="s">
        <v>379</v>
      </c>
      <c r="D278" s="2">
        <v>549</v>
      </c>
      <c r="E278" s="2">
        <v>690</v>
      </c>
      <c r="F278" s="2">
        <f t="shared" si="12"/>
        <v>1239</v>
      </c>
      <c r="G278" s="3">
        <f t="shared" si="13"/>
        <v>0.4430992736077482</v>
      </c>
      <c r="H278" s="3">
        <f t="shared" si="14"/>
        <v>0.55690072639225185</v>
      </c>
      <c r="I278" s="1" t="s">
        <v>129</v>
      </c>
    </row>
    <row r="279" spans="1:9" x14ac:dyDescent="0.2">
      <c r="A279" s="1" t="s">
        <v>83</v>
      </c>
      <c r="B279" s="1" t="s">
        <v>91</v>
      </c>
      <c r="C279" s="1" t="s">
        <v>91</v>
      </c>
      <c r="D279" s="2">
        <v>149</v>
      </c>
      <c r="E279" s="2">
        <v>211</v>
      </c>
      <c r="F279" s="2">
        <f t="shared" si="12"/>
        <v>360</v>
      </c>
      <c r="G279" s="3">
        <f t="shared" si="13"/>
        <v>0.41388888888888886</v>
      </c>
      <c r="H279" s="3">
        <f t="shared" si="14"/>
        <v>0.58611111111111114</v>
      </c>
      <c r="I279" s="1" t="s">
        <v>129</v>
      </c>
    </row>
    <row r="280" spans="1:9" x14ac:dyDescent="0.2">
      <c r="A280" s="1" t="s">
        <v>83</v>
      </c>
      <c r="B280" s="1" t="s">
        <v>92</v>
      </c>
      <c r="C280" s="1" t="s">
        <v>380</v>
      </c>
      <c r="D280" s="2">
        <v>446</v>
      </c>
      <c r="E280" s="2">
        <v>244</v>
      </c>
      <c r="F280" s="2">
        <f t="shared" si="12"/>
        <v>690</v>
      </c>
      <c r="G280" s="3">
        <f t="shared" si="13"/>
        <v>0.6463768115942029</v>
      </c>
      <c r="H280" s="3">
        <f t="shared" si="14"/>
        <v>0.3536231884057971</v>
      </c>
      <c r="I280" s="1" t="s">
        <v>129</v>
      </c>
    </row>
    <row r="281" spans="1:9" x14ac:dyDescent="0.2">
      <c r="A281" s="1" t="s">
        <v>83</v>
      </c>
      <c r="B281" s="1" t="s">
        <v>92</v>
      </c>
      <c r="C281" s="1" t="s">
        <v>381</v>
      </c>
      <c r="D281" s="2">
        <v>507</v>
      </c>
      <c r="E281" s="2">
        <v>244</v>
      </c>
      <c r="F281" s="2">
        <f t="shared" si="12"/>
        <v>751</v>
      </c>
      <c r="G281" s="3">
        <f t="shared" si="13"/>
        <v>0.67509986684420775</v>
      </c>
      <c r="H281" s="3">
        <f t="shared" si="14"/>
        <v>0.3249001331557923</v>
      </c>
      <c r="I281" s="1" t="s">
        <v>129</v>
      </c>
    </row>
    <row r="282" spans="1:9" x14ac:dyDescent="0.2">
      <c r="A282" s="1" t="s">
        <v>83</v>
      </c>
      <c r="B282" s="1" t="s">
        <v>92</v>
      </c>
      <c r="C282" s="1" t="s">
        <v>382</v>
      </c>
      <c r="D282" s="2">
        <v>358</v>
      </c>
      <c r="E282" s="2">
        <v>146</v>
      </c>
      <c r="F282" s="2">
        <f t="shared" si="12"/>
        <v>504</v>
      </c>
      <c r="G282" s="3">
        <f t="shared" si="13"/>
        <v>0.71031746031746035</v>
      </c>
      <c r="H282" s="3">
        <f t="shared" si="14"/>
        <v>0.28968253968253971</v>
      </c>
      <c r="I282" s="1" t="s">
        <v>129</v>
      </c>
    </row>
    <row r="283" spans="1:9" x14ac:dyDescent="0.2">
      <c r="A283" s="1" t="s">
        <v>83</v>
      </c>
      <c r="B283" s="1" t="s">
        <v>92</v>
      </c>
      <c r="C283" s="1" t="s">
        <v>383</v>
      </c>
      <c r="D283" s="2">
        <v>595</v>
      </c>
      <c r="E283" s="2">
        <v>227</v>
      </c>
      <c r="F283" s="2">
        <f t="shared" si="12"/>
        <v>822</v>
      </c>
      <c r="G283" s="3">
        <f t="shared" si="13"/>
        <v>0.72384428223844277</v>
      </c>
      <c r="H283" s="3">
        <f t="shared" si="14"/>
        <v>0.27615571776155717</v>
      </c>
      <c r="I283" s="1" t="s">
        <v>129</v>
      </c>
    </row>
    <row r="284" spans="1:9" x14ac:dyDescent="0.2">
      <c r="A284" s="1" t="s">
        <v>83</v>
      </c>
      <c r="B284" s="1" t="s">
        <v>92</v>
      </c>
      <c r="C284" s="1" t="s">
        <v>384</v>
      </c>
      <c r="D284" s="2">
        <v>671</v>
      </c>
      <c r="E284" s="2">
        <v>206</v>
      </c>
      <c r="F284" s="2">
        <f t="shared" si="12"/>
        <v>877</v>
      </c>
      <c r="G284" s="3">
        <f t="shared" si="13"/>
        <v>0.76510832383124283</v>
      </c>
      <c r="H284" s="3">
        <f t="shared" si="14"/>
        <v>0.23489167616875711</v>
      </c>
      <c r="I284" s="1" t="s">
        <v>129</v>
      </c>
    </row>
    <row r="285" spans="1:9" x14ac:dyDescent="0.2">
      <c r="A285" s="1" t="s">
        <v>83</v>
      </c>
      <c r="B285" s="1" t="s">
        <v>92</v>
      </c>
      <c r="C285" s="1" t="s">
        <v>385</v>
      </c>
      <c r="D285" s="2">
        <v>430</v>
      </c>
      <c r="E285" s="2">
        <v>203</v>
      </c>
      <c r="F285" s="2">
        <f t="shared" si="12"/>
        <v>633</v>
      </c>
      <c r="G285" s="3">
        <f t="shared" si="13"/>
        <v>0.67930489731437593</v>
      </c>
      <c r="H285" s="3">
        <f t="shared" si="14"/>
        <v>0.32069510268562401</v>
      </c>
      <c r="I285" s="1" t="s">
        <v>129</v>
      </c>
    </row>
    <row r="286" spans="1:9" x14ac:dyDescent="0.2">
      <c r="A286" s="1" t="s">
        <v>83</v>
      </c>
      <c r="B286" s="1" t="s">
        <v>92</v>
      </c>
      <c r="C286" s="1" t="s">
        <v>386</v>
      </c>
      <c r="D286" s="2">
        <v>329</v>
      </c>
      <c r="E286" s="2">
        <v>174</v>
      </c>
      <c r="F286" s="2">
        <f t="shared" si="12"/>
        <v>503</v>
      </c>
      <c r="G286" s="3">
        <f t="shared" si="13"/>
        <v>0.65407554671968193</v>
      </c>
      <c r="H286" s="3">
        <f t="shared" si="14"/>
        <v>0.34592445328031807</v>
      </c>
      <c r="I286" s="1" t="s">
        <v>129</v>
      </c>
    </row>
    <row r="287" spans="1:9" x14ac:dyDescent="0.2">
      <c r="A287" s="1" t="s">
        <v>83</v>
      </c>
      <c r="B287" s="1" t="s">
        <v>92</v>
      </c>
      <c r="C287" s="1" t="s">
        <v>387</v>
      </c>
      <c r="D287" s="2">
        <v>140</v>
      </c>
      <c r="E287" s="2">
        <v>55</v>
      </c>
      <c r="F287" s="2">
        <f t="shared" si="12"/>
        <v>195</v>
      </c>
      <c r="G287" s="3">
        <f t="shared" si="13"/>
        <v>0.71794871794871795</v>
      </c>
      <c r="H287" s="3">
        <f t="shared" si="14"/>
        <v>0.28205128205128205</v>
      </c>
      <c r="I287" s="1" t="s">
        <v>129</v>
      </c>
    </row>
    <row r="288" spans="1:9" x14ac:dyDescent="0.2">
      <c r="A288" s="1" t="s">
        <v>83</v>
      </c>
      <c r="B288" s="1" t="s">
        <v>92</v>
      </c>
      <c r="C288" s="1" t="s">
        <v>388</v>
      </c>
      <c r="D288" s="2">
        <v>241</v>
      </c>
      <c r="E288" s="2">
        <v>83</v>
      </c>
      <c r="F288" s="2">
        <f t="shared" si="12"/>
        <v>324</v>
      </c>
      <c r="G288" s="3">
        <f t="shared" si="13"/>
        <v>0.74382716049382713</v>
      </c>
      <c r="H288" s="3">
        <f t="shared" si="14"/>
        <v>0.25617283950617287</v>
      </c>
      <c r="I288" s="1" t="s">
        <v>129</v>
      </c>
    </row>
    <row r="289" spans="1:9" x14ac:dyDescent="0.2">
      <c r="A289" s="1" t="s">
        <v>83</v>
      </c>
      <c r="B289" s="1" t="s">
        <v>92</v>
      </c>
      <c r="C289" s="1" t="s">
        <v>389</v>
      </c>
      <c r="D289" s="2">
        <v>232</v>
      </c>
      <c r="E289" s="2">
        <v>112</v>
      </c>
      <c r="F289" s="2">
        <f t="shared" si="12"/>
        <v>344</v>
      </c>
      <c r="G289" s="3">
        <f t="shared" si="13"/>
        <v>0.67441860465116277</v>
      </c>
      <c r="H289" s="3">
        <f t="shared" si="14"/>
        <v>0.32558139534883723</v>
      </c>
      <c r="I289" s="1" t="s">
        <v>129</v>
      </c>
    </row>
    <row r="290" spans="1:9" x14ac:dyDescent="0.2">
      <c r="A290" s="1" t="s">
        <v>83</v>
      </c>
      <c r="B290" s="1" t="s">
        <v>92</v>
      </c>
      <c r="C290" s="1" t="s">
        <v>390</v>
      </c>
      <c r="D290" s="2">
        <v>468</v>
      </c>
      <c r="E290" s="2">
        <v>285</v>
      </c>
      <c r="F290" s="2">
        <f t="shared" si="12"/>
        <v>753</v>
      </c>
      <c r="G290" s="3">
        <f t="shared" si="13"/>
        <v>0.62151394422310757</v>
      </c>
      <c r="H290" s="3">
        <f t="shared" si="14"/>
        <v>0.37848605577689243</v>
      </c>
      <c r="I290" s="1" t="s">
        <v>129</v>
      </c>
    </row>
    <row r="291" spans="1:9" x14ac:dyDescent="0.2">
      <c r="A291" s="1" t="s">
        <v>83</v>
      </c>
      <c r="B291" s="1" t="s">
        <v>92</v>
      </c>
      <c r="C291" s="1" t="s">
        <v>391</v>
      </c>
      <c r="D291" s="2">
        <v>598</v>
      </c>
      <c r="E291" s="2">
        <v>303</v>
      </c>
      <c r="F291" s="2">
        <f t="shared" si="12"/>
        <v>901</v>
      </c>
      <c r="G291" s="3">
        <f t="shared" si="13"/>
        <v>0.66370699223085461</v>
      </c>
      <c r="H291" s="3">
        <f t="shared" si="14"/>
        <v>0.33629300776914539</v>
      </c>
      <c r="I291" s="1" t="s">
        <v>129</v>
      </c>
    </row>
    <row r="292" spans="1:9" x14ac:dyDescent="0.2">
      <c r="A292" s="1" t="s">
        <v>83</v>
      </c>
      <c r="B292" s="1" t="s">
        <v>93</v>
      </c>
      <c r="C292" s="1" t="s">
        <v>392</v>
      </c>
      <c r="D292" s="2">
        <v>725</v>
      </c>
      <c r="E292" s="2">
        <v>637</v>
      </c>
      <c r="F292" s="2">
        <f t="shared" si="12"/>
        <v>1362</v>
      </c>
      <c r="G292" s="3">
        <f t="shared" si="13"/>
        <v>0.53230543318649048</v>
      </c>
      <c r="H292" s="3">
        <f t="shared" si="14"/>
        <v>0.46769456681350957</v>
      </c>
      <c r="I292" s="1" t="s">
        <v>332</v>
      </c>
    </row>
    <row r="293" spans="1:9" x14ac:dyDescent="0.2">
      <c r="A293" s="1" t="s">
        <v>83</v>
      </c>
      <c r="B293" s="1" t="s">
        <v>93</v>
      </c>
      <c r="C293" s="1" t="s">
        <v>393</v>
      </c>
      <c r="D293" s="2">
        <v>583</v>
      </c>
      <c r="E293" s="2">
        <v>514</v>
      </c>
      <c r="F293" s="2">
        <f t="shared" si="12"/>
        <v>1097</v>
      </c>
      <c r="G293" s="3">
        <f t="shared" si="13"/>
        <v>0.53144940747493163</v>
      </c>
      <c r="H293" s="3">
        <f t="shared" si="14"/>
        <v>0.46855059252506837</v>
      </c>
      <c r="I293" s="1" t="s">
        <v>332</v>
      </c>
    </row>
    <row r="294" spans="1:9" x14ac:dyDescent="0.2">
      <c r="A294" s="1" t="s">
        <v>83</v>
      </c>
      <c r="B294" s="1" t="s">
        <v>93</v>
      </c>
      <c r="C294" s="1" t="s">
        <v>394</v>
      </c>
      <c r="D294" s="2">
        <v>601</v>
      </c>
      <c r="E294" s="2">
        <v>523</v>
      </c>
      <c r="F294" s="2">
        <f t="shared" si="12"/>
        <v>1124</v>
      </c>
      <c r="G294" s="3">
        <f t="shared" si="13"/>
        <v>0.53469750889679712</v>
      </c>
      <c r="H294" s="3">
        <f t="shared" si="14"/>
        <v>0.46530249110320282</v>
      </c>
      <c r="I294" s="1" t="s">
        <v>332</v>
      </c>
    </row>
    <row r="295" spans="1:9" x14ac:dyDescent="0.2">
      <c r="A295" s="1" t="s">
        <v>83</v>
      </c>
      <c r="B295" s="1" t="s">
        <v>93</v>
      </c>
      <c r="C295" s="1" t="s">
        <v>395</v>
      </c>
      <c r="D295" s="2">
        <v>621</v>
      </c>
      <c r="E295" s="2">
        <v>545</v>
      </c>
      <c r="F295" s="2">
        <f t="shared" si="12"/>
        <v>1166</v>
      </c>
      <c r="G295" s="3">
        <f t="shared" si="13"/>
        <v>0.532590051457976</v>
      </c>
      <c r="H295" s="3">
        <f t="shared" si="14"/>
        <v>0.467409948542024</v>
      </c>
      <c r="I295" s="1" t="s">
        <v>332</v>
      </c>
    </row>
    <row r="296" spans="1:9" x14ac:dyDescent="0.2">
      <c r="A296" s="1" t="s">
        <v>83</v>
      </c>
      <c r="B296" s="1" t="s">
        <v>93</v>
      </c>
      <c r="C296" s="1" t="s">
        <v>396</v>
      </c>
      <c r="D296" s="2">
        <v>575</v>
      </c>
      <c r="E296" s="2">
        <v>505</v>
      </c>
      <c r="F296" s="2">
        <f t="shared" si="12"/>
        <v>1080</v>
      </c>
      <c r="G296" s="3">
        <f t="shared" si="13"/>
        <v>0.53240740740740744</v>
      </c>
      <c r="H296" s="3">
        <f t="shared" si="14"/>
        <v>0.46759259259259262</v>
      </c>
      <c r="I296" s="1" t="s">
        <v>332</v>
      </c>
    </row>
    <row r="297" spans="1:9" x14ac:dyDescent="0.2">
      <c r="A297" s="1" t="s">
        <v>83</v>
      </c>
      <c r="B297" s="1" t="s">
        <v>93</v>
      </c>
      <c r="C297" s="1" t="s">
        <v>397</v>
      </c>
      <c r="D297" s="2">
        <v>639</v>
      </c>
      <c r="E297" s="2">
        <v>562</v>
      </c>
      <c r="F297" s="2">
        <f t="shared" si="12"/>
        <v>1201</v>
      </c>
      <c r="G297" s="3">
        <f t="shared" si="13"/>
        <v>0.53205661948376348</v>
      </c>
      <c r="H297" s="3">
        <f t="shared" si="14"/>
        <v>0.46794338051623646</v>
      </c>
      <c r="I297" s="1" t="s">
        <v>332</v>
      </c>
    </row>
    <row r="298" spans="1:9" x14ac:dyDescent="0.2">
      <c r="A298" s="1" t="s">
        <v>83</v>
      </c>
      <c r="B298" s="1" t="s">
        <v>93</v>
      </c>
      <c r="C298" s="1" t="s">
        <v>398</v>
      </c>
      <c r="D298" s="2">
        <v>609</v>
      </c>
      <c r="E298" s="2">
        <v>536</v>
      </c>
      <c r="F298" s="2">
        <f t="shared" si="12"/>
        <v>1145</v>
      </c>
      <c r="G298" s="3">
        <f t="shared" si="13"/>
        <v>0.53187772925764187</v>
      </c>
      <c r="H298" s="3">
        <f t="shared" si="14"/>
        <v>0.46812227074235807</v>
      </c>
      <c r="I298" s="1" t="s">
        <v>332</v>
      </c>
    </row>
    <row r="299" spans="1:9" x14ac:dyDescent="0.2">
      <c r="A299" s="1" t="s">
        <v>83</v>
      </c>
      <c r="B299" s="1" t="s">
        <v>94</v>
      </c>
      <c r="C299" s="1" t="s">
        <v>94</v>
      </c>
      <c r="D299" s="2">
        <v>488</v>
      </c>
      <c r="E299" s="2">
        <v>323</v>
      </c>
      <c r="F299" s="2">
        <f t="shared" si="12"/>
        <v>811</v>
      </c>
      <c r="G299" s="3">
        <f t="shared" si="13"/>
        <v>0.6017262638717632</v>
      </c>
      <c r="H299" s="3">
        <f t="shared" si="14"/>
        <v>0.39827373612823674</v>
      </c>
      <c r="I299" s="1" t="s">
        <v>129</v>
      </c>
    </row>
    <row r="300" spans="1:9" x14ac:dyDescent="0.2">
      <c r="A300" s="1" t="s">
        <v>83</v>
      </c>
      <c r="B300" s="1" t="s">
        <v>95</v>
      </c>
      <c r="C300" s="1" t="s">
        <v>95</v>
      </c>
      <c r="D300" s="2">
        <v>76</v>
      </c>
      <c r="E300" s="2">
        <v>68</v>
      </c>
      <c r="F300" s="2">
        <f t="shared" si="12"/>
        <v>144</v>
      </c>
      <c r="G300" s="3">
        <f t="shared" si="13"/>
        <v>0.52777777777777779</v>
      </c>
      <c r="H300" s="3">
        <f t="shared" si="14"/>
        <v>0.47222222222222221</v>
      </c>
      <c r="I300" s="1" t="s">
        <v>129</v>
      </c>
    </row>
    <row r="301" spans="1:9" x14ac:dyDescent="0.2">
      <c r="A301" s="1" t="s">
        <v>83</v>
      </c>
      <c r="B301" s="1" t="s">
        <v>62</v>
      </c>
      <c r="C301" s="1" t="s">
        <v>399</v>
      </c>
      <c r="D301" s="2">
        <v>780</v>
      </c>
      <c r="E301" s="2">
        <v>545</v>
      </c>
      <c r="F301" s="2">
        <f t="shared" si="12"/>
        <v>1325</v>
      </c>
      <c r="G301" s="3">
        <f t="shared" si="13"/>
        <v>0.58867924528301885</v>
      </c>
      <c r="H301" s="3">
        <f t="shared" si="14"/>
        <v>0.41132075471698115</v>
      </c>
      <c r="I301" s="1" t="s">
        <v>129</v>
      </c>
    </row>
    <row r="302" spans="1:9" x14ac:dyDescent="0.2">
      <c r="A302" s="1" t="s">
        <v>83</v>
      </c>
      <c r="B302" s="1" t="s">
        <v>62</v>
      </c>
      <c r="C302" s="1" t="s">
        <v>400</v>
      </c>
      <c r="D302" s="2">
        <v>748</v>
      </c>
      <c r="E302" s="2">
        <v>591</v>
      </c>
      <c r="F302" s="2">
        <f t="shared" si="12"/>
        <v>1339</v>
      </c>
      <c r="G302" s="3">
        <f t="shared" si="13"/>
        <v>0.55862584017923822</v>
      </c>
      <c r="H302" s="3">
        <f t="shared" si="14"/>
        <v>0.44137415982076178</v>
      </c>
      <c r="I302" s="1" t="s">
        <v>129</v>
      </c>
    </row>
    <row r="303" spans="1:9" x14ac:dyDescent="0.2">
      <c r="A303" s="1" t="s">
        <v>83</v>
      </c>
      <c r="B303" s="1" t="s">
        <v>62</v>
      </c>
      <c r="C303" s="1" t="s">
        <v>401</v>
      </c>
      <c r="D303" s="2">
        <v>376</v>
      </c>
      <c r="E303" s="2">
        <v>333</v>
      </c>
      <c r="F303" s="2">
        <f t="shared" si="12"/>
        <v>709</v>
      </c>
      <c r="G303" s="3">
        <f t="shared" si="13"/>
        <v>0.53032440056417485</v>
      </c>
      <c r="H303" s="3">
        <f t="shared" si="14"/>
        <v>0.4696755994358251</v>
      </c>
      <c r="I303" s="1" t="s">
        <v>129</v>
      </c>
    </row>
    <row r="304" spans="1:9" x14ac:dyDescent="0.2">
      <c r="A304" s="1" t="s">
        <v>83</v>
      </c>
      <c r="B304" s="1" t="s">
        <v>62</v>
      </c>
      <c r="C304" s="1" t="s">
        <v>402</v>
      </c>
      <c r="D304" s="2">
        <v>616</v>
      </c>
      <c r="E304" s="2">
        <v>538</v>
      </c>
      <c r="F304" s="2">
        <f t="shared" si="12"/>
        <v>1154</v>
      </c>
      <c r="G304" s="3">
        <f t="shared" si="13"/>
        <v>0.53379549393414216</v>
      </c>
      <c r="H304" s="3">
        <f t="shared" si="14"/>
        <v>0.46620450606585789</v>
      </c>
      <c r="I304" s="1" t="s">
        <v>129</v>
      </c>
    </row>
    <row r="305" spans="1:9" x14ac:dyDescent="0.2">
      <c r="A305" s="1" t="s">
        <v>83</v>
      </c>
      <c r="B305" s="1" t="s">
        <v>62</v>
      </c>
      <c r="C305" s="1" t="s">
        <v>403</v>
      </c>
      <c r="D305" s="2">
        <v>653</v>
      </c>
      <c r="E305" s="2">
        <v>528</v>
      </c>
      <c r="F305" s="2">
        <f t="shared" si="12"/>
        <v>1181</v>
      </c>
      <c r="G305" s="3">
        <f t="shared" si="13"/>
        <v>0.55292125317527518</v>
      </c>
      <c r="H305" s="3">
        <f t="shared" si="14"/>
        <v>0.44707874682472482</v>
      </c>
      <c r="I305" s="1" t="s">
        <v>129</v>
      </c>
    </row>
    <row r="306" spans="1:9" x14ac:dyDescent="0.2">
      <c r="A306" s="1" t="s">
        <v>83</v>
      </c>
      <c r="B306" s="1" t="s">
        <v>62</v>
      </c>
      <c r="C306" s="1" t="s">
        <v>404</v>
      </c>
      <c r="D306" s="2">
        <v>387</v>
      </c>
      <c r="E306" s="2">
        <v>328</v>
      </c>
      <c r="F306" s="2">
        <f t="shared" si="12"/>
        <v>715</v>
      </c>
      <c r="G306" s="3">
        <f t="shared" si="13"/>
        <v>0.54125874125874129</v>
      </c>
      <c r="H306" s="3">
        <f t="shared" si="14"/>
        <v>0.45874125874125876</v>
      </c>
      <c r="I306" s="1" t="s">
        <v>129</v>
      </c>
    </row>
    <row r="307" spans="1:9" x14ac:dyDescent="0.2">
      <c r="A307" s="1" t="s">
        <v>83</v>
      </c>
      <c r="B307" s="1" t="s">
        <v>96</v>
      </c>
      <c r="C307" s="1" t="s">
        <v>405</v>
      </c>
      <c r="D307" s="2">
        <v>443</v>
      </c>
      <c r="E307" s="2">
        <v>444</v>
      </c>
      <c r="F307" s="2">
        <f t="shared" si="12"/>
        <v>887</v>
      </c>
      <c r="G307" s="3">
        <f t="shared" si="13"/>
        <v>0.49943630214205187</v>
      </c>
      <c r="H307" s="3">
        <f t="shared" si="14"/>
        <v>0.50056369785794819</v>
      </c>
      <c r="I307" s="1" t="s">
        <v>129</v>
      </c>
    </row>
    <row r="308" spans="1:9" x14ac:dyDescent="0.2">
      <c r="A308" s="1" t="s">
        <v>83</v>
      </c>
      <c r="B308" s="1" t="s">
        <v>96</v>
      </c>
      <c r="C308" s="1" t="s">
        <v>406</v>
      </c>
      <c r="D308" s="2">
        <v>365</v>
      </c>
      <c r="E308" s="2">
        <v>341</v>
      </c>
      <c r="F308" s="2">
        <f t="shared" si="12"/>
        <v>706</v>
      </c>
      <c r="G308" s="3">
        <f t="shared" si="13"/>
        <v>0.51699716713881017</v>
      </c>
      <c r="H308" s="3">
        <f t="shared" si="14"/>
        <v>0.48300283286118978</v>
      </c>
      <c r="I308" s="1" t="s">
        <v>129</v>
      </c>
    </row>
    <row r="309" spans="1:9" x14ac:dyDescent="0.2">
      <c r="A309" s="1" t="s">
        <v>83</v>
      </c>
      <c r="B309" s="1" t="s">
        <v>96</v>
      </c>
      <c r="C309" s="1" t="s">
        <v>407</v>
      </c>
      <c r="D309" s="2">
        <v>544</v>
      </c>
      <c r="E309" s="2">
        <v>491</v>
      </c>
      <c r="F309" s="2">
        <f t="shared" si="12"/>
        <v>1035</v>
      </c>
      <c r="G309" s="3">
        <f t="shared" si="13"/>
        <v>0.52560386473429954</v>
      </c>
      <c r="H309" s="3">
        <f t="shared" si="14"/>
        <v>0.47439613526570046</v>
      </c>
      <c r="I309" s="1" t="s">
        <v>129</v>
      </c>
    </row>
    <row r="310" spans="1:9" x14ac:dyDescent="0.2">
      <c r="A310" s="1" t="s">
        <v>83</v>
      </c>
      <c r="B310" s="1" t="s">
        <v>97</v>
      </c>
      <c r="C310" s="1" t="s">
        <v>408</v>
      </c>
      <c r="D310" s="2">
        <v>456</v>
      </c>
      <c r="E310" s="2">
        <v>862</v>
      </c>
      <c r="F310" s="2">
        <f t="shared" si="12"/>
        <v>1318</v>
      </c>
      <c r="G310" s="3">
        <f t="shared" si="13"/>
        <v>0.34597875569044007</v>
      </c>
      <c r="H310" s="3">
        <f t="shared" si="14"/>
        <v>0.65402124430955999</v>
      </c>
      <c r="I310" s="1" t="s">
        <v>129</v>
      </c>
    </row>
    <row r="311" spans="1:9" x14ac:dyDescent="0.2">
      <c r="A311" s="1" t="s">
        <v>83</v>
      </c>
      <c r="B311" s="1" t="s">
        <v>97</v>
      </c>
      <c r="C311" s="1" t="s">
        <v>409</v>
      </c>
      <c r="D311" s="2">
        <v>518</v>
      </c>
      <c r="E311" s="2">
        <v>980</v>
      </c>
      <c r="F311" s="2">
        <f t="shared" si="12"/>
        <v>1498</v>
      </c>
      <c r="G311" s="3">
        <f t="shared" si="13"/>
        <v>0.34579439252336447</v>
      </c>
      <c r="H311" s="3">
        <f t="shared" si="14"/>
        <v>0.65420560747663548</v>
      </c>
      <c r="I311" s="1" t="s">
        <v>129</v>
      </c>
    </row>
    <row r="312" spans="1:9" x14ac:dyDescent="0.2">
      <c r="A312" s="1" t="s">
        <v>83</v>
      </c>
      <c r="B312" s="1" t="s">
        <v>97</v>
      </c>
      <c r="C312" s="1" t="s">
        <v>410</v>
      </c>
      <c r="D312" s="2">
        <v>174</v>
      </c>
      <c r="E312" s="2">
        <v>361</v>
      </c>
      <c r="F312" s="2">
        <f t="shared" si="12"/>
        <v>535</v>
      </c>
      <c r="G312" s="3">
        <f t="shared" si="13"/>
        <v>0.3252336448598131</v>
      </c>
      <c r="H312" s="3">
        <f t="shared" si="14"/>
        <v>0.6747663551401869</v>
      </c>
      <c r="I312" s="1" t="s">
        <v>129</v>
      </c>
    </row>
    <row r="313" spans="1:9" x14ac:dyDescent="0.2">
      <c r="A313" s="1" t="s">
        <v>83</v>
      </c>
      <c r="B313" s="1" t="s">
        <v>97</v>
      </c>
      <c r="C313" s="1" t="s">
        <v>411</v>
      </c>
      <c r="D313" s="2">
        <v>406</v>
      </c>
      <c r="E313" s="2">
        <v>761</v>
      </c>
      <c r="F313" s="2">
        <f t="shared" si="12"/>
        <v>1167</v>
      </c>
      <c r="G313" s="3">
        <f t="shared" si="13"/>
        <v>0.34790059982862037</v>
      </c>
      <c r="H313" s="3">
        <f t="shared" si="14"/>
        <v>0.65209940017137957</v>
      </c>
      <c r="I313" s="1" t="s">
        <v>129</v>
      </c>
    </row>
    <row r="314" spans="1:9" x14ac:dyDescent="0.2">
      <c r="A314" s="1" t="s">
        <v>83</v>
      </c>
      <c r="B314" s="1" t="s">
        <v>97</v>
      </c>
      <c r="C314" s="1" t="s">
        <v>412</v>
      </c>
      <c r="D314" s="2">
        <v>300</v>
      </c>
      <c r="E314" s="2">
        <v>521</v>
      </c>
      <c r="F314" s="2">
        <f t="shared" si="12"/>
        <v>821</v>
      </c>
      <c r="G314" s="3">
        <f t="shared" si="13"/>
        <v>0.36540803897685747</v>
      </c>
      <c r="H314" s="3">
        <f t="shared" si="14"/>
        <v>0.63459196102314253</v>
      </c>
      <c r="I314" s="1" t="s">
        <v>129</v>
      </c>
    </row>
    <row r="315" spans="1:9" x14ac:dyDescent="0.2">
      <c r="A315" s="1" t="s">
        <v>83</v>
      </c>
      <c r="B315" s="1" t="s">
        <v>98</v>
      </c>
      <c r="C315" s="1" t="s">
        <v>413</v>
      </c>
      <c r="D315" s="2">
        <v>210</v>
      </c>
      <c r="E315" s="2">
        <v>337</v>
      </c>
      <c r="F315" s="2">
        <f t="shared" si="12"/>
        <v>547</v>
      </c>
      <c r="G315" s="3">
        <f t="shared" si="13"/>
        <v>0.38391224862888484</v>
      </c>
      <c r="H315" s="3">
        <f t="shared" si="14"/>
        <v>0.61608775137111516</v>
      </c>
      <c r="I315" s="1" t="s">
        <v>129</v>
      </c>
    </row>
    <row r="316" spans="1:9" x14ac:dyDescent="0.2">
      <c r="A316" s="1" t="s">
        <v>83</v>
      </c>
      <c r="B316" s="1" t="s">
        <v>98</v>
      </c>
      <c r="C316" s="1" t="s">
        <v>414</v>
      </c>
      <c r="D316" s="2">
        <v>296</v>
      </c>
      <c r="E316" s="2">
        <v>594</v>
      </c>
      <c r="F316" s="2">
        <f t="shared" si="12"/>
        <v>890</v>
      </c>
      <c r="G316" s="3">
        <f t="shared" si="13"/>
        <v>0.33258426966292137</v>
      </c>
      <c r="H316" s="3">
        <f t="shared" si="14"/>
        <v>0.66741573033707868</v>
      </c>
      <c r="I316" s="1" t="s">
        <v>129</v>
      </c>
    </row>
    <row r="317" spans="1:9" x14ac:dyDescent="0.2">
      <c r="A317" s="1" t="s">
        <v>83</v>
      </c>
      <c r="B317" s="1" t="s">
        <v>99</v>
      </c>
      <c r="C317" s="1" t="s">
        <v>415</v>
      </c>
      <c r="D317" s="2">
        <v>210</v>
      </c>
      <c r="E317" s="2">
        <v>240</v>
      </c>
      <c r="F317" s="2">
        <f t="shared" si="12"/>
        <v>450</v>
      </c>
      <c r="G317" s="3">
        <f t="shared" si="13"/>
        <v>0.46666666666666667</v>
      </c>
      <c r="H317" s="3">
        <f t="shared" si="14"/>
        <v>0.53333333333333333</v>
      </c>
      <c r="I317" s="1" t="s">
        <v>332</v>
      </c>
    </row>
    <row r="318" spans="1:9" x14ac:dyDescent="0.2">
      <c r="A318" s="1" t="s">
        <v>83</v>
      </c>
      <c r="B318" s="1" t="s">
        <v>99</v>
      </c>
      <c r="C318" s="1" t="s">
        <v>416</v>
      </c>
      <c r="D318" s="2">
        <v>541</v>
      </c>
      <c r="E318" s="2">
        <v>613</v>
      </c>
      <c r="F318" s="2">
        <f t="shared" si="12"/>
        <v>1154</v>
      </c>
      <c r="G318" s="3">
        <f t="shared" si="13"/>
        <v>0.46880415944540726</v>
      </c>
      <c r="H318" s="3">
        <f t="shared" si="14"/>
        <v>0.53119584055459268</v>
      </c>
      <c r="I318" s="1" t="s">
        <v>332</v>
      </c>
    </row>
    <row r="319" spans="1:9" x14ac:dyDescent="0.2">
      <c r="A319" s="1" t="s">
        <v>83</v>
      </c>
      <c r="B319" s="1" t="s">
        <v>99</v>
      </c>
      <c r="C319" s="1" t="s">
        <v>417</v>
      </c>
      <c r="D319" s="2">
        <v>465</v>
      </c>
      <c r="E319" s="2">
        <v>532</v>
      </c>
      <c r="F319" s="2">
        <f t="shared" si="12"/>
        <v>997</v>
      </c>
      <c r="G319" s="3">
        <f t="shared" si="13"/>
        <v>0.46639919759277831</v>
      </c>
      <c r="H319" s="3">
        <f t="shared" si="14"/>
        <v>0.53360080240722163</v>
      </c>
      <c r="I319" s="1" t="s">
        <v>332</v>
      </c>
    </row>
    <row r="320" spans="1:9" x14ac:dyDescent="0.2">
      <c r="A320" s="1" t="s">
        <v>83</v>
      </c>
      <c r="B320" s="1" t="s">
        <v>99</v>
      </c>
      <c r="C320" s="1" t="s">
        <v>418</v>
      </c>
      <c r="D320" s="2">
        <v>522</v>
      </c>
      <c r="E320" s="2">
        <v>599</v>
      </c>
      <c r="F320" s="2">
        <f t="shared" si="12"/>
        <v>1121</v>
      </c>
      <c r="G320" s="3">
        <f t="shared" si="13"/>
        <v>0.46565566458519181</v>
      </c>
      <c r="H320" s="3">
        <f t="shared" si="14"/>
        <v>0.53434433541480819</v>
      </c>
      <c r="I320" s="1" t="s">
        <v>332</v>
      </c>
    </row>
    <row r="321" spans="1:9" x14ac:dyDescent="0.2">
      <c r="A321" s="1" t="s">
        <v>83</v>
      </c>
      <c r="B321" s="1" t="s">
        <v>100</v>
      </c>
      <c r="C321" s="1" t="s">
        <v>419</v>
      </c>
      <c r="D321" s="2">
        <v>491</v>
      </c>
      <c r="E321" s="2">
        <v>430</v>
      </c>
      <c r="F321" s="2">
        <f t="shared" si="12"/>
        <v>921</v>
      </c>
      <c r="G321" s="3">
        <f t="shared" si="13"/>
        <v>0.53311617806731815</v>
      </c>
      <c r="H321" s="3">
        <f t="shared" si="14"/>
        <v>0.46688382193268185</v>
      </c>
      <c r="I321" s="1" t="s">
        <v>129</v>
      </c>
    </row>
    <row r="322" spans="1:9" x14ac:dyDescent="0.2">
      <c r="A322" s="1" t="s">
        <v>83</v>
      </c>
      <c r="B322" s="1" t="s">
        <v>100</v>
      </c>
      <c r="C322" s="1" t="s">
        <v>420</v>
      </c>
      <c r="D322" s="2">
        <v>533</v>
      </c>
      <c r="E322" s="2">
        <v>690</v>
      </c>
      <c r="F322" s="2">
        <f t="shared" si="12"/>
        <v>1223</v>
      </c>
      <c r="G322" s="3">
        <f t="shared" si="13"/>
        <v>0.43581357318070318</v>
      </c>
      <c r="H322" s="3">
        <f t="shared" si="14"/>
        <v>0.56418642681929676</v>
      </c>
      <c r="I322" s="1" t="s">
        <v>129</v>
      </c>
    </row>
    <row r="323" spans="1:9" x14ac:dyDescent="0.2">
      <c r="A323" s="1" t="s">
        <v>83</v>
      </c>
      <c r="B323" s="1" t="s">
        <v>100</v>
      </c>
      <c r="C323" s="1" t="s">
        <v>421</v>
      </c>
      <c r="D323" s="2">
        <v>333</v>
      </c>
      <c r="E323" s="2">
        <v>437</v>
      </c>
      <c r="F323" s="2">
        <f t="shared" si="12"/>
        <v>770</v>
      </c>
      <c r="G323" s="3">
        <f t="shared" si="13"/>
        <v>0.43246753246753245</v>
      </c>
      <c r="H323" s="3">
        <f t="shared" si="14"/>
        <v>0.56753246753246755</v>
      </c>
      <c r="I323" s="1" t="s">
        <v>129</v>
      </c>
    </row>
    <row r="324" spans="1:9" x14ac:dyDescent="0.2">
      <c r="A324" s="1" t="s">
        <v>83</v>
      </c>
      <c r="B324" s="1" t="s">
        <v>100</v>
      </c>
      <c r="C324" s="1" t="s">
        <v>422</v>
      </c>
      <c r="D324" s="2">
        <v>391</v>
      </c>
      <c r="E324" s="2">
        <v>348</v>
      </c>
      <c r="F324" s="2">
        <f t="shared" si="12"/>
        <v>739</v>
      </c>
      <c r="G324" s="3">
        <f t="shared" si="13"/>
        <v>0.52909336941813256</v>
      </c>
      <c r="H324" s="3">
        <f t="shared" si="14"/>
        <v>0.47090663058186738</v>
      </c>
      <c r="I324" s="1" t="s">
        <v>129</v>
      </c>
    </row>
    <row r="325" spans="1:9" x14ac:dyDescent="0.2">
      <c r="A325" s="1" t="s">
        <v>83</v>
      </c>
      <c r="B325" s="1" t="s">
        <v>100</v>
      </c>
      <c r="C325" s="1" t="s">
        <v>423</v>
      </c>
      <c r="D325" s="2">
        <v>364</v>
      </c>
      <c r="E325" s="2">
        <v>483</v>
      </c>
      <c r="F325" s="2">
        <f t="shared" si="12"/>
        <v>847</v>
      </c>
      <c r="G325" s="3">
        <f t="shared" si="13"/>
        <v>0.42975206611570249</v>
      </c>
      <c r="H325" s="3">
        <f t="shared" si="14"/>
        <v>0.57024793388429751</v>
      </c>
      <c r="I325" s="1" t="s">
        <v>129</v>
      </c>
    </row>
    <row r="326" spans="1:9" x14ac:dyDescent="0.2">
      <c r="A326" s="1" t="s">
        <v>83</v>
      </c>
      <c r="B326" s="1" t="s">
        <v>100</v>
      </c>
      <c r="C326" s="1" t="s">
        <v>424</v>
      </c>
      <c r="D326" s="2">
        <v>772</v>
      </c>
      <c r="E326" s="2">
        <v>653</v>
      </c>
      <c r="F326" s="2">
        <f t="shared" si="12"/>
        <v>1425</v>
      </c>
      <c r="G326" s="3">
        <f t="shared" si="13"/>
        <v>0.54175438596491232</v>
      </c>
      <c r="H326" s="3">
        <f t="shared" si="14"/>
        <v>0.45824561403508773</v>
      </c>
      <c r="I326" s="1" t="s">
        <v>129</v>
      </c>
    </row>
    <row r="327" spans="1:9" x14ac:dyDescent="0.2">
      <c r="A327" s="1" t="s">
        <v>83</v>
      </c>
      <c r="B327" s="1" t="s">
        <v>101</v>
      </c>
      <c r="C327" s="1" t="s">
        <v>425</v>
      </c>
      <c r="D327" s="2">
        <v>343</v>
      </c>
      <c r="E327" s="2">
        <v>625</v>
      </c>
      <c r="F327" s="2">
        <f t="shared" si="12"/>
        <v>968</v>
      </c>
      <c r="G327" s="3">
        <f t="shared" si="13"/>
        <v>0.35433884297520662</v>
      </c>
      <c r="H327" s="3">
        <f t="shared" si="14"/>
        <v>0.64566115702479343</v>
      </c>
      <c r="I327" s="1" t="s">
        <v>129</v>
      </c>
    </row>
    <row r="328" spans="1:9" x14ac:dyDescent="0.2">
      <c r="A328" s="1" t="s">
        <v>83</v>
      </c>
      <c r="B328" s="1" t="s">
        <v>101</v>
      </c>
      <c r="C328" s="1" t="s">
        <v>426</v>
      </c>
      <c r="D328" s="2">
        <v>650</v>
      </c>
      <c r="E328" s="2">
        <v>1210</v>
      </c>
      <c r="F328" s="2">
        <f t="shared" si="12"/>
        <v>1860</v>
      </c>
      <c r="G328" s="3">
        <f t="shared" si="13"/>
        <v>0.34946236559139787</v>
      </c>
      <c r="H328" s="3">
        <f t="shared" si="14"/>
        <v>0.65053763440860213</v>
      </c>
      <c r="I328" s="1" t="s">
        <v>129</v>
      </c>
    </row>
    <row r="329" spans="1:9" x14ac:dyDescent="0.2">
      <c r="A329" s="1" t="s">
        <v>83</v>
      </c>
      <c r="B329" s="1" t="s">
        <v>101</v>
      </c>
      <c r="C329" s="1" t="s">
        <v>427</v>
      </c>
      <c r="D329" s="2">
        <v>458</v>
      </c>
      <c r="E329" s="2">
        <v>938</v>
      </c>
      <c r="F329" s="2">
        <f t="shared" si="12"/>
        <v>1396</v>
      </c>
      <c r="G329" s="3">
        <f t="shared" si="13"/>
        <v>0.32808022922636104</v>
      </c>
      <c r="H329" s="3">
        <f t="shared" si="14"/>
        <v>0.67191977077363896</v>
      </c>
      <c r="I329" s="1" t="s">
        <v>129</v>
      </c>
    </row>
    <row r="330" spans="1:9" x14ac:dyDescent="0.2">
      <c r="A330" s="1" t="s">
        <v>83</v>
      </c>
      <c r="B330" s="1" t="s">
        <v>101</v>
      </c>
      <c r="C330" s="1" t="s">
        <v>428</v>
      </c>
      <c r="D330" s="2">
        <v>206</v>
      </c>
      <c r="E330" s="2">
        <v>419</v>
      </c>
      <c r="F330" s="2">
        <f t="shared" si="12"/>
        <v>625</v>
      </c>
      <c r="G330" s="3">
        <f t="shared" si="13"/>
        <v>0.3296</v>
      </c>
      <c r="H330" s="3">
        <f t="shared" si="14"/>
        <v>0.6704</v>
      </c>
      <c r="I330" s="1" t="s">
        <v>129</v>
      </c>
    </row>
    <row r="331" spans="1:9" x14ac:dyDescent="0.2">
      <c r="A331" s="1" t="s">
        <v>83</v>
      </c>
      <c r="B331" s="1" t="s">
        <v>102</v>
      </c>
      <c r="C331" s="1" t="s">
        <v>429</v>
      </c>
      <c r="D331" s="2">
        <v>502</v>
      </c>
      <c r="E331" s="2">
        <v>498</v>
      </c>
      <c r="F331" s="2">
        <f t="shared" si="12"/>
        <v>1000</v>
      </c>
      <c r="G331" s="3">
        <f t="shared" si="13"/>
        <v>0.502</v>
      </c>
      <c r="H331" s="3">
        <f t="shared" si="14"/>
        <v>0.498</v>
      </c>
      <c r="I331" s="1" t="s">
        <v>129</v>
      </c>
    </row>
    <row r="332" spans="1:9" x14ac:dyDescent="0.2">
      <c r="A332" s="1" t="s">
        <v>83</v>
      </c>
      <c r="B332" s="1" t="s">
        <v>102</v>
      </c>
      <c r="C332" s="1" t="s">
        <v>430</v>
      </c>
      <c r="D332" s="2">
        <v>388</v>
      </c>
      <c r="E332" s="2">
        <v>384</v>
      </c>
      <c r="F332" s="2">
        <f t="shared" ref="F332:F395" si="15">IF(COUNTA(D332:E332)=0,"",SUM(D332:E332))</f>
        <v>772</v>
      </c>
      <c r="G332" s="3">
        <f t="shared" ref="G332:G395" si="16">IF(OR(F332="",F332=0),"",D332/F332)</f>
        <v>0.50259067357512954</v>
      </c>
      <c r="H332" s="3">
        <f t="shared" ref="H332:H381" si="17">IF(OR(F332="",F332=0),"",E332/F332)</f>
        <v>0.49740932642487046</v>
      </c>
      <c r="I332" s="1" t="s">
        <v>129</v>
      </c>
    </row>
    <row r="333" spans="1:9" x14ac:dyDescent="0.2">
      <c r="A333" s="1" t="s">
        <v>83</v>
      </c>
      <c r="B333" s="1" t="s">
        <v>102</v>
      </c>
      <c r="C333" s="1" t="s">
        <v>431</v>
      </c>
      <c r="D333" s="2">
        <v>361</v>
      </c>
      <c r="E333" s="2">
        <v>382</v>
      </c>
      <c r="F333" s="2">
        <f t="shared" si="15"/>
        <v>743</v>
      </c>
      <c r="G333" s="3">
        <f t="shared" si="16"/>
        <v>0.48586810228802152</v>
      </c>
      <c r="H333" s="3">
        <f t="shared" si="17"/>
        <v>0.51413189771197843</v>
      </c>
      <c r="I333" s="1" t="s">
        <v>129</v>
      </c>
    </row>
    <row r="334" spans="1:9" x14ac:dyDescent="0.2">
      <c r="A334" s="1" t="s">
        <v>83</v>
      </c>
      <c r="B334" s="1" t="s">
        <v>103</v>
      </c>
      <c r="C334" s="1" t="s">
        <v>432</v>
      </c>
      <c r="D334" s="2">
        <v>182</v>
      </c>
      <c r="E334" s="2">
        <v>211</v>
      </c>
      <c r="F334" s="2">
        <f t="shared" si="15"/>
        <v>393</v>
      </c>
      <c r="G334" s="3">
        <f t="shared" si="16"/>
        <v>0.46310432569974552</v>
      </c>
      <c r="H334" s="3">
        <f t="shared" si="17"/>
        <v>0.53689567430025442</v>
      </c>
      <c r="I334" s="1" t="s">
        <v>129</v>
      </c>
    </row>
    <row r="335" spans="1:9" x14ac:dyDescent="0.2">
      <c r="A335" s="1" t="s">
        <v>83</v>
      </c>
      <c r="B335" s="1" t="s">
        <v>103</v>
      </c>
      <c r="C335" s="1" t="s">
        <v>433</v>
      </c>
      <c r="D335" s="2">
        <v>533</v>
      </c>
      <c r="E335" s="2">
        <v>502</v>
      </c>
      <c r="F335" s="2">
        <f t="shared" si="15"/>
        <v>1035</v>
      </c>
      <c r="G335" s="3">
        <f t="shared" si="16"/>
        <v>0.51497584541062802</v>
      </c>
      <c r="H335" s="3">
        <f t="shared" si="17"/>
        <v>0.48502415458937198</v>
      </c>
      <c r="I335" s="1" t="s">
        <v>129</v>
      </c>
    </row>
    <row r="336" spans="1:9" x14ac:dyDescent="0.2">
      <c r="A336" s="1" t="s">
        <v>83</v>
      </c>
      <c r="B336" s="1" t="s">
        <v>104</v>
      </c>
      <c r="C336" s="1" t="s">
        <v>434</v>
      </c>
      <c r="D336" s="2">
        <v>485</v>
      </c>
      <c r="E336" s="2">
        <v>533</v>
      </c>
      <c r="F336" s="2">
        <f t="shared" si="15"/>
        <v>1018</v>
      </c>
      <c r="G336" s="3">
        <f t="shared" si="16"/>
        <v>0.47642436149312378</v>
      </c>
      <c r="H336" s="3">
        <f t="shared" si="17"/>
        <v>0.52357563850687627</v>
      </c>
      <c r="I336" s="1" t="s">
        <v>129</v>
      </c>
    </row>
    <row r="337" spans="1:9" x14ac:dyDescent="0.2">
      <c r="A337" s="1" t="s">
        <v>83</v>
      </c>
      <c r="B337" s="1" t="s">
        <v>104</v>
      </c>
      <c r="C337" s="1" t="s">
        <v>435</v>
      </c>
      <c r="D337" s="2">
        <v>445</v>
      </c>
      <c r="E337" s="2">
        <v>463</v>
      </c>
      <c r="F337" s="2">
        <f t="shared" si="15"/>
        <v>908</v>
      </c>
      <c r="G337" s="3">
        <f t="shared" si="16"/>
        <v>0.49008810572687223</v>
      </c>
      <c r="H337" s="3">
        <f t="shared" si="17"/>
        <v>0.50991189427312777</v>
      </c>
      <c r="I337" s="1" t="s">
        <v>129</v>
      </c>
    </row>
    <row r="338" spans="1:9" x14ac:dyDescent="0.2">
      <c r="A338" s="1" t="s">
        <v>83</v>
      </c>
      <c r="B338" s="1" t="s">
        <v>104</v>
      </c>
      <c r="C338" s="1" t="s">
        <v>436</v>
      </c>
      <c r="D338" s="2">
        <v>868</v>
      </c>
      <c r="E338" s="2">
        <v>987</v>
      </c>
      <c r="F338" s="2">
        <f t="shared" si="15"/>
        <v>1855</v>
      </c>
      <c r="G338" s="3">
        <f t="shared" si="16"/>
        <v>0.4679245283018868</v>
      </c>
      <c r="H338" s="3">
        <f t="shared" si="17"/>
        <v>0.5320754716981132</v>
      </c>
      <c r="I338" s="1" t="s">
        <v>129</v>
      </c>
    </row>
    <row r="339" spans="1:9" x14ac:dyDescent="0.2">
      <c r="A339" s="1" t="s">
        <v>83</v>
      </c>
      <c r="B339" s="1" t="s">
        <v>104</v>
      </c>
      <c r="C339" s="1" t="s">
        <v>437</v>
      </c>
      <c r="D339" s="2">
        <v>168</v>
      </c>
      <c r="E339" s="2">
        <v>215</v>
      </c>
      <c r="F339" s="2">
        <f t="shared" si="15"/>
        <v>383</v>
      </c>
      <c r="G339" s="3">
        <f t="shared" si="16"/>
        <v>0.43864229765013057</v>
      </c>
      <c r="H339" s="3">
        <f t="shared" si="17"/>
        <v>0.56135770234986948</v>
      </c>
      <c r="I339" s="1" t="s">
        <v>129</v>
      </c>
    </row>
    <row r="340" spans="1:9" x14ac:dyDescent="0.2">
      <c r="A340" s="1" t="s">
        <v>83</v>
      </c>
      <c r="B340" s="1" t="s">
        <v>105</v>
      </c>
      <c r="C340" s="1" t="s">
        <v>438</v>
      </c>
      <c r="D340" s="2">
        <v>680</v>
      </c>
      <c r="E340" s="2">
        <v>601</v>
      </c>
      <c r="F340" s="2">
        <f t="shared" si="15"/>
        <v>1281</v>
      </c>
      <c r="G340" s="3">
        <f t="shared" si="16"/>
        <v>0.53083528493364562</v>
      </c>
      <c r="H340" s="3">
        <f t="shared" si="17"/>
        <v>0.46916471506635443</v>
      </c>
      <c r="I340" s="1" t="s">
        <v>332</v>
      </c>
    </row>
    <row r="341" spans="1:9" x14ac:dyDescent="0.2">
      <c r="A341" s="1" t="s">
        <v>83</v>
      </c>
      <c r="B341" s="1" t="s">
        <v>105</v>
      </c>
      <c r="C341" s="1" t="s">
        <v>439</v>
      </c>
      <c r="D341" s="2">
        <v>405</v>
      </c>
      <c r="E341" s="2">
        <v>355</v>
      </c>
      <c r="F341" s="2">
        <f t="shared" si="15"/>
        <v>760</v>
      </c>
      <c r="G341" s="3">
        <f t="shared" si="16"/>
        <v>0.53289473684210531</v>
      </c>
      <c r="H341" s="3">
        <f t="shared" si="17"/>
        <v>0.46710526315789475</v>
      </c>
      <c r="I341" s="1" t="s">
        <v>332</v>
      </c>
    </row>
    <row r="342" spans="1:9" x14ac:dyDescent="0.2">
      <c r="A342" s="1" t="s">
        <v>83</v>
      </c>
      <c r="B342" s="1" t="s">
        <v>105</v>
      </c>
      <c r="C342" s="1" t="s">
        <v>440</v>
      </c>
      <c r="D342" s="2">
        <v>633</v>
      </c>
      <c r="E342" s="2">
        <v>559</v>
      </c>
      <c r="F342" s="2">
        <f t="shared" si="15"/>
        <v>1192</v>
      </c>
      <c r="G342" s="3">
        <f t="shared" si="16"/>
        <v>0.53104026845637586</v>
      </c>
      <c r="H342" s="3">
        <f t="shared" si="17"/>
        <v>0.46895973154362414</v>
      </c>
      <c r="I342" s="1" t="s">
        <v>332</v>
      </c>
    </row>
    <row r="343" spans="1:9" x14ac:dyDescent="0.2">
      <c r="A343" s="1" t="s">
        <v>83</v>
      </c>
      <c r="B343" s="1" t="s">
        <v>105</v>
      </c>
      <c r="C343" s="1" t="s">
        <v>441</v>
      </c>
      <c r="D343" s="2">
        <v>734</v>
      </c>
      <c r="E343" s="2">
        <v>644</v>
      </c>
      <c r="F343" s="2">
        <f t="shared" si="15"/>
        <v>1378</v>
      </c>
      <c r="G343" s="3">
        <f t="shared" si="16"/>
        <v>0.53265602322206096</v>
      </c>
      <c r="H343" s="3">
        <f t="shared" si="17"/>
        <v>0.46734397677793904</v>
      </c>
      <c r="I343" s="1" t="s">
        <v>332</v>
      </c>
    </row>
    <row r="344" spans="1:9" x14ac:dyDescent="0.2">
      <c r="A344" s="1" t="s">
        <v>83</v>
      </c>
      <c r="B344" s="1" t="s">
        <v>105</v>
      </c>
      <c r="C344" s="1" t="s">
        <v>442</v>
      </c>
      <c r="D344" s="2">
        <v>725</v>
      </c>
      <c r="E344" s="2">
        <v>639</v>
      </c>
      <c r="F344" s="2">
        <f t="shared" si="15"/>
        <v>1364</v>
      </c>
      <c r="G344" s="3">
        <f t="shared" si="16"/>
        <v>0.53152492668621698</v>
      </c>
      <c r="H344" s="3">
        <f t="shared" si="17"/>
        <v>0.46847507331378296</v>
      </c>
      <c r="I344" s="1" t="s">
        <v>332</v>
      </c>
    </row>
    <row r="345" spans="1:9" x14ac:dyDescent="0.2">
      <c r="A345" s="1" t="s">
        <v>83</v>
      </c>
      <c r="B345" s="1" t="s">
        <v>105</v>
      </c>
      <c r="C345" s="1" t="s">
        <v>443</v>
      </c>
      <c r="D345" s="2">
        <v>657</v>
      </c>
      <c r="E345" s="2">
        <v>585</v>
      </c>
      <c r="F345" s="2">
        <f t="shared" si="15"/>
        <v>1242</v>
      </c>
      <c r="G345" s="3">
        <f t="shared" si="16"/>
        <v>0.52898550724637683</v>
      </c>
      <c r="H345" s="3">
        <f t="shared" si="17"/>
        <v>0.47101449275362317</v>
      </c>
      <c r="I345" s="1" t="s">
        <v>332</v>
      </c>
    </row>
    <row r="346" spans="1:9" x14ac:dyDescent="0.2">
      <c r="A346" s="1" t="s">
        <v>83</v>
      </c>
      <c r="B346" s="1" t="s">
        <v>105</v>
      </c>
      <c r="C346" s="1" t="s">
        <v>444</v>
      </c>
      <c r="D346" s="2">
        <v>564</v>
      </c>
      <c r="E346" s="2">
        <v>494</v>
      </c>
      <c r="F346" s="2">
        <f t="shared" si="15"/>
        <v>1058</v>
      </c>
      <c r="G346" s="3">
        <f t="shared" si="16"/>
        <v>0.53308128544423439</v>
      </c>
      <c r="H346" s="3">
        <f t="shared" si="17"/>
        <v>0.46691871455576561</v>
      </c>
      <c r="I346" s="1" t="s">
        <v>332</v>
      </c>
    </row>
    <row r="347" spans="1:9" x14ac:dyDescent="0.2">
      <c r="A347" s="1" t="s">
        <v>83</v>
      </c>
      <c r="B347" s="1" t="s">
        <v>105</v>
      </c>
      <c r="C347" s="1" t="s">
        <v>445</v>
      </c>
      <c r="D347" s="2">
        <v>587</v>
      </c>
      <c r="E347" s="2">
        <v>521</v>
      </c>
      <c r="F347" s="2">
        <f t="shared" si="15"/>
        <v>1108</v>
      </c>
      <c r="G347" s="3">
        <f t="shared" si="16"/>
        <v>0.52978339350180503</v>
      </c>
      <c r="H347" s="3">
        <f t="shared" si="17"/>
        <v>0.47021660649819497</v>
      </c>
      <c r="I347" s="1" t="s">
        <v>332</v>
      </c>
    </row>
    <row r="348" spans="1:9" x14ac:dyDescent="0.2">
      <c r="A348" s="1" t="s">
        <v>83</v>
      </c>
      <c r="B348" s="1" t="s">
        <v>105</v>
      </c>
      <c r="C348" s="1" t="s">
        <v>446</v>
      </c>
      <c r="D348" s="2">
        <v>675</v>
      </c>
      <c r="E348" s="2">
        <v>599</v>
      </c>
      <c r="F348" s="2">
        <f t="shared" si="15"/>
        <v>1274</v>
      </c>
      <c r="G348" s="3">
        <f t="shared" si="16"/>
        <v>0.52982731554160123</v>
      </c>
      <c r="H348" s="3">
        <f t="shared" si="17"/>
        <v>0.47017268445839877</v>
      </c>
      <c r="I348" s="1" t="s">
        <v>332</v>
      </c>
    </row>
    <row r="349" spans="1:9" x14ac:dyDescent="0.2">
      <c r="A349" s="1" t="s">
        <v>83</v>
      </c>
      <c r="B349" s="1" t="s">
        <v>106</v>
      </c>
      <c r="C349" s="1" t="s">
        <v>447</v>
      </c>
      <c r="D349" s="2">
        <v>76</v>
      </c>
      <c r="E349" s="2">
        <v>127</v>
      </c>
      <c r="F349" s="2">
        <f t="shared" si="15"/>
        <v>203</v>
      </c>
      <c r="G349" s="3">
        <f t="shared" si="16"/>
        <v>0.37438423645320196</v>
      </c>
      <c r="H349" s="3">
        <f t="shared" si="17"/>
        <v>0.62561576354679804</v>
      </c>
      <c r="I349" s="1" t="s">
        <v>129</v>
      </c>
    </row>
    <row r="350" spans="1:9" x14ac:dyDescent="0.2">
      <c r="A350" s="1" t="s">
        <v>83</v>
      </c>
      <c r="B350" s="1" t="s">
        <v>106</v>
      </c>
      <c r="C350" s="1" t="s">
        <v>448</v>
      </c>
      <c r="D350" s="2">
        <v>209</v>
      </c>
      <c r="E350" s="2">
        <v>369</v>
      </c>
      <c r="F350" s="2">
        <f t="shared" si="15"/>
        <v>578</v>
      </c>
      <c r="G350" s="3">
        <f t="shared" si="16"/>
        <v>0.36159169550173009</v>
      </c>
      <c r="H350" s="3">
        <f t="shared" si="17"/>
        <v>0.63840830449826991</v>
      </c>
      <c r="I350" s="1" t="s">
        <v>129</v>
      </c>
    </row>
    <row r="351" spans="1:9" x14ac:dyDescent="0.2">
      <c r="A351" s="1" t="s">
        <v>83</v>
      </c>
      <c r="B351" s="1" t="s">
        <v>106</v>
      </c>
      <c r="C351" s="1" t="s">
        <v>449</v>
      </c>
      <c r="D351" s="2">
        <v>149</v>
      </c>
      <c r="E351" s="2">
        <v>218</v>
      </c>
      <c r="F351" s="2">
        <f t="shared" si="15"/>
        <v>367</v>
      </c>
      <c r="G351" s="3">
        <f t="shared" si="16"/>
        <v>0.40599455040871935</v>
      </c>
      <c r="H351" s="3">
        <f t="shared" si="17"/>
        <v>0.59400544959128065</v>
      </c>
      <c r="I351" s="1" t="s">
        <v>129</v>
      </c>
    </row>
    <row r="352" spans="1:9" x14ac:dyDescent="0.2">
      <c r="A352" s="1" t="s">
        <v>83</v>
      </c>
      <c r="B352" s="1" t="s">
        <v>106</v>
      </c>
      <c r="C352" s="1" t="s">
        <v>450</v>
      </c>
      <c r="D352" s="2">
        <v>88</v>
      </c>
      <c r="E352" s="2">
        <v>126</v>
      </c>
      <c r="F352" s="2">
        <f t="shared" si="15"/>
        <v>214</v>
      </c>
      <c r="G352" s="3">
        <f t="shared" si="16"/>
        <v>0.41121495327102803</v>
      </c>
      <c r="H352" s="3">
        <f t="shared" si="17"/>
        <v>0.58878504672897192</v>
      </c>
      <c r="I352" s="1" t="s">
        <v>129</v>
      </c>
    </row>
    <row r="353" spans="1:9" x14ac:dyDescent="0.2">
      <c r="A353" s="1" t="s">
        <v>83</v>
      </c>
      <c r="B353" s="1" t="s">
        <v>107</v>
      </c>
      <c r="C353" s="1" t="s">
        <v>451</v>
      </c>
      <c r="D353" s="2">
        <v>338</v>
      </c>
      <c r="E353" s="2">
        <v>602</v>
      </c>
      <c r="F353" s="2">
        <f t="shared" si="15"/>
        <v>940</v>
      </c>
      <c r="G353" s="3">
        <f t="shared" si="16"/>
        <v>0.3595744680851064</v>
      </c>
      <c r="H353" s="3">
        <f t="shared" si="17"/>
        <v>0.6404255319148936</v>
      </c>
      <c r="I353" s="1" t="s">
        <v>129</v>
      </c>
    </row>
    <row r="354" spans="1:9" x14ac:dyDescent="0.2">
      <c r="A354" s="1" t="s">
        <v>83</v>
      </c>
      <c r="B354" s="1" t="s">
        <v>107</v>
      </c>
      <c r="C354" s="1" t="s">
        <v>452</v>
      </c>
      <c r="D354" s="2">
        <v>282</v>
      </c>
      <c r="E354" s="2">
        <v>469</v>
      </c>
      <c r="F354" s="2">
        <f t="shared" si="15"/>
        <v>751</v>
      </c>
      <c r="G354" s="3">
        <f t="shared" si="16"/>
        <v>0.37549933422103859</v>
      </c>
      <c r="H354" s="3">
        <f t="shared" si="17"/>
        <v>0.62450066577896135</v>
      </c>
      <c r="I354" s="1" t="s">
        <v>129</v>
      </c>
    </row>
    <row r="355" spans="1:9" x14ac:dyDescent="0.2">
      <c r="A355" s="1" t="s">
        <v>83</v>
      </c>
      <c r="B355" s="1" t="s">
        <v>107</v>
      </c>
      <c r="C355" s="1" t="s">
        <v>453</v>
      </c>
      <c r="D355" s="2">
        <v>241</v>
      </c>
      <c r="E355" s="2">
        <v>444</v>
      </c>
      <c r="F355" s="2">
        <f t="shared" si="15"/>
        <v>685</v>
      </c>
      <c r="G355" s="3">
        <f t="shared" si="16"/>
        <v>0.35182481751824818</v>
      </c>
      <c r="H355" s="3">
        <f t="shared" si="17"/>
        <v>0.64817518248175188</v>
      </c>
      <c r="I355" s="1" t="s">
        <v>129</v>
      </c>
    </row>
    <row r="356" spans="1:9" x14ac:dyDescent="0.2">
      <c r="A356" s="1" t="s">
        <v>83</v>
      </c>
      <c r="B356" s="1" t="s">
        <v>107</v>
      </c>
      <c r="C356" s="1" t="s">
        <v>454</v>
      </c>
      <c r="D356" s="2">
        <v>259</v>
      </c>
      <c r="E356" s="2">
        <v>487</v>
      </c>
      <c r="F356" s="2">
        <f t="shared" si="15"/>
        <v>746</v>
      </c>
      <c r="G356" s="3">
        <f t="shared" si="16"/>
        <v>0.34718498659517427</v>
      </c>
      <c r="H356" s="3">
        <f t="shared" si="17"/>
        <v>0.65281501340482573</v>
      </c>
      <c r="I356" s="1" t="s">
        <v>129</v>
      </c>
    </row>
    <row r="357" spans="1:9" x14ac:dyDescent="0.2">
      <c r="A357" s="1" t="s">
        <v>83</v>
      </c>
      <c r="B357" s="1" t="s">
        <v>108</v>
      </c>
      <c r="C357" s="1" t="s">
        <v>108</v>
      </c>
      <c r="D357" s="2">
        <v>71</v>
      </c>
      <c r="E357" s="2">
        <v>125</v>
      </c>
      <c r="F357" s="2">
        <f t="shared" si="15"/>
        <v>196</v>
      </c>
      <c r="G357" s="3">
        <f t="shared" si="16"/>
        <v>0.36224489795918369</v>
      </c>
      <c r="H357" s="3">
        <f t="shared" si="17"/>
        <v>0.63775510204081631</v>
      </c>
      <c r="I357" s="1" t="s">
        <v>129</v>
      </c>
    </row>
    <row r="358" spans="1:9" x14ac:dyDescent="0.2">
      <c r="A358" s="1" t="s">
        <v>83</v>
      </c>
      <c r="B358" s="1" t="s">
        <v>109</v>
      </c>
      <c r="C358" s="1" t="s">
        <v>109</v>
      </c>
      <c r="D358" s="2">
        <v>259</v>
      </c>
      <c r="E358" s="2">
        <v>424</v>
      </c>
      <c r="F358" s="2">
        <f t="shared" si="15"/>
        <v>683</v>
      </c>
      <c r="G358" s="3">
        <f t="shared" si="16"/>
        <v>0.37920937042459735</v>
      </c>
      <c r="H358" s="3">
        <f t="shared" si="17"/>
        <v>0.62079062957540265</v>
      </c>
      <c r="I358" s="1" t="s">
        <v>129</v>
      </c>
    </row>
    <row r="359" spans="1:9" x14ac:dyDescent="0.2">
      <c r="A359" s="1" t="s">
        <v>83</v>
      </c>
      <c r="B359" s="1" t="s">
        <v>110</v>
      </c>
      <c r="C359" s="1" t="s">
        <v>110</v>
      </c>
      <c r="D359" s="2">
        <v>161</v>
      </c>
      <c r="E359" s="2">
        <v>228</v>
      </c>
      <c r="F359" s="2">
        <f t="shared" si="15"/>
        <v>389</v>
      </c>
      <c r="G359" s="3">
        <f t="shared" si="16"/>
        <v>0.41388174807197942</v>
      </c>
      <c r="H359" s="3">
        <f t="shared" si="17"/>
        <v>0.58611825192802058</v>
      </c>
      <c r="I359" s="1" t="s">
        <v>129</v>
      </c>
    </row>
    <row r="360" spans="1:9" x14ac:dyDescent="0.2">
      <c r="A360" s="1" t="s">
        <v>83</v>
      </c>
      <c r="B360" s="1" t="s">
        <v>111</v>
      </c>
      <c r="C360" s="1" t="s">
        <v>111</v>
      </c>
      <c r="D360" s="2">
        <v>260</v>
      </c>
      <c r="E360" s="2">
        <v>342</v>
      </c>
      <c r="F360" s="2">
        <f t="shared" si="15"/>
        <v>602</v>
      </c>
      <c r="G360" s="3">
        <f t="shared" si="16"/>
        <v>0.43189368770764119</v>
      </c>
      <c r="H360" s="3">
        <f t="shared" si="17"/>
        <v>0.56810631229235875</v>
      </c>
      <c r="I360" s="1" t="s">
        <v>129</v>
      </c>
    </row>
    <row r="361" spans="1:9" x14ac:dyDescent="0.2">
      <c r="A361" s="1" t="s">
        <v>83</v>
      </c>
      <c r="B361" s="1" t="s">
        <v>112</v>
      </c>
      <c r="C361" s="1" t="s">
        <v>455</v>
      </c>
      <c r="D361" s="2">
        <v>245</v>
      </c>
      <c r="E361" s="2">
        <v>575</v>
      </c>
      <c r="F361" s="2">
        <f t="shared" si="15"/>
        <v>820</v>
      </c>
      <c r="G361" s="3">
        <f t="shared" si="16"/>
        <v>0.29878048780487804</v>
      </c>
      <c r="H361" s="3">
        <f t="shared" si="17"/>
        <v>0.70121951219512191</v>
      </c>
      <c r="I361" s="1" t="s">
        <v>129</v>
      </c>
    </row>
    <row r="362" spans="1:9" x14ac:dyDescent="0.2">
      <c r="A362" s="1" t="s">
        <v>83</v>
      </c>
      <c r="B362" s="1" t="s">
        <v>112</v>
      </c>
      <c r="C362" s="1" t="s">
        <v>456</v>
      </c>
      <c r="D362" s="2">
        <v>196</v>
      </c>
      <c r="E362" s="2">
        <v>402</v>
      </c>
      <c r="F362" s="2">
        <f t="shared" si="15"/>
        <v>598</v>
      </c>
      <c r="G362" s="3">
        <f t="shared" si="16"/>
        <v>0.32775919732441472</v>
      </c>
      <c r="H362" s="3">
        <f t="shared" si="17"/>
        <v>0.67224080267558528</v>
      </c>
      <c r="I362" s="1" t="s">
        <v>129</v>
      </c>
    </row>
    <row r="363" spans="1:9" x14ac:dyDescent="0.2">
      <c r="A363" s="1" t="s">
        <v>83</v>
      </c>
      <c r="B363" s="1" t="s">
        <v>112</v>
      </c>
      <c r="C363" s="1" t="s">
        <v>457</v>
      </c>
      <c r="D363" s="2">
        <v>148</v>
      </c>
      <c r="E363" s="2">
        <v>371</v>
      </c>
      <c r="F363" s="2">
        <f t="shared" si="15"/>
        <v>519</v>
      </c>
      <c r="G363" s="3">
        <f t="shared" si="16"/>
        <v>0.28516377649325625</v>
      </c>
      <c r="H363" s="3">
        <f t="shared" si="17"/>
        <v>0.7148362235067437</v>
      </c>
      <c r="I363" s="1" t="s">
        <v>129</v>
      </c>
    </row>
    <row r="364" spans="1:9" x14ac:dyDescent="0.2">
      <c r="A364" s="1" t="s">
        <v>83</v>
      </c>
      <c r="B364" s="1" t="s">
        <v>112</v>
      </c>
      <c r="C364" s="1" t="s">
        <v>458</v>
      </c>
      <c r="D364" s="2">
        <v>145</v>
      </c>
      <c r="E364" s="2">
        <v>331</v>
      </c>
      <c r="F364" s="2">
        <f t="shared" si="15"/>
        <v>476</v>
      </c>
      <c r="G364" s="3">
        <f t="shared" si="16"/>
        <v>0.30462184873949577</v>
      </c>
      <c r="H364" s="3">
        <f t="shared" si="17"/>
        <v>0.69537815126050417</v>
      </c>
      <c r="I364" s="1" t="s">
        <v>129</v>
      </c>
    </row>
    <row r="365" spans="1:9" x14ac:dyDescent="0.2">
      <c r="A365" s="1" t="s">
        <v>83</v>
      </c>
      <c r="B365" s="1" t="s">
        <v>112</v>
      </c>
      <c r="C365" s="1" t="s">
        <v>459</v>
      </c>
      <c r="D365" s="2">
        <v>277</v>
      </c>
      <c r="E365" s="2">
        <v>456</v>
      </c>
      <c r="F365" s="2">
        <f t="shared" si="15"/>
        <v>733</v>
      </c>
      <c r="G365" s="3">
        <f t="shared" si="16"/>
        <v>0.37789904502046384</v>
      </c>
      <c r="H365" s="3">
        <f t="shared" si="17"/>
        <v>0.6221009549795361</v>
      </c>
      <c r="I365" s="1" t="s">
        <v>129</v>
      </c>
    </row>
    <row r="366" spans="1:9" x14ac:dyDescent="0.2">
      <c r="A366" s="1" t="s">
        <v>83</v>
      </c>
      <c r="B366" s="1" t="s">
        <v>113</v>
      </c>
      <c r="C366" s="1" t="s">
        <v>460</v>
      </c>
      <c r="D366" s="2">
        <v>646</v>
      </c>
      <c r="E366" s="2">
        <v>640</v>
      </c>
      <c r="F366" s="2">
        <f t="shared" si="15"/>
        <v>1286</v>
      </c>
      <c r="G366" s="3">
        <f t="shared" si="16"/>
        <v>0.50233281493001558</v>
      </c>
      <c r="H366" s="3">
        <f t="shared" si="17"/>
        <v>0.49766718506998447</v>
      </c>
      <c r="I366" s="1" t="s">
        <v>332</v>
      </c>
    </row>
    <row r="367" spans="1:9" x14ac:dyDescent="0.2">
      <c r="A367" s="1" t="s">
        <v>83</v>
      </c>
      <c r="B367" s="1" t="s">
        <v>113</v>
      </c>
      <c r="C367" s="1" t="s">
        <v>461</v>
      </c>
      <c r="D367" s="2">
        <v>298</v>
      </c>
      <c r="E367" s="2">
        <v>294</v>
      </c>
      <c r="F367" s="2">
        <f t="shared" si="15"/>
        <v>592</v>
      </c>
      <c r="G367" s="3">
        <f t="shared" si="16"/>
        <v>0.5033783783783784</v>
      </c>
      <c r="H367" s="3">
        <f t="shared" si="17"/>
        <v>0.4966216216216216</v>
      </c>
      <c r="I367" s="1" t="s">
        <v>332</v>
      </c>
    </row>
    <row r="368" spans="1:9" x14ac:dyDescent="0.2">
      <c r="A368" s="1" t="s">
        <v>83</v>
      </c>
      <c r="B368" s="1" t="s">
        <v>113</v>
      </c>
      <c r="C368" s="1" t="s">
        <v>462</v>
      </c>
      <c r="D368" s="2">
        <v>481</v>
      </c>
      <c r="E368" s="2">
        <v>475</v>
      </c>
      <c r="F368" s="2">
        <f t="shared" si="15"/>
        <v>956</v>
      </c>
      <c r="G368" s="3">
        <f t="shared" si="16"/>
        <v>0.5031380753138075</v>
      </c>
      <c r="H368" s="3">
        <f t="shared" si="17"/>
        <v>0.49686192468619245</v>
      </c>
      <c r="I368" s="1" t="s">
        <v>332</v>
      </c>
    </row>
    <row r="369" spans="1:9" x14ac:dyDescent="0.2">
      <c r="A369" s="1" t="s">
        <v>83</v>
      </c>
      <c r="B369" s="1" t="s">
        <v>113</v>
      </c>
      <c r="C369" s="1" t="s">
        <v>463</v>
      </c>
      <c r="D369" s="2">
        <v>222</v>
      </c>
      <c r="E369" s="2">
        <v>221</v>
      </c>
      <c r="F369" s="2">
        <f t="shared" si="15"/>
        <v>443</v>
      </c>
      <c r="G369" s="3">
        <f t="shared" si="16"/>
        <v>0.50112866817155755</v>
      </c>
      <c r="H369" s="3">
        <f t="shared" si="17"/>
        <v>0.49887133182844245</v>
      </c>
      <c r="I369" s="1" t="s">
        <v>332</v>
      </c>
    </row>
    <row r="370" spans="1:9" x14ac:dyDescent="0.2">
      <c r="A370" s="1" t="s">
        <v>83</v>
      </c>
      <c r="B370" s="1" t="s">
        <v>114</v>
      </c>
      <c r="C370" s="1" t="s">
        <v>114</v>
      </c>
      <c r="D370" s="2">
        <v>308</v>
      </c>
      <c r="E370" s="2">
        <v>453</v>
      </c>
      <c r="F370" s="2">
        <f t="shared" si="15"/>
        <v>761</v>
      </c>
      <c r="G370" s="3">
        <f t="shared" si="16"/>
        <v>0.40473061760841</v>
      </c>
      <c r="H370" s="3">
        <f t="shared" si="17"/>
        <v>0.59526938239159</v>
      </c>
      <c r="I370" s="1" t="s">
        <v>129</v>
      </c>
    </row>
    <row r="371" spans="1:9" x14ac:dyDescent="0.2">
      <c r="A371" s="1" t="s">
        <v>83</v>
      </c>
      <c r="B371" s="1" t="s">
        <v>115</v>
      </c>
      <c r="C371" s="1" t="s">
        <v>464</v>
      </c>
      <c r="D371" s="2">
        <v>437</v>
      </c>
      <c r="E371" s="2">
        <v>833</v>
      </c>
      <c r="F371" s="2">
        <f t="shared" si="15"/>
        <v>1270</v>
      </c>
      <c r="G371" s="3">
        <f t="shared" si="16"/>
        <v>0.34409448818897637</v>
      </c>
      <c r="H371" s="3">
        <f t="shared" si="17"/>
        <v>0.65590551181102363</v>
      </c>
      <c r="I371" s="1" t="s">
        <v>129</v>
      </c>
    </row>
    <row r="372" spans="1:9" x14ac:dyDescent="0.2">
      <c r="A372" s="1" t="s">
        <v>83</v>
      </c>
      <c r="B372" s="1" t="s">
        <v>115</v>
      </c>
      <c r="C372" s="1" t="s">
        <v>465</v>
      </c>
      <c r="D372" s="2">
        <v>390</v>
      </c>
      <c r="E372" s="2">
        <v>726</v>
      </c>
      <c r="F372" s="2">
        <f t="shared" si="15"/>
        <v>1116</v>
      </c>
      <c r="G372" s="3">
        <f t="shared" si="16"/>
        <v>0.34946236559139787</v>
      </c>
      <c r="H372" s="3">
        <f t="shared" si="17"/>
        <v>0.65053763440860213</v>
      </c>
      <c r="I372" s="1" t="s">
        <v>129</v>
      </c>
    </row>
    <row r="373" spans="1:9" x14ac:dyDescent="0.2">
      <c r="A373" s="1" t="s">
        <v>83</v>
      </c>
      <c r="B373" s="1" t="s">
        <v>116</v>
      </c>
      <c r="C373" s="1" t="s">
        <v>116</v>
      </c>
      <c r="D373" s="2">
        <v>212</v>
      </c>
      <c r="E373" s="2">
        <v>226</v>
      </c>
      <c r="F373" s="2">
        <f t="shared" si="15"/>
        <v>438</v>
      </c>
      <c r="G373" s="3">
        <f t="shared" si="16"/>
        <v>0.48401826484018262</v>
      </c>
      <c r="H373" s="3">
        <f t="shared" si="17"/>
        <v>0.51598173515981738</v>
      </c>
      <c r="I373" s="1" t="s">
        <v>129</v>
      </c>
    </row>
    <row r="374" spans="1:9" x14ac:dyDescent="0.2">
      <c r="A374" s="1" t="s">
        <v>83</v>
      </c>
      <c r="B374" s="1" t="s">
        <v>117</v>
      </c>
      <c r="C374" s="1" t="s">
        <v>466</v>
      </c>
      <c r="D374" s="2">
        <v>423</v>
      </c>
      <c r="E374" s="2">
        <v>561</v>
      </c>
      <c r="F374" s="2">
        <f t="shared" si="15"/>
        <v>984</v>
      </c>
      <c r="G374" s="3">
        <f t="shared" si="16"/>
        <v>0.4298780487804878</v>
      </c>
      <c r="H374" s="3">
        <f t="shared" si="17"/>
        <v>0.57012195121951215</v>
      </c>
      <c r="I374" s="1" t="s">
        <v>129</v>
      </c>
    </row>
    <row r="375" spans="1:9" x14ac:dyDescent="0.2">
      <c r="A375" s="1" t="s">
        <v>83</v>
      </c>
      <c r="B375" s="1" t="s">
        <v>117</v>
      </c>
      <c r="C375" s="1" t="s">
        <v>467</v>
      </c>
      <c r="D375" s="2">
        <v>359</v>
      </c>
      <c r="E375" s="2">
        <v>520</v>
      </c>
      <c r="F375" s="2">
        <f t="shared" si="15"/>
        <v>879</v>
      </c>
      <c r="G375" s="3">
        <f t="shared" si="16"/>
        <v>0.40841865756541523</v>
      </c>
      <c r="H375" s="3">
        <f t="shared" si="17"/>
        <v>0.59158134243458471</v>
      </c>
      <c r="I375" s="1" t="s">
        <v>129</v>
      </c>
    </row>
    <row r="376" spans="1:9" x14ac:dyDescent="0.2">
      <c r="A376" s="1" t="s">
        <v>83</v>
      </c>
      <c r="B376" s="1" t="s">
        <v>117</v>
      </c>
      <c r="C376" s="1" t="s">
        <v>468</v>
      </c>
      <c r="D376" s="2">
        <v>472</v>
      </c>
      <c r="E376" s="2">
        <v>447</v>
      </c>
      <c r="F376" s="2">
        <f t="shared" si="15"/>
        <v>919</v>
      </c>
      <c r="G376" s="3">
        <f t="shared" si="16"/>
        <v>0.51360174102285094</v>
      </c>
      <c r="H376" s="3">
        <f t="shared" si="17"/>
        <v>0.48639825897714906</v>
      </c>
      <c r="I376" s="1" t="s">
        <v>129</v>
      </c>
    </row>
    <row r="377" spans="1:9" x14ac:dyDescent="0.2">
      <c r="A377" s="1" t="s">
        <v>83</v>
      </c>
      <c r="B377" s="1" t="s">
        <v>117</v>
      </c>
      <c r="C377" s="1" t="s">
        <v>469</v>
      </c>
      <c r="D377" s="2">
        <v>246</v>
      </c>
      <c r="E377" s="2">
        <v>338</v>
      </c>
      <c r="F377" s="2">
        <f t="shared" si="15"/>
        <v>584</v>
      </c>
      <c r="G377" s="3">
        <f t="shared" si="16"/>
        <v>0.42123287671232879</v>
      </c>
      <c r="H377" s="3">
        <f t="shared" si="17"/>
        <v>0.57876712328767121</v>
      </c>
      <c r="I377" s="1" t="s">
        <v>129</v>
      </c>
    </row>
    <row r="378" spans="1:9" x14ac:dyDescent="0.2">
      <c r="A378" s="1" t="s">
        <v>83</v>
      </c>
      <c r="B378" s="1" t="s">
        <v>118</v>
      </c>
      <c r="C378" s="1" t="s">
        <v>470</v>
      </c>
      <c r="D378" s="2">
        <v>443</v>
      </c>
      <c r="E378" s="2">
        <v>317</v>
      </c>
      <c r="F378" s="2">
        <f t="shared" si="15"/>
        <v>760</v>
      </c>
      <c r="G378" s="3">
        <f t="shared" si="16"/>
        <v>0.58289473684210524</v>
      </c>
      <c r="H378" s="3">
        <f t="shared" si="17"/>
        <v>0.41710526315789476</v>
      </c>
      <c r="I378" s="1" t="s">
        <v>129</v>
      </c>
    </row>
    <row r="379" spans="1:9" x14ac:dyDescent="0.2">
      <c r="A379" s="1" t="s">
        <v>83</v>
      </c>
      <c r="B379" s="1" t="s">
        <v>118</v>
      </c>
      <c r="C379" s="1" t="s">
        <v>471</v>
      </c>
      <c r="D379" s="2">
        <v>345</v>
      </c>
      <c r="E379" s="2">
        <v>282</v>
      </c>
      <c r="F379" s="2">
        <f t="shared" si="15"/>
        <v>627</v>
      </c>
      <c r="G379" s="3">
        <f t="shared" si="16"/>
        <v>0.55023923444976075</v>
      </c>
      <c r="H379" s="3">
        <f t="shared" si="17"/>
        <v>0.44976076555023925</v>
      </c>
      <c r="I379" s="1" t="s">
        <v>129</v>
      </c>
    </row>
    <row r="380" spans="1:9" x14ac:dyDescent="0.2">
      <c r="A380" s="1" t="s">
        <v>83</v>
      </c>
      <c r="B380" s="1" t="s">
        <v>118</v>
      </c>
      <c r="C380" s="1" t="s">
        <v>472</v>
      </c>
      <c r="D380" s="2">
        <v>514</v>
      </c>
      <c r="E380" s="2">
        <v>449</v>
      </c>
      <c r="F380" s="2">
        <f t="shared" si="15"/>
        <v>963</v>
      </c>
      <c r="G380" s="3">
        <f t="shared" si="16"/>
        <v>0.53374870197300106</v>
      </c>
      <c r="H380" s="3">
        <f t="shared" si="17"/>
        <v>0.46625129802699894</v>
      </c>
      <c r="I380" s="1" t="s">
        <v>129</v>
      </c>
    </row>
    <row r="381" spans="1:9" x14ac:dyDescent="0.2">
      <c r="A381" s="1" t="s">
        <v>83</v>
      </c>
      <c r="B381" s="1" t="s">
        <v>119</v>
      </c>
      <c r="C381" s="1" t="s">
        <v>473</v>
      </c>
      <c r="D381" s="2">
        <v>494</v>
      </c>
      <c r="E381" s="2">
        <v>651</v>
      </c>
      <c r="F381" s="2">
        <f t="shared" si="15"/>
        <v>1145</v>
      </c>
      <c r="G381" s="3">
        <f t="shared" si="16"/>
        <v>0.43144104803493449</v>
      </c>
      <c r="H381" s="3">
        <f t="shared" si="17"/>
        <v>0.56855895196506545</v>
      </c>
      <c r="I381" s="1" t="s">
        <v>129</v>
      </c>
    </row>
  </sheetData>
  <mergeCells count="5">
    <mergeCell ref="A10:I10"/>
    <mergeCell ref="A1:I1"/>
    <mergeCell ref="A9:I9"/>
    <mergeCell ref="A3:I3"/>
    <mergeCell ref="A6:I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workbookViewId="0"/>
  </sheetViews>
  <sheetFormatPr baseColWidth="10" defaultColWidth="8.83203125" defaultRowHeight="15" x14ac:dyDescent="0.2"/>
  <cols>
    <col min="1" max="1" width="8" customWidth="1"/>
    <col min="2" max="2" width="95" customWidth="1"/>
    <col min="3" max="3" width="26" customWidth="1"/>
    <col min="4" max="4" width="15" customWidth="1"/>
    <col min="5" max="5" width="22" customWidth="1"/>
    <col min="6" max="6" width="30" customWidth="1"/>
  </cols>
  <sheetData>
    <row r="1" spans="1:6" x14ac:dyDescent="0.2">
      <c r="A1" s="1" t="s">
        <v>474</v>
      </c>
    </row>
    <row r="2" spans="1:6" x14ac:dyDescent="0.2">
      <c r="A2" s="1" t="s">
        <v>475</v>
      </c>
    </row>
    <row r="3" spans="1:6" x14ac:dyDescent="0.2">
      <c r="A3" s="1" t="s">
        <v>476</v>
      </c>
    </row>
    <row r="5" spans="1:6" x14ac:dyDescent="0.2">
      <c r="A5" s="1" t="s">
        <v>477</v>
      </c>
      <c r="B5" s="1" t="s">
        <v>478</v>
      </c>
      <c r="C5" s="1" t="s">
        <v>479</v>
      </c>
      <c r="D5" s="1" t="s">
        <v>480</v>
      </c>
      <c r="E5" s="1" t="s">
        <v>481</v>
      </c>
      <c r="F5" s="1" t="s">
        <v>482</v>
      </c>
    </row>
    <row r="6" spans="1:6" x14ac:dyDescent="0.2">
      <c r="A6" s="1">
        <v>1</v>
      </c>
      <c r="B6" s="1" t="s">
        <v>483</v>
      </c>
      <c r="C6" s="1" t="s">
        <v>484</v>
      </c>
      <c r="D6" s="4">
        <v>0.94597422541049647</v>
      </c>
      <c r="E6" s="4">
        <v>0.99576234253736473</v>
      </c>
      <c r="F6" s="5">
        <v>13.187099999999999</v>
      </c>
    </row>
    <row r="7" spans="1:6" x14ac:dyDescent="0.2">
      <c r="A7" s="1">
        <v>2</v>
      </c>
      <c r="B7" s="1" t="s">
        <v>485</v>
      </c>
      <c r="C7" s="1" t="s">
        <v>486</v>
      </c>
      <c r="D7" s="4">
        <v>3.0648729612266789E-2</v>
      </c>
      <c r="E7" s="4">
        <v>0.61297459224533579</v>
      </c>
      <c r="F7" s="5">
        <v>6.1699000000000002</v>
      </c>
    </row>
    <row r="8" spans="1:6" x14ac:dyDescent="0.2">
      <c r="A8" s="1">
        <v>3</v>
      </c>
      <c r="B8" s="1" t="s">
        <v>487</v>
      </c>
      <c r="C8" s="1" t="s">
        <v>486</v>
      </c>
      <c r="D8" s="4">
        <v>5.6735388970128378E-3</v>
      </c>
      <c r="E8" s="4">
        <v>0.1134707779402567</v>
      </c>
      <c r="F8" s="5">
        <v>1.1420999999999999</v>
      </c>
    </row>
    <row r="9" spans="1:6" x14ac:dyDescent="0.2">
      <c r="A9" s="1">
        <v>4</v>
      </c>
      <c r="B9" s="1" t="s">
        <v>488</v>
      </c>
      <c r="C9" s="1" t="s">
        <v>486</v>
      </c>
      <c r="D9" s="4">
        <v>5.1784388346178961E-3</v>
      </c>
      <c r="E9" s="4">
        <v>0.10356877669235789</v>
      </c>
      <c r="F9" s="5">
        <v>1.0425</v>
      </c>
    </row>
    <row r="10" spans="1:6" x14ac:dyDescent="0.2">
      <c r="A10" s="1">
        <v>5</v>
      </c>
      <c r="B10" s="1" t="s">
        <v>489</v>
      </c>
      <c r="C10" s="1" t="s">
        <v>486</v>
      </c>
      <c r="D10" s="4">
        <v>4.6838628594207668E-3</v>
      </c>
      <c r="E10" s="4">
        <v>9.3677257188415325E-2</v>
      </c>
      <c r="F10" s="5">
        <v>0.94289999999999996</v>
      </c>
    </row>
    <row r="11" spans="1:6" x14ac:dyDescent="0.2">
      <c r="A11" s="1">
        <v>6</v>
      </c>
      <c r="B11" s="1" t="s">
        <v>490</v>
      </c>
      <c r="C11" s="1" t="s">
        <v>486</v>
      </c>
      <c r="D11" s="4">
        <v>3.8154297966816989E-3</v>
      </c>
      <c r="E11" s="4">
        <v>7.6308595933633983E-2</v>
      </c>
      <c r="F11" s="5">
        <v>0.7681</v>
      </c>
    </row>
    <row r="12" spans="1:6" x14ac:dyDescent="0.2">
      <c r="A12" s="1">
        <v>7</v>
      </c>
      <c r="B12" s="1" t="s">
        <v>491</v>
      </c>
      <c r="C12" s="1" t="s">
        <v>484</v>
      </c>
      <c r="D12" s="4">
        <v>1.833725779157976E-3</v>
      </c>
      <c r="E12" s="4">
        <v>1.930237662271554E-3</v>
      </c>
      <c r="F12" s="5">
        <v>2.5600000000000001E-2</v>
      </c>
    </row>
    <row r="13" spans="1:6" x14ac:dyDescent="0.2">
      <c r="A13" s="1">
        <v>8</v>
      </c>
      <c r="B13" s="1" t="s">
        <v>492</v>
      </c>
      <c r="C13" s="1" t="s">
        <v>484</v>
      </c>
      <c r="D13" s="4">
        <v>1.4267021682607081E-3</v>
      </c>
      <c r="E13" s="4">
        <v>1.501791756063903E-3</v>
      </c>
      <c r="F13" s="5">
        <v>1.9900000000000001E-2</v>
      </c>
    </row>
    <row r="14" spans="1:6" x14ac:dyDescent="0.2">
      <c r="A14" s="1">
        <v>9</v>
      </c>
      <c r="B14" s="1" t="s">
        <v>493</v>
      </c>
      <c r="C14" s="1" t="s">
        <v>484</v>
      </c>
      <c r="D14" s="4">
        <v>7.6534664208488209E-4</v>
      </c>
      <c r="E14" s="4">
        <v>8.0562804429987591E-4</v>
      </c>
      <c r="F14" s="5">
        <v>1.0699999999999999E-2</v>
      </c>
    </row>
    <row r="15" spans="1:6" x14ac:dyDescent="0.2">
      <c r="A15" s="1">
        <v>10</v>
      </c>
      <c r="B15" s="1" t="s">
        <v>494</v>
      </c>
      <c r="C15" s="1" t="s">
        <v>486</v>
      </c>
      <c r="D15" s="4">
        <v>0</v>
      </c>
      <c r="E15" s="4">
        <v>0</v>
      </c>
      <c r="F15" s="5">
        <v>0</v>
      </c>
    </row>
    <row r="16" spans="1:6" x14ac:dyDescent="0.2">
      <c r="A16" s="1">
        <v>11</v>
      </c>
      <c r="B16" s="1" t="s">
        <v>495</v>
      </c>
      <c r="C16" s="1" t="s">
        <v>484</v>
      </c>
      <c r="D16" s="4">
        <v>0</v>
      </c>
      <c r="E16" s="4">
        <v>0</v>
      </c>
      <c r="F16" s="5">
        <v>-2E-3</v>
      </c>
    </row>
    <row r="17" spans="1:6" x14ac:dyDescent="0.2">
      <c r="A17" s="1">
        <v>12</v>
      </c>
      <c r="B17" s="1" t="s">
        <v>496</v>
      </c>
      <c r="C17" s="1" t="s">
        <v>484</v>
      </c>
      <c r="D17" s="4">
        <v>0</v>
      </c>
      <c r="E17" s="4">
        <v>0</v>
      </c>
      <c r="F17" s="5">
        <v>-2E-3</v>
      </c>
    </row>
    <row r="18" spans="1:6" x14ac:dyDescent="0.2">
      <c r="A18" s="1">
        <v>13</v>
      </c>
      <c r="B18" s="1" t="s">
        <v>497</v>
      </c>
      <c r="C18" s="1" t="s">
        <v>484</v>
      </c>
      <c r="D18" s="4">
        <v>0</v>
      </c>
      <c r="E18" s="4">
        <v>0</v>
      </c>
      <c r="F18" s="5">
        <v>-1.24E-2</v>
      </c>
    </row>
    <row r="19" spans="1:6" x14ac:dyDescent="0.2">
      <c r="B19" s="1" t="s">
        <v>498</v>
      </c>
      <c r="D19" s="4">
        <v>1</v>
      </c>
    </row>
    <row r="21" spans="1:6" x14ac:dyDescent="0.2">
      <c r="B21" s="1" t="s">
        <v>479</v>
      </c>
      <c r="D21" s="1" t="s">
        <v>480</v>
      </c>
    </row>
    <row r="22" spans="1:6" x14ac:dyDescent="0.2">
      <c r="B22" s="1" t="s">
        <v>484</v>
      </c>
      <c r="D22" s="4">
        <v>0.95</v>
      </c>
    </row>
    <row r="23" spans="1:6" x14ac:dyDescent="0.2">
      <c r="B23" s="1" t="s">
        <v>486</v>
      </c>
      <c r="D23" s="4">
        <v>0.05</v>
      </c>
    </row>
    <row r="25" spans="1:6" x14ac:dyDescent="0.2">
      <c r="B25" s="1" t="s">
        <v>499</v>
      </c>
    </row>
    <row r="26" spans="1:6" x14ac:dyDescent="0.2">
      <c r="B26" s="1" t="s">
        <v>500</v>
      </c>
    </row>
    <row r="28" spans="1:6" x14ac:dyDescent="0.2">
      <c r="B28" s="1" t="s">
        <v>501</v>
      </c>
    </row>
    <row r="29" spans="1:6" x14ac:dyDescent="0.2">
      <c r="B29" s="1" t="s">
        <v>502</v>
      </c>
    </row>
    <row r="30" spans="1:6" x14ac:dyDescent="0.2">
      <c r="B30" s="1" t="s">
        <v>503</v>
      </c>
    </row>
    <row r="31" spans="1:6" x14ac:dyDescent="0.2">
      <c r="B31" s="1" t="s">
        <v>504</v>
      </c>
    </row>
    <row r="32" spans="1:6" x14ac:dyDescent="0.2">
      <c r="B32" s="1" t="s">
        <v>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"/>
  <sheetViews>
    <sheetView workbookViewId="0"/>
  </sheetViews>
  <sheetFormatPr baseColWidth="10" defaultColWidth="8.83203125" defaultRowHeight="15" x14ac:dyDescent="0.2"/>
  <cols>
    <col min="1" max="1" width="14" customWidth="1"/>
    <col min="2" max="2" width="28" customWidth="1"/>
    <col min="3" max="3" width="14" customWidth="1"/>
    <col min="4" max="4" width="16" customWidth="1"/>
    <col min="6" max="6" width="12" customWidth="1"/>
    <col min="7" max="7" width="13" customWidth="1"/>
    <col min="8" max="8" width="15" customWidth="1"/>
    <col min="9" max="9" width="26" customWidth="1"/>
    <col min="10" max="10" width="14" customWidth="1"/>
    <col min="11" max="11" width="16" customWidth="1"/>
    <col min="12" max="12" width="14" customWidth="1"/>
    <col min="13" max="13" width="13" customWidth="1"/>
    <col min="14" max="14" width="20" customWidth="1"/>
  </cols>
  <sheetData>
    <row r="1" spans="1:14" x14ac:dyDescent="0.2">
      <c r="A1" s="7" t="s">
        <v>506</v>
      </c>
      <c r="B1" s="8"/>
      <c r="C1" s="8"/>
      <c r="D1" s="8"/>
      <c r="E1" s="8"/>
      <c r="F1" s="8"/>
      <c r="G1" s="8"/>
      <c r="H1" s="8"/>
      <c r="I1" s="8"/>
    </row>
    <row r="2" spans="1:14" x14ac:dyDescent="0.2">
      <c r="A2" s="1" t="s">
        <v>507</v>
      </c>
      <c r="B2" s="1"/>
      <c r="C2" s="1"/>
      <c r="D2" s="1"/>
      <c r="E2" s="1"/>
      <c r="F2" s="1"/>
      <c r="G2" s="1"/>
      <c r="H2" s="1"/>
      <c r="I2" s="1"/>
    </row>
    <row r="3" spans="1:14" x14ac:dyDescent="0.2">
      <c r="A3" s="7" t="s">
        <v>508</v>
      </c>
      <c r="B3" s="8"/>
      <c r="C3" s="8"/>
      <c r="D3" s="8"/>
      <c r="E3" s="8"/>
      <c r="F3" s="8"/>
      <c r="G3" s="8"/>
      <c r="H3" s="8"/>
      <c r="I3" s="8"/>
    </row>
    <row r="4" spans="1:14" x14ac:dyDescent="0.2">
      <c r="A4" s="1" t="s">
        <v>3</v>
      </c>
      <c r="B4" s="1" t="s">
        <v>4</v>
      </c>
      <c r="C4" s="1" t="s">
        <v>5</v>
      </c>
      <c r="D4" s="1" t="s">
        <v>509</v>
      </c>
      <c r="E4" s="1" t="s">
        <v>7</v>
      </c>
      <c r="F4" s="1" t="s">
        <v>8</v>
      </c>
      <c r="G4" s="1" t="s">
        <v>9</v>
      </c>
      <c r="H4" s="1" t="s">
        <v>10</v>
      </c>
      <c r="I4" s="1"/>
    </row>
    <row r="5" spans="1:14" x14ac:dyDescent="0.2">
      <c r="A5" s="1"/>
      <c r="B5" s="1"/>
      <c r="C5" s="1"/>
      <c r="D5" s="1"/>
      <c r="E5" s="1"/>
      <c r="F5" s="1"/>
      <c r="G5" s="1"/>
      <c r="H5" s="1"/>
      <c r="I5" s="1"/>
    </row>
    <row r="6" spans="1:14" x14ac:dyDescent="0.2">
      <c r="A6" s="7" t="s">
        <v>510</v>
      </c>
      <c r="B6" s="8"/>
      <c r="C6" s="8"/>
      <c r="D6" s="8"/>
      <c r="E6" s="8"/>
      <c r="F6" s="8"/>
      <c r="G6" s="8"/>
      <c r="H6" s="8"/>
      <c r="I6" s="8"/>
    </row>
    <row r="7" spans="1:14" x14ac:dyDescent="0.2">
      <c r="A7" s="1" t="s">
        <v>12</v>
      </c>
      <c r="B7" s="1"/>
      <c r="C7" s="1" t="s">
        <v>511</v>
      </c>
      <c r="D7" s="1" t="s">
        <v>14</v>
      </c>
      <c r="E7" s="1" t="s">
        <v>15</v>
      </c>
      <c r="F7" s="1" t="s">
        <v>16</v>
      </c>
      <c r="G7" s="1" t="s">
        <v>512</v>
      </c>
      <c r="H7" s="1" t="s">
        <v>18</v>
      </c>
      <c r="I7" s="1" t="s">
        <v>19</v>
      </c>
      <c r="J7" s="1" t="s">
        <v>513</v>
      </c>
      <c r="K7" s="1" t="s">
        <v>514</v>
      </c>
      <c r="L7" s="1" t="s">
        <v>515</v>
      </c>
      <c r="M7" s="1" t="s">
        <v>516</v>
      </c>
      <c r="N7" s="1" t="s">
        <v>517</v>
      </c>
    </row>
    <row r="8" spans="1:14" x14ac:dyDescent="0.2">
      <c r="A8" s="1" t="s">
        <v>20</v>
      </c>
      <c r="B8" s="1" t="s">
        <v>21</v>
      </c>
      <c r="C8" s="2">
        <f>SUM(C12:C100)</f>
        <v>204995</v>
      </c>
      <c r="D8" s="2">
        <f>SUM(D12:D100)</f>
        <v>196382</v>
      </c>
      <c r="E8" s="2">
        <f>SUM(E12:E100)</f>
        <v>0</v>
      </c>
      <c r="F8" s="2">
        <f>C8+D8+E8</f>
        <v>401377</v>
      </c>
      <c r="G8" s="3">
        <f>IF(F8=0,"",C8/F8)</f>
        <v>0.51072931433540036</v>
      </c>
      <c r="H8" s="3">
        <f>IF(F8=0,"",D8/F8)</f>
        <v>0.48927068566459964</v>
      </c>
      <c r="I8" s="1" t="s">
        <v>518</v>
      </c>
      <c r="J8" s="2">
        <f>SUM(J12:J100)</f>
        <v>199626</v>
      </c>
      <c r="K8" s="2">
        <f>SUM(K12:K100)</f>
        <v>203688</v>
      </c>
      <c r="L8" s="2">
        <f>J8+K8</f>
        <v>403314</v>
      </c>
      <c r="M8" s="3">
        <f>IF(L8=0,"",J8/L8)</f>
        <v>0.49496422142548979</v>
      </c>
      <c r="N8" s="6">
        <f>IF(L8=0,"",(G8-M8)*100)</f>
        <v>1.5765092909910572</v>
      </c>
    </row>
    <row r="9" spans="1:14" x14ac:dyDescent="0.2">
      <c r="A9" s="7" t="s">
        <v>519</v>
      </c>
      <c r="B9" s="8"/>
      <c r="C9" s="8"/>
      <c r="D9" s="8"/>
      <c r="E9" s="8"/>
      <c r="F9" s="8"/>
      <c r="G9" s="8"/>
      <c r="H9" s="8"/>
      <c r="I9" s="8"/>
    </row>
    <row r="10" spans="1:14" x14ac:dyDescent="0.2">
      <c r="A10" s="7" t="s">
        <v>24</v>
      </c>
      <c r="B10" s="8"/>
      <c r="C10" s="8"/>
      <c r="D10" s="8"/>
      <c r="E10" s="8"/>
      <c r="F10" s="8"/>
      <c r="G10" s="8"/>
      <c r="H10" s="8"/>
      <c r="I10" s="8"/>
    </row>
    <row r="11" spans="1:14" ht="31.5" customHeight="1" x14ac:dyDescent="0.2">
      <c r="A11" s="1" t="s">
        <v>25</v>
      </c>
      <c r="B11" s="1" t="s">
        <v>26</v>
      </c>
      <c r="C11" s="1" t="s">
        <v>511</v>
      </c>
      <c r="D11" s="1" t="s">
        <v>14</v>
      </c>
      <c r="E11" s="1" t="s">
        <v>15</v>
      </c>
      <c r="F11" s="1" t="s">
        <v>16</v>
      </c>
      <c r="G11" s="1" t="s">
        <v>512</v>
      </c>
      <c r="H11" s="1" t="s">
        <v>18</v>
      </c>
      <c r="I11" s="1" t="s">
        <v>27</v>
      </c>
      <c r="J11" s="1" t="s">
        <v>513</v>
      </c>
      <c r="K11" s="1" t="s">
        <v>514</v>
      </c>
      <c r="L11" s="1" t="s">
        <v>515</v>
      </c>
      <c r="M11" s="1" t="s">
        <v>516</v>
      </c>
      <c r="N11" s="1" t="s">
        <v>517</v>
      </c>
    </row>
    <row r="12" spans="1:14" x14ac:dyDescent="0.2">
      <c r="A12" s="1" t="s">
        <v>28</v>
      </c>
      <c r="B12" s="1" t="s">
        <v>29</v>
      </c>
      <c r="C12" s="2">
        <v>150</v>
      </c>
      <c r="D12" s="2">
        <v>288</v>
      </c>
      <c r="E12" s="2"/>
      <c r="F12" s="2">
        <v>438</v>
      </c>
      <c r="G12" s="3">
        <v>0.34246575342465752</v>
      </c>
      <c r="H12" s="3">
        <v>0.65753424657534243</v>
      </c>
      <c r="I12" s="1" t="s">
        <v>30</v>
      </c>
      <c r="J12" s="2">
        <v>181</v>
      </c>
      <c r="K12" s="2">
        <v>285</v>
      </c>
      <c r="L12" s="2">
        <v>466</v>
      </c>
      <c r="M12" s="3">
        <v>0.388412017167382</v>
      </c>
      <c r="N12" s="6">
        <v>-4.59</v>
      </c>
    </row>
    <row r="13" spans="1:14" x14ac:dyDescent="0.2">
      <c r="A13" s="1" t="s">
        <v>28</v>
      </c>
      <c r="B13" s="1" t="s">
        <v>31</v>
      </c>
      <c r="C13" s="2">
        <v>104</v>
      </c>
      <c r="D13" s="2">
        <v>300</v>
      </c>
      <c r="E13" s="2"/>
      <c r="F13" s="2">
        <v>404</v>
      </c>
      <c r="G13" s="3">
        <v>0.25742574257425738</v>
      </c>
      <c r="H13" s="3">
        <v>0.74257425742574257</v>
      </c>
      <c r="I13" s="1" t="s">
        <v>30</v>
      </c>
      <c r="J13" s="2">
        <v>118</v>
      </c>
      <c r="K13" s="2">
        <v>300</v>
      </c>
      <c r="L13" s="2">
        <v>418</v>
      </c>
      <c r="M13" s="3">
        <v>0.28229665071770332</v>
      </c>
      <c r="N13" s="6">
        <v>-2.4900000000000002</v>
      </c>
    </row>
    <row r="14" spans="1:14" x14ac:dyDescent="0.2">
      <c r="A14" s="1" t="s">
        <v>28</v>
      </c>
      <c r="B14" s="1" t="s">
        <v>32</v>
      </c>
      <c r="C14" s="2">
        <v>141</v>
      </c>
      <c r="D14" s="2">
        <v>261</v>
      </c>
      <c r="E14" s="2"/>
      <c r="F14" s="2">
        <v>402</v>
      </c>
      <c r="G14" s="3">
        <v>0.35074626865671638</v>
      </c>
      <c r="H14" s="3">
        <v>0.64925373134328357</v>
      </c>
      <c r="I14" s="1" t="s">
        <v>30</v>
      </c>
      <c r="J14" s="2">
        <v>144</v>
      </c>
      <c r="K14" s="2">
        <v>310</v>
      </c>
      <c r="L14" s="2">
        <v>454</v>
      </c>
      <c r="M14" s="3">
        <v>0.31718061674008807</v>
      </c>
      <c r="N14" s="6">
        <v>3.36</v>
      </c>
    </row>
    <row r="15" spans="1:14" x14ac:dyDescent="0.2">
      <c r="A15" s="1" t="s">
        <v>28</v>
      </c>
      <c r="B15" s="1" t="s">
        <v>33</v>
      </c>
      <c r="C15" s="2">
        <v>435</v>
      </c>
      <c r="D15" s="2">
        <v>1140</v>
      </c>
      <c r="E15" s="2"/>
      <c r="F15" s="2">
        <v>1575</v>
      </c>
      <c r="G15" s="3">
        <v>0.27619047619047621</v>
      </c>
      <c r="H15" s="3">
        <v>0.72380952380952379</v>
      </c>
      <c r="I15" s="1" t="s">
        <v>30</v>
      </c>
      <c r="J15" s="2">
        <v>438</v>
      </c>
      <c r="K15" s="2">
        <v>1253</v>
      </c>
      <c r="L15" s="2">
        <v>1691</v>
      </c>
      <c r="M15" s="3">
        <v>0.25901833234772331</v>
      </c>
      <c r="N15" s="6">
        <v>1.72</v>
      </c>
    </row>
    <row r="16" spans="1:14" x14ac:dyDescent="0.2">
      <c r="A16" s="1" t="s">
        <v>28</v>
      </c>
      <c r="B16" s="1" t="s">
        <v>34</v>
      </c>
      <c r="C16" s="2">
        <v>39</v>
      </c>
      <c r="D16" s="2">
        <v>73</v>
      </c>
      <c r="E16" s="2"/>
      <c r="F16" s="2">
        <v>112</v>
      </c>
      <c r="G16" s="3">
        <v>0.3482142857142857</v>
      </c>
      <c r="H16" s="3">
        <v>0.6517857142857143</v>
      </c>
      <c r="I16" s="1" t="s">
        <v>30</v>
      </c>
      <c r="J16" s="2">
        <v>38</v>
      </c>
      <c r="K16" s="2">
        <v>78</v>
      </c>
      <c r="L16" s="2">
        <v>116</v>
      </c>
      <c r="M16" s="3">
        <v>0.32758620689655171</v>
      </c>
      <c r="N16" s="6">
        <v>2.06</v>
      </c>
    </row>
    <row r="17" spans="1:14" x14ac:dyDescent="0.2">
      <c r="A17" s="1" t="s">
        <v>28</v>
      </c>
      <c r="B17" s="1" t="s">
        <v>35</v>
      </c>
      <c r="C17" s="2">
        <v>677</v>
      </c>
      <c r="D17" s="2">
        <v>1755</v>
      </c>
      <c r="E17" s="2"/>
      <c r="F17" s="2">
        <v>2432</v>
      </c>
      <c r="G17" s="3">
        <v>0.27837171052631582</v>
      </c>
      <c r="H17" s="3">
        <v>0.72162828947368418</v>
      </c>
      <c r="I17" s="1" t="s">
        <v>30</v>
      </c>
      <c r="J17" s="2">
        <v>708</v>
      </c>
      <c r="K17" s="2">
        <v>1846</v>
      </c>
      <c r="L17" s="2">
        <v>2554</v>
      </c>
      <c r="M17" s="3">
        <v>0.27721221613155828</v>
      </c>
      <c r="N17" s="6">
        <v>0.12</v>
      </c>
    </row>
    <row r="18" spans="1:14" x14ac:dyDescent="0.2">
      <c r="A18" s="1" t="s">
        <v>28</v>
      </c>
      <c r="B18" s="1" t="s">
        <v>36</v>
      </c>
      <c r="C18" s="2">
        <v>1104</v>
      </c>
      <c r="D18" s="2">
        <v>1320</v>
      </c>
      <c r="E18" s="2"/>
      <c r="F18" s="2">
        <v>2424</v>
      </c>
      <c r="G18" s="3">
        <v>0.45544554455445552</v>
      </c>
      <c r="H18" s="3">
        <v>0.54455445544554459</v>
      </c>
      <c r="I18" s="1" t="s">
        <v>30</v>
      </c>
      <c r="J18" s="2">
        <v>1104</v>
      </c>
      <c r="K18" s="2">
        <v>1481</v>
      </c>
      <c r="L18" s="2">
        <v>2585</v>
      </c>
      <c r="M18" s="3">
        <v>0.42707930367504843</v>
      </c>
      <c r="N18" s="6">
        <v>2.84</v>
      </c>
    </row>
    <row r="19" spans="1:14" x14ac:dyDescent="0.2">
      <c r="A19" s="1" t="s">
        <v>28</v>
      </c>
      <c r="B19" s="1" t="s">
        <v>37</v>
      </c>
      <c r="C19" s="2">
        <v>334</v>
      </c>
      <c r="D19" s="2">
        <v>702</v>
      </c>
      <c r="E19" s="2"/>
      <c r="F19" s="2">
        <v>1036</v>
      </c>
      <c r="G19" s="3">
        <v>0.32239382239382242</v>
      </c>
      <c r="H19" s="3">
        <v>0.67760617760617758</v>
      </c>
      <c r="I19" s="1" t="s">
        <v>30</v>
      </c>
      <c r="J19" s="2">
        <v>351</v>
      </c>
      <c r="K19" s="2">
        <v>697</v>
      </c>
      <c r="L19" s="2">
        <v>1048</v>
      </c>
      <c r="M19" s="3">
        <v>0.33492366412213742</v>
      </c>
      <c r="N19" s="6">
        <v>-1.25</v>
      </c>
    </row>
    <row r="20" spans="1:14" x14ac:dyDescent="0.2">
      <c r="A20" s="1" t="s">
        <v>28</v>
      </c>
      <c r="B20" s="1" t="s">
        <v>38</v>
      </c>
      <c r="C20" s="2">
        <v>601</v>
      </c>
      <c r="D20" s="2">
        <v>807</v>
      </c>
      <c r="E20" s="2"/>
      <c r="F20" s="2">
        <v>1408</v>
      </c>
      <c r="G20" s="3">
        <v>0.42684659090909088</v>
      </c>
      <c r="H20" s="3">
        <v>0.57315340909090906</v>
      </c>
      <c r="I20" s="1" t="s">
        <v>30</v>
      </c>
      <c r="J20" s="2">
        <v>575</v>
      </c>
      <c r="K20" s="2">
        <v>880</v>
      </c>
      <c r="L20" s="2">
        <v>1455</v>
      </c>
      <c r="M20" s="3">
        <v>0.3951890034364261</v>
      </c>
      <c r="N20" s="6">
        <v>3.17</v>
      </c>
    </row>
    <row r="21" spans="1:14" x14ac:dyDescent="0.2">
      <c r="A21" s="1" t="s">
        <v>28</v>
      </c>
      <c r="B21" s="1" t="s">
        <v>39</v>
      </c>
      <c r="C21" s="2">
        <v>42</v>
      </c>
      <c r="D21" s="2">
        <v>97</v>
      </c>
      <c r="E21" s="2"/>
      <c r="F21" s="2">
        <v>139</v>
      </c>
      <c r="G21" s="3">
        <v>0.30215827338129497</v>
      </c>
      <c r="H21" s="3">
        <v>0.69784172661870503</v>
      </c>
      <c r="I21" s="1" t="s">
        <v>30</v>
      </c>
      <c r="J21" s="2">
        <v>38</v>
      </c>
      <c r="K21" s="2">
        <v>107</v>
      </c>
      <c r="L21" s="2">
        <v>145</v>
      </c>
      <c r="M21" s="3">
        <v>0.2620689655172414</v>
      </c>
      <c r="N21" s="6">
        <v>4.01</v>
      </c>
    </row>
    <row r="22" spans="1:14" x14ac:dyDescent="0.2">
      <c r="A22" s="1" t="s">
        <v>28</v>
      </c>
      <c r="B22" s="1" t="s">
        <v>40</v>
      </c>
      <c r="C22" s="2">
        <v>56</v>
      </c>
      <c r="D22" s="2">
        <v>208</v>
      </c>
      <c r="E22" s="2"/>
      <c r="F22" s="2">
        <v>264</v>
      </c>
      <c r="G22" s="3">
        <v>0.2121212121212121</v>
      </c>
      <c r="H22" s="3">
        <v>0.78787878787878785</v>
      </c>
      <c r="I22" s="1" t="s">
        <v>30</v>
      </c>
      <c r="J22" s="2">
        <v>58</v>
      </c>
      <c r="K22" s="2">
        <v>216</v>
      </c>
      <c r="L22" s="2">
        <v>274</v>
      </c>
      <c r="M22" s="3">
        <v>0.21167883211678831</v>
      </c>
      <c r="N22" s="6">
        <v>0.04</v>
      </c>
    </row>
    <row r="23" spans="1:14" x14ac:dyDescent="0.2">
      <c r="A23" s="1" t="s">
        <v>28</v>
      </c>
      <c r="B23" s="1" t="s">
        <v>41</v>
      </c>
      <c r="C23" s="2">
        <v>976</v>
      </c>
      <c r="D23" s="2">
        <v>1288</v>
      </c>
      <c r="E23" s="2"/>
      <c r="F23" s="2">
        <v>2264</v>
      </c>
      <c r="G23" s="3">
        <v>0.43109540636042398</v>
      </c>
      <c r="H23" s="3">
        <v>0.56890459363957602</v>
      </c>
      <c r="I23" s="1" t="s">
        <v>30</v>
      </c>
      <c r="J23" s="2">
        <v>944</v>
      </c>
      <c r="K23" s="2">
        <v>1486</v>
      </c>
      <c r="L23" s="2">
        <v>2430</v>
      </c>
      <c r="M23" s="3">
        <v>0.38847736625514401</v>
      </c>
      <c r="N23" s="6">
        <v>4.26</v>
      </c>
    </row>
    <row r="24" spans="1:14" x14ac:dyDescent="0.2">
      <c r="A24" s="1" t="s">
        <v>28</v>
      </c>
      <c r="B24" s="1" t="s">
        <v>42</v>
      </c>
      <c r="C24" s="2">
        <v>514</v>
      </c>
      <c r="D24" s="2">
        <v>1167</v>
      </c>
      <c r="E24" s="2"/>
      <c r="F24" s="2">
        <v>1681</v>
      </c>
      <c r="G24" s="3">
        <v>0.30577037477691849</v>
      </c>
      <c r="H24" s="3">
        <v>0.69422962522308151</v>
      </c>
      <c r="I24" s="1" t="s">
        <v>30</v>
      </c>
      <c r="J24" s="2">
        <v>515</v>
      </c>
      <c r="K24" s="2">
        <v>1293</v>
      </c>
      <c r="L24" s="2">
        <v>1808</v>
      </c>
      <c r="M24" s="3">
        <v>0.28484513274336282</v>
      </c>
      <c r="N24" s="6">
        <v>2.09</v>
      </c>
    </row>
    <row r="25" spans="1:14" x14ac:dyDescent="0.2">
      <c r="A25" s="1" t="s">
        <v>28</v>
      </c>
      <c r="B25" s="1" t="s">
        <v>43</v>
      </c>
      <c r="C25" s="2">
        <v>648</v>
      </c>
      <c r="D25" s="2">
        <v>1541</v>
      </c>
      <c r="E25" s="2"/>
      <c r="F25" s="2">
        <v>2189</v>
      </c>
      <c r="G25" s="3">
        <v>0.29602558245774319</v>
      </c>
      <c r="H25" s="3">
        <v>0.70397441754225676</v>
      </c>
      <c r="I25" s="1" t="s">
        <v>30</v>
      </c>
      <c r="J25" s="2">
        <v>694</v>
      </c>
      <c r="K25" s="2">
        <v>1695</v>
      </c>
      <c r="L25" s="2">
        <v>2389</v>
      </c>
      <c r="M25" s="3">
        <v>0.2904981163666806</v>
      </c>
      <c r="N25" s="6">
        <v>0.55000000000000004</v>
      </c>
    </row>
    <row r="26" spans="1:14" x14ac:dyDescent="0.2">
      <c r="A26" s="1" t="s">
        <v>28</v>
      </c>
      <c r="B26" s="1" t="s">
        <v>44</v>
      </c>
      <c r="C26" s="2">
        <v>589</v>
      </c>
      <c r="D26" s="2">
        <v>867</v>
      </c>
      <c r="E26" s="2"/>
      <c r="F26" s="2">
        <v>1456</v>
      </c>
      <c r="G26" s="3">
        <v>0.40453296703296698</v>
      </c>
      <c r="H26" s="3">
        <v>0.59546703296703296</v>
      </c>
      <c r="I26" s="1" t="s">
        <v>30</v>
      </c>
      <c r="J26" s="2">
        <v>601</v>
      </c>
      <c r="K26" s="2">
        <v>955</v>
      </c>
      <c r="L26" s="2">
        <v>1556</v>
      </c>
      <c r="M26" s="3">
        <v>0.38624678663239081</v>
      </c>
      <c r="N26" s="6">
        <v>1.83</v>
      </c>
    </row>
    <row r="27" spans="1:14" x14ac:dyDescent="0.2">
      <c r="A27" s="1" t="s">
        <v>28</v>
      </c>
      <c r="B27" s="1" t="s">
        <v>45</v>
      </c>
      <c r="C27" s="2">
        <v>106</v>
      </c>
      <c r="D27" s="2">
        <v>488</v>
      </c>
      <c r="E27" s="2"/>
      <c r="F27" s="2">
        <v>594</v>
      </c>
      <c r="G27" s="3">
        <v>0.17845117845117839</v>
      </c>
      <c r="H27" s="3">
        <v>0.82154882154882158</v>
      </c>
      <c r="I27" s="1" t="s">
        <v>30</v>
      </c>
      <c r="J27" s="2">
        <v>134</v>
      </c>
      <c r="K27" s="2">
        <v>505</v>
      </c>
      <c r="L27" s="2">
        <v>639</v>
      </c>
      <c r="M27" s="3">
        <v>0.20970266040688579</v>
      </c>
      <c r="N27" s="6">
        <v>-3.13</v>
      </c>
    </row>
    <row r="28" spans="1:14" x14ac:dyDescent="0.2">
      <c r="A28" s="1" t="s">
        <v>28</v>
      </c>
      <c r="B28" s="1" t="s">
        <v>46</v>
      </c>
      <c r="C28" s="2">
        <v>966</v>
      </c>
      <c r="D28" s="2">
        <v>1594</v>
      </c>
      <c r="E28" s="2"/>
      <c r="F28" s="2">
        <v>2560</v>
      </c>
      <c r="G28" s="3">
        <v>0.37734374999999998</v>
      </c>
      <c r="H28" s="3">
        <v>0.62265625000000002</v>
      </c>
      <c r="I28" s="1" t="s">
        <v>30</v>
      </c>
      <c r="J28" s="2">
        <v>981</v>
      </c>
      <c r="K28" s="2">
        <v>1740</v>
      </c>
      <c r="L28" s="2">
        <v>2721</v>
      </c>
      <c r="M28" s="3">
        <v>0.36052921719955899</v>
      </c>
      <c r="N28" s="6">
        <v>1.68</v>
      </c>
    </row>
    <row r="29" spans="1:14" x14ac:dyDescent="0.2">
      <c r="A29" s="1" t="s">
        <v>28</v>
      </c>
      <c r="B29" s="1" t="s">
        <v>47</v>
      </c>
      <c r="C29" s="2">
        <v>57</v>
      </c>
      <c r="D29" s="2">
        <v>157</v>
      </c>
      <c r="E29" s="2"/>
      <c r="F29" s="2">
        <v>214</v>
      </c>
      <c r="G29" s="3">
        <v>0.26635514018691592</v>
      </c>
      <c r="H29" s="3">
        <v>0.73364485981308414</v>
      </c>
      <c r="I29" s="1" t="s">
        <v>30</v>
      </c>
      <c r="J29" s="2">
        <v>74</v>
      </c>
      <c r="K29" s="2">
        <v>162</v>
      </c>
      <c r="L29" s="2">
        <v>236</v>
      </c>
      <c r="M29" s="3">
        <v>0.3135593220338983</v>
      </c>
      <c r="N29" s="6">
        <v>-4.72</v>
      </c>
    </row>
    <row r="30" spans="1:14" x14ac:dyDescent="0.2">
      <c r="A30" s="1" t="s">
        <v>28</v>
      </c>
      <c r="B30" s="1" t="s">
        <v>48</v>
      </c>
      <c r="C30" s="2">
        <v>1853</v>
      </c>
      <c r="D30" s="2">
        <v>3380</v>
      </c>
      <c r="E30" s="2"/>
      <c r="F30" s="2">
        <v>5233</v>
      </c>
      <c r="G30" s="3">
        <v>0.35409898719663668</v>
      </c>
      <c r="H30" s="3">
        <v>0.64590101280336332</v>
      </c>
      <c r="I30" s="1" t="s">
        <v>30</v>
      </c>
      <c r="J30" s="2">
        <v>2047</v>
      </c>
      <c r="K30" s="2">
        <v>3702</v>
      </c>
      <c r="L30" s="2">
        <v>5749</v>
      </c>
      <c r="M30" s="3">
        <v>0.35606192381283702</v>
      </c>
      <c r="N30" s="6">
        <v>-0.2</v>
      </c>
    </row>
    <row r="31" spans="1:14" x14ac:dyDescent="0.2">
      <c r="A31" s="1" t="s">
        <v>28</v>
      </c>
      <c r="B31" s="1" t="s">
        <v>49</v>
      </c>
      <c r="C31" s="2">
        <v>698</v>
      </c>
      <c r="D31" s="2">
        <v>840</v>
      </c>
      <c r="E31" s="2"/>
      <c r="F31" s="2">
        <v>1538</v>
      </c>
      <c r="G31" s="3">
        <v>0.45383615084525358</v>
      </c>
      <c r="H31" s="3">
        <v>0.54616384915474647</v>
      </c>
      <c r="I31" s="1" t="s">
        <v>30</v>
      </c>
      <c r="J31" s="2">
        <v>660</v>
      </c>
      <c r="K31" s="2">
        <v>913</v>
      </c>
      <c r="L31" s="2">
        <v>1573</v>
      </c>
      <c r="M31" s="3">
        <v>0.41958041958041958</v>
      </c>
      <c r="N31" s="6">
        <v>3.43</v>
      </c>
    </row>
    <row r="32" spans="1:14" x14ac:dyDescent="0.2">
      <c r="A32" s="1" t="s">
        <v>28</v>
      </c>
      <c r="B32" s="1" t="s">
        <v>50</v>
      </c>
      <c r="C32" s="2">
        <v>751</v>
      </c>
      <c r="D32" s="2">
        <v>1894</v>
      </c>
      <c r="E32" s="2"/>
      <c r="F32" s="2">
        <v>2645</v>
      </c>
      <c r="G32" s="3">
        <v>0.28393194706994329</v>
      </c>
      <c r="H32" s="3">
        <v>0.71606805293005671</v>
      </c>
      <c r="I32" s="1" t="s">
        <v>30</v>
      </c>
      <c r="J32" s="2">
        <v>802</v>
      </c>
      <c r="K32" s="2">
        <v>1955</v>
      </c>
      <c r="L32" s="2">
        <v>2757</v>
      </c>
      <c r="M32" s="3">
        <v>0.29089590134203852</v>
      </c>
      <c r="N32" s="6">
        <v>-0.7</v>
      </c>
    </row>
    <row r="33" spans="1:14" x14ac:dyDescent="0.2">
      <c r="A33" s="1" t="s">
        <v>28</v>
      </c>
      <c r="B33" s="1" t="s">
        <v>51</v>
      </c>
      <c r="C33" s="2">
        <v>314</v>
      </c>
      <c r="D33" s="2">
        <v>874</v>
      </c>
      <c r="E33" s="2"/>
      <c r="F33" s="2">
        <v>1188</v>
      </c>
      <c r="G33" s="3">
        <v>0.26430976430976427</v>
      </c>
      <c r="H33" s="3">
        <v>0.73569023569023573</v>
      </c>
      <c r="I33" s="1" t="s">
        <v>30</v>
      </c>
      <c r="J33" s="2">
        <v>351</v>
      </c>
      <c r="K33" s="2">
        <v>849</v>
      </c>
      <c r="L33" s="2">
        <v>1200</v>
      </c>
      <c r="M33" s="3">
        <v>0.29249999999999998</v>
      </c>
      <c r="N33" s="6">
        <v>-2.82</v>
      </c>
    </row>
    <row r="34" spans="1:14" x14ac:dyDescent="0.2">
      <c r="A34" s="1" t="s">
        <v>28</v>
      </c>
      <c r="B34" s="1" t="s">
        <v>52</v>
      </c>
      <c r="C34" s="2">
        <v>66</v>
      </c>
      <c r="D34" s="2">
        <v>78</v>
      </c>
      <c r="E34" s="2"/>
      <c r="F34" s="2">
        <v>144</v>
      </c>
      <c r="G34" s="3">
        <v>0.45833333333333331</v>
      </c>
      <c r="H34" s="3">
        <v>0.54166666666666663</v>
      </c>
      <c r="I34" s="1" t="s">
        <v>30</v>
      </c>
      <c r="J34" s="2">
        <v>58</v>
      </c>
      <c r="K34" s="2">
        <v>105</v>
      </c>
      <c r="L34" s="2">
        <v>163</v>
      </c>
      <c r="M34" s="3">
        <v>0.35582822085889571</v>
      </c>
      <c r="N34" s="6">
        <v>10.25</v>
      </c>
    </row>
    <row r="35" spans="1:14" x14ac:dyDescent="0.2">
      <c r="A35" s="1" t="s">
        <v>53</v>
      </c>
      <c r="B35" s="1" t="s">
        <v>54</v>
      </c>
      <c r="C35" s="2">
        <v>688</v>
      </c>
      <c r="D35" s="2">
        <v>727</v>
      </c>
      <c r="E35" s="2"/>
      <c r="F35" s="2">
        <v>1415</v>
      </c>
      <c r="G35" s="3">
        <v>0.4862190812720848</v>
      </c>
      <c r="H35" s="3">
        <v>0.5137809187279152</v>
      </c>
      <c r="I35" s="1" t="s">
        <v>30</v>
      </c>
      <c r="J35" s="2">
        <v>601</v>
      </c>
      <c r="K35" s="2">
        <v>766</v>
      </c>
      <c r="L35" s="2">
        <v>1367</v>
      </c>
      <c r="M35" s="3">
        <v>0.43964886613021209</v>
      </c>
      <c r="N35" s="6">
        <v>4.66</v>
      </c>
    </row>
    <row r="36" spans="1:14" x14ac:dyDescent="0.2">
      <c r="A36" s="1" t="s">
        <v>53</v>
      </c>
      <c r="B36" s="1" t="s">
        <v>55</v>
      </c>
      <c r="C36" s="2">
        <v>28142</v>
      </c>
      <c r="D36" s="2">
        <v>13542</v>
      </c>
      <c r="E36" s="2"/>
      <c r="F36" s="2">
        <v>41684</v>
      </c>
      <c r="G36" s="3">
        <v>0.67512714710680355</v>
      </c>
      <c r="H36" s="3">
        <v>0.32487285289319651</v>
      </c>
      <c r="I36" s="1" t="s">
        <v>30</v>
      </c>
      <c r="J36" s="2">
        <v>26568</v>
      </c>
      <c r="K36" s="2">
        <v>14583</v>
      </c>
      <c r="L36" s="2">
        <v>41151</v>
      </c>
      <c r="M36" s="3">
        <v>0.64562222060217245</v>
      </c>
      <c r="N36" s="6">
        <v>2.95</v>
      </c>
    </row>
    <row r="37" spans="1:14" x14ac:dyDescent="0.2">
      <c r="A37" s="1" t="s">
        <v>53</v>
      </c>
      <c r="B37" s="1" t="s">
        <v>56</v>
      </c>
      <c r="C37" s="2">
        <v>6867</v>
      </c>
      <c r="D37" s="2">
        <v>3773</v>
      </c>
      <c r="E37" s="2"/>
      <c r="F37" s="2">
        <v>10640</v>
      </c>
      <c r="G37" s="3">
        <v>0.64539473684210524</v>
      </c>
      <c r="H37" s="3">
        <v>0.35460526315789481</v>
      </c>
      <c r="I37" s="1" t="s">
        <v>30</v>
      </c>
      <c r="J37" s="2">
        <v>6612</v>
      </c>
      <c r="K37" s="2">
        <v>3834</v>
      </c>
      <c r="L37" s="2">
        <v>10446</v>
      </c>
      <c r="M37" s="3">
        <v>0.63296955772544516</v>
      </c>
      <c r="N37" s="6">
        <v>1.24</v>
      </c>
    </row>
    <row r="38" spans="1:14" x14ac:dyDescent="0.2">
      <c r="A38" s="1" t="s">
        <v>53</v>
      </c>
      <c r="B38" s="1" t="s">
        <v>57</v>
      </c>
      <c r="C38" s="2">
        <v>1635</v>
      </c>
      <c r="D38" s="2">
        <v>1451</v>
      </c>
      <c r="E38" s="2"/>
      <c r="F38" s="2">
        <v>3086</v>
      </c>
      <c r="G38" s="3">
        <v>0.52981205443940371</v>
      </c>
      <c r="H38" s="3">
        <v>0.47018794556059618</v>
      </c>
      <c r="I38" s="1" t="s">
        <v>30</v>
      </c>
      <c r="J38" s="2">
        <v>1560</v>
      </c>
      <c r="K38" s="2">
        <v>1491</v>
      </c>
      <c r="L38" s="2">
        <v>3051</v>
      </c>
      <c r="M38" s="3">
        <v>0.51130776794493604</v>
      </c>
      <c r="N38" s="6">
        <v>1.85</v>
      </c>
    </row>
    <row r="39" spans="1:14" x14ac:dyDescent="0.2">
      <c r="A39" s="1" t="s">
        <v>53</v>
      </c>
      <c r="B39" s="1" t="s">
        <v>58</v>
      </c>
      <c r="C39" s="2">
        <v>792</v>
      </c>
      <c r="D39" s="2">
        <v>779</v>
      </c>
      <c r="E39" s="2"/>
      <c r="F39" s="2">
        <v>1571</v>
      </c>
      <c r="G39" s="3">
        <v>0.50413749204328451</v>
      </c>
      <c r="H39" s="3">
        <v>0.49586250795671549</v>
      </c>
      <c r="I39" s="1" t="s">
        <v>30</v>
      </c>
      <c r="J39" s="2">
        <v>735</v>
      </c>
      <c r="K39" s="2">
        <v>804</v>
      </c>
      <c r="L39" s="2">
        <v>1539</v>
      </c>
      <c r="M39" s="3">
        <v>0.47758284600389861</v>
      </c>
      <c r="N39" s="6">
        <v>2.66</v>
      </c>
    </row>
    <row r="40" spans="1:14" x14ac:dyDescent="0.2">
      <c r="A40" s="1" t="s">
        <v>53</v>
      </c>
      <c r="B40" s="1" t="s">
        <v>59</v>
      </c>
      <c r="C40" s="2">
        <v>967</v>
      </c>
      <c r="D40" s="2">
        <v>870</v>
      </c>
      <c r="E40" s="2"/>
      <c r="F40" s="2">
        <v>1837</v>
      </c>
      <c r="G40" s="3">
        <v>0.5264017419706043</v>
      </c>
      <c r="H40" s="3">
        <v>0.47359825802939581</v>
      </c>
      <c r="I40" s="1" t="s">
        <v>30</v>
      </c>
      <c r="J40" s="2">
        <v>899</v>
      </c>
      <c r="K40" s="2">
        <v>898</v>
      </c>
      <c r="L40" s="2">
        <v>1797</v>
      </c>
      <c r="M40" s="3">
        <v>0.50027824151363387</v>
      </c>
      <c r="N40" s="6">
        <v>2.61</v>
      </c>
    </row>
    <row r="41" spans="1:14" x14ac:dyDescent="0.2">
      <c r="A41" s="1" t="s">
        <v>53</v>
      </c>
      <c r="B41" s="1" t="s">
        <v>60</v>
      </c>
      <c r="C41" s="2">
        <v>3745</v>
      </c>
      <c r="D41" s="2">
        <v>3113</v>
      </c>
      <c r="E41" s="2"/>
      <c r="F41" s="2">
        <v>6858</v>
      </c>
      <c r="G41" s="3">
        <v>0.54607757363662879</v>
      </c>
      <c r="H41" s="3">
        <v>0.45392242636337132</v>
      </c>
      <c r="I41" s="1" t="s">
        <v>30</v>
      </c>
      <c r="J41" s="2">
        <v>3663</v>
      </c>
      <c r="K41" s="2">
        <v>3236</v>
      </c>
      <c r="L41" s="2">
        <v>6899</v>
      </c>
      <c r="M41" s="3">
        <v>0.53094651398753445</v>
      </c>
      <c r="N41" s="6">
        <v>1.51</v>
      </c>
    </row>
    <row r="42" spans="1:14" x14ac:dyDescent="0.2">
      <c r="A42" s="1" t="s">
        <v>53</v>
      </c>
      <c r="B42" s="1" t="s">
        <v>61</v>
      </c>
      <c r="C42" s="2">
        <v>1577</v>
      </c>
      <c r="D42" s="2">
        <v>764</v>
      </c>
      <c r="E42" s="2"/>
      <c r="F42" s="2">
        <v>2341</v>
      </c>
      <c r="G42" s="3">
        <v>0.67364374199060228</v>
      </c>
      <c r="H42" s="3">
        <v>0.32635625800939772</v>
      </c>
      <c r="I42" s="1" t="s">
        <v>30</v>
      </c>
      <c r="J42" s="2">
        <v>1433</v>
      </c>
      <c r="K42" s="2">
        <v>793</v>
      </c>
      <c r="L42" s="2">
        <v>2226</v>
      </c>
      <c r="M42" s="3">
        <v>0.64375561545372861</v>
      </c>
      <c r="N42" s="6">
        <v>2.99</v>
      </c>
    </row>
    <row r="43" spans="1:14" x14ac:dyDescent="0.2">
      <c r="A43" s="1" t="s">
        <v>53</v>
      </c>
      <c r="B43" s="1" t="s">
        <v>62</v>
      </c>
      <c r="C43" s="2">
        <v>406</v>
      </c>
      <c r="D43" s="2">
        <v>334</v>
      </c>
      <c r="E43" s="2"/>
      <c r="F43" s="2">
        <v>740</v>
      </c>
      <c r="G43" s="3">
        <v>0.5486486486486486</v>
      </c>
      <c r="H43" s="3">
        <v>0.45135135135135129</v>
      </c>
      <c r="I43" s="1" t="s">
        <v>30</v>
      </c>
      <c r="J43" s="2">
        <v>379</v>
      </c>
      <c r="K43" s="2">
        <v>330</v>
      </c>
      <c r="L43" s="2">
        <v>709</v>
      </c>
      <c r="M43" s="3">
        <v>0.5345557122708039</v>
      </c>
      <c r="N43" s="6">
        <v>1.41</v>
      </c>
    </row>
    <row r="44" spans="1:14" x14ac:dyDescent="0.2">
      <c r="A44" s="1" t="s">
        <v>53</v>
      </c>
      <c r="B44" s="1" t="s">
        <v>63</v>
      </c>
      <c r="C44" s="2">
        <v>648</v>
      </c>
      <c r="D44" s="2">
        <v>1407</v>
      </c>
      <c r="E44" s="2"/>
      <c r="F44" s="2">
        <v>2055</v>
      </c>
      <c r="G44" s="3">
        <v>0.31532846715328472</v>
      </c>
      <c r="H44" s="3">
        <v>0.68467153284671534</v>
      </c>
      <c r="I44" s="1" t="s">
        <v>30</v>
      </c>
      <c r="J44" s="2">
        <v>654</v>
      </c>
      <c r="K44" s="2">
        <v>1439</v>
      </c>
      <c r="L44" s="2">
        <v>2093</v>
      </c>
      <c r="M44" s="3">
        <v>0.3124701385570951</v>
      </c>
      <c r="N44" s="6">
        <v>0.28999999999999998</v>
      </c>
    </row>
    <row r="45" spans="1:14" x14ac:dyDescent="0.2">
      <c r="A45" s="1" t="s">
        <v>53</v>
      </c>
      <c r="B45" s="1" t="s">
        <v>64</v>
      </c>
      <c r="C45" s="2">
        <v>10576</v>
      </c>
      <c r="D45" s="2">
        <v>9860</v>
      </c>
      <c r="E45" s="2"/>
      <c r="F45" s="2">
        <v>20436</v>
      </c>
      <c r="G45" s="3">
        <v>0.51751810530436482</v>
      </c>
      <c r="H45" s="3">
        <v>0.48248189469563513</v>
      </c>
      <c r="I45" s="1" t="s">
        <v>30</v>
      </c>
      <c r="J45" s="2">
        <v>10021</v>
      </c>
      <c r="K45" s="2">
        <v>10199</v>
      </c>
      <c r="L45" s="2">
        <v>20220</v>
      </c>
      <c r="M45" s="3">
        <v>0.49559841740850641</v>
      </c>
      <c r="N45" s="6">
        <v>2.19</v>
      </c>
    </row>
    <row r="46" spans="1:14" x14ac:dyDescent="0.2">
      <c r="A46" s="1" t="s">
        <v>53</v>
      </c>
      <c r="B46" s="1" t="s">
        <v>65</v>
      </c>
      <c r="C46" s="2">
        <v>1014</v>
      </c>
      <c r="D46" s="2">
        <v>1587</v>
      </c>
      <c r="E46" s="2"/>
      <c r="F46" s="2">
        <v>2601</v>
      </c>
      <c r="G46" s="3">
        <v>0.38985005767012693</v>
      </c>
      <c r="H46" s="3">
        <v>0.61014994232987307</v>
      </c>
      <c r="I46" s="1" t="s">
        <v>30</v>
      </c>
      <c r="J46" s="2">
        <v>985</v>
      </c>
      <c r="K46" s="2">
        <v>1586</v>
      </c>
      <c r="L46" s="2">
        <v>2571</v>
      </c>
      <c r="M46" s="3">
        <v>0.38311940879035389</v>
      </c>
      <c r="N46" s="6">
        <v>0.67</v>
      </c>
    </row>
    <row r="47" spans="1:14" x14ac:dyDescent="0.2">
      <c r="A47" s="1" t="s">
        <v>53</v>
      </c>
      <c r="B47" s="1" t="s">
        <v>66</v>
      </c>
      <c r="C47" s="2">
        <v>560</v>
      </c>
      <c r="D47" s="2">
        <v>1004</v>
      </c>
      <c r="E47" s="2"/>
      <c r="F47" s="2">
        <v>1564</v>
      </c>
      <c r="G47" s="3">
        <v>0.35805626598465468</v>
      </c>
      <c r="H47" s="3">
        <v>0.64194373401534521</v>
      </c>
      <c r="I47" s="1" t="s">
        <v>30</v>
      </c>
      <c r="J47" s="2">
        <v>543</v>
      </c>
      <c r="K47" s="2">
        <v>990</v>
      </c>
      <c r="L47" s="2">
        <v>1533</v>
      </c>
      <c r="M47" s="3">
        <v>0.3542074363992172</v>
      </c>
      <c r="N47" s="6">
        <v>0.38</v>
      </c>
    </row>
    <row r="48" spans="1:14" x14ac:dyDescent="0.2">
      <c r="A48" s="1" t="s">
        <v>53</v>
      </c>
      <c r="B48" s="1" t="s">
        <v>67</v>
      </c>
      <c r="C48" s="2">
        <v>863</v>
      </c>
      <c r="D48" s="2">
        <v>1836</v>
      </c>
      <c r="E48" s="2"/>
      <c r="F48" s="2">
        <v>2699</v>
      </c>
      <c r="G48" s="3">
        <v>0.31974805483512408</v>
      </c>
      <c r="H48" s="3">
        <v>0.68025194516487586</v>
      </c>
      <c r="I48" s="1" t="s">
        <v>30</v>
      </c>
      <c r="J48" s="2">
        <v>850</v>
      </c>
      <c r="K48" s="2">
        <v>1856</v>
      </c>
      <c r="L48" s="2">
        <v>2706</v>
      </c>
      <c r="M48" s="3">
        <v>0.31411677753141171</v>
      </c>
      <c r="N48" s="6">
        <v>0.56000000000000005</v>
      </c>
    </row>
    <row r="49" spans="1:14" x14ac:dyDescent="0.2">
      <c r="A49" s="1" t="s">
        <v>53</v>
      </c>
      <c r="B49" s="1" t="s">
        <v>68</v>
      </c>
      <c r="C49" s="2">
        <v>1033</v>
      </c>
      <c r="D49" s="2">
        <v>860</v>
      </c>
      <c r="E49" s="2"/>
      <c r="F49" s="2">
        <v>1893</v>
      </c>
      <c r="G49" s="3">
        <v>0.54569466455361859</v>
      </c>
      <c r="H49" s="3">
        <v>0.45430533544638141</v>
      </c>
      <c r="I49" s="1" t="s">
        <v>30</v>
      </c>
      <c r="J49" s="2">
        <v>980</v>
      </c>
      <c r="K49" s="2">
        <v>872</v>
      </c>
      <c r="L49" s="2">
        <v>1852</v>
      </c>
      <c r="M49" s="3">
        <v>0.52915766738660908</v>
      </c>
      <c r="N49" s="6">
        <v>1.65</v>
      </c>
    </row>
    <row r="50" spans="1:14" x14ac:dyDescent="0.2">
      <c r="A50" s="1" t="s">
        <v>53</v>
      </c>
      <c r="B50" s="1" t="s">
        <v>69</v>
      </c>
      <c r="C50" s="2">
        <v>4189</v>
      </c>
      <c r="D50" s="2">
        <v>5847</v>
      </c>
      <c r="E50" s="2"/>
      <c r="F50" s="2">
        <v>10036</v>
      </c>
      <c r="G50" s="3">
        <v>0.41739736946990841</v>
      </c>
      <c r="H50" s="3">
        <v>0.58260263053009165</v>
      </c>
      <c r="I50" s="1" t="s">
        <v>30</v>
      </c>
      <c r="J50" s="2">
        <v>4022</v>
      </c>
      <c r="K50" s="2">
        <v>5915</v>
      </c>
      <c r="L50" s="2">
        <v>9937</v>
      </c>
      <c r="M50" s="3">
        <v>0.40474992452450442</v>
      </c>
      <c r="N50" s="6">
        <v>1.26</v>
      </c>
    </row>
    <row r="51" spans="1:14" x14ac:dyDescent="0.2">
      <c r="A51" s="1" t="s">
        <v>53</v>
      </c>
      <c r="B51" s="1" t="s">
        <v>70</v>
      </c>
      <c r="C51" s="2">
        <v>4099</v>
      </c>
      <c r="D51" s="2">
        <v>4067</v>
      </c>
      <c r="E51" s="2"/>
      <c r="F51" s="2">
        <v>8166</v>
      </c>
      <c r="G51" s="3">
        <v>0.50195934361988737</v>
      </c>
      <c r="H51" s="3">
        <v>0.49804065638011269</v>
      </c>
      <c r="I51" s="1" t="s">
        <v>30</v>
      </c>
      <c r="J51" s="2">
        <v>4010</v>
      </c>
      <c r="K51" s="2">
        <v>4104</v>
      </c>
      <c r="L51" s="2">
        <v>8114</v>
      </c>
      <c r="M51" s="3">
        <v>0.49420754251910282</v>
      </c>
      <c r="N51" s="6">
        <v>0.78</v>
      </c>
    </row>
    <row r="52" spans="1:14" x14ac:dyDescent="0.2">
      <c r="A52" s="1" t="s">
        <v>53</v>
      </c>
      <c r="B52" s="1" t="s">
        <v>71</v>
      </c>
      <c r="C52" s="2">
        <v>908</v>
      </c>
      <c r="D52" s="2">
        <v>1090</v>
      </c>
      <c r="E52" s="2"/>
      <c r="F52" s="2">
        <v>1998</v>
      </c>
      <c r="G52" s="3">
        <v>0.45445445445445448</v>
      </c>
      <c r="H52" s="3">
        <v>0.54554554554554557</v>
      </c>
      <c r="I52" s="1" t="s">
        <v>30</v>
      </c>
      <c r="J52" s="2">
        <v>800</v>
      </c>
      <c r="K52" s="2">
        <v>1156</v>
      </c>
      <c r="L52" s="2">
        <v>1956</v>
      </c>
      <c r="M52" s="3">
        <v>0.40899795501022501</v>
      </c>
      <c r="N52" s="6">
        <v>4.55</v>
      </c>
    </row>
    <row r="53" spans="1:14" x14ac:dyDescent="0.2">
      <c r="A53" s="1" t="s">
        <v>53</v>
      </c>
      <c r="B53" s="1" t="s">
        <v>72</v>
      </c>
      <c r="C53" s="2">
        <v>7314</v>
      </c>
      <c r="D53" s="2">
        <v>5884</v>
      </c>
      <c r="E53" s="2"/>
      <c r="F53" s="2">
        <v>13198</v>
      </c>
      <c r="G53" s="3">
        <v>0.55417487498105777</v>
      </c>
      <c r="H53" s="3">
        <v>0.44582512501894228</v>
      </c>
      <c r="I53" s="1" t="s">
        <v>30</v>
      </c>
      <c r="J53" s="2">
        <v>7019</v>
      </c>
      <c r="K53" s="2">
        <v>6110</v>
      </c>
      <c r="L53" s="2">
        <v>13129</v>
      </c>
      <c r="M53" s="3">
        <v>0.53461802117449919</v>
      </c>
      <c r="N53" s="6">
        <v>1.96</v>
      </c>
    </row>
    <row r="54" spans="1:14" x14ac:dyDescent="0.2">
      <c r="A54" s="1" t="s">
        <v>53</v>
      </c>
      <c r="B54" s="1" t="s">
        <v>73</v>
      </c>
      <c r="C54" s="2">
        <v>8373</v>
      </c>
      <c r="D54" s="2">
        <v>7587</v>
      </c>
      <c r="E54" s="2"/>
      <c r="F54" s="2">
        <v>15960</v>
      </c>
      <c r="G54" s="3">
        <v>0.52462406015037599</v>
      </c>
      <c r="H54" s="3">
        <v>0.47537593984962412</v>
      </c>
      <c r="I54" s="1" t="s">
        <v>30</v>
      </c>
      <c r="J54" s="2">
        <v>8020</v>
      </c>
      <c r="K54" s="2">
        <v>7607</v>
      </c>
      <c r="L54" s="2">
        <v>15627</v>
      </c>
      <c r="M54" s="3">
        <v>0.51321430856850325</v>
      </c>
      <c r="N54" s="6">
        <v>1.1399999999999999</v>
      </c>
    </row>
    <row r="55" spans="1:14" x14ac:dyDescent="0.2">
      <c r="A55" s="1" t="s">
        <v>53</v>
      </c>
      <c r="B55" s="1" t="s">
        <v>74</v>
      </c>
      <c r="C55" s="2">
        <v>2483</v>
      </c>
      <c r="D55" s="2">
        <v>2971</v>
      </c>
      <c r="E55" s="2"/>
      <c r="F55" s="2">
        <v>5454</v>
      </c>
      <c r="G55" s="3">
        <v>0.45526219288595532</v>
      </c>
      <c r="H55" s="3">
        <v>0.54473780711404474</v>
      </c>
      <c r="I55" s="1" t="s">
        <v>30</v>
      </c>
      <c r="J55" s="2">
        <v>2380</v>
      </c>
      <c r="K55" s="2">
        <v>3135</v>
      </c>
      <c r="L55" s="2">
        <v>5515</v>
      </c>
      <c r="M55" s="3">
        <v>0.4315503173164098</v>
      </c>
      <c r="N55" s="6">
        <v>2.37</v>
      </c>
    </row>
    <row r="56" spans="1:14" x14ac:dyDescent="0.2">
      <c r="A56" s="1" t="s">
        <v>53</v>
      </c>
      <c r="B56" s="1" t="s">
        <v>75</v>
      </c>
      <c r="C56" s="2">
        <v>5573</v>
      </c>
      <c r="D56" s="2">
        <v>5613</v>
      </c>
      <c r="E56" s="2"/>
      <c r="F56" s="2">
        <v>11186</v>
      </c>
      <c r="G56" s="3">
        <v>0.49821205077775788</v>
      </c>
      <c r="H56" s="3">
        <v>0.50178794922224212</v>
      </c>
      <c r="I56" s="1" t="s">
        <v>30</v>
      </c>
      <c r="J56" s="2">
        <v>5462</v>
      </c>
      <c r="K56" s="2">
        <v>5740</v>
      </c>
      <c r="L56" s="2">
        <v>11202</v>
      </c>
      <c r="M56" s="3">
        <v>0.48759150151758612</v>
      </c>
      <c r="N56" s="6">
        <v>1.06</v>
      </c>
    </row>
    <row r="57" spans="1:14" x14ac:dyDescent="0.2">
      <c r="A57" s="1" t="s">
        <v>53</v>
      </c>
      <c r="B57" s="1" t="s">
        <v>76</v>
      </c>
      <c r="C57" s="2">
        <v>1323</v>
      </c>
      <c r="D57" s="2">
        <v>2610</v>
      </c>
      <c r="E57" s="2"/>
      <c r="F57" s="2">
        <v>3933</v>
      </c>
      <c r="G57" s="3">
        <v>0.33638443935926782</v>
      </c>
      <c r="H57" s="3">
        <v>0.66361556064073224</v>
      </c>
      <c r="I57" s="1" t="s">
        <v>30</v>
      </c>
      <c r="J57" s="2">
        <v>1266</v>
      </c>
      <c r="K57" s="2">
        <v>2669</v>
      </c>
      <c r="L57" s="2">
        <v>3935</v>
      </c>
      <c r="M57" s="3">
        <v>0.32172808132147401</v>
      </c>
      <c r="N57" s="6">
        <v>1.47</v>
      </c>
    </row>
    <row r="58" spans="1:14" x14ac:dyDescent="0.2">
      <c r="A58" s="1" t="s">
        <v>53</v>
      </c>
      <c r="B58" s="1" t="s">
        <v>77</v>
      </c>
      <c r="C58" s="2">
        <v>1179</v>
      </c>
      <c r="D58" s="2">
        <v>2199</v>
      </c>
      <c r="E58" s="2"/>
      <c r="F58" s="2">
        <v>3378</v>
      </c>
      <c r="G58" s="3">
        <v>0.34902309058614572</v>
      </c>
      <c r="H58" s="3">
        <v>0.65097690941385433</v>
      </c>
      <c r="I58" s="1" t="s">
        <v>30</v>
      </c>
      <c r="J58" s="2">
        <v>1172</v>
      </c>
      <c r="K58" s="2">
        <v>2201</v>
      </c>
      <c r="L58" s="2">
        <v>3373</v>
      </c>
      <c r="M58" s="3">
        <v>0.34746516454195081</v>
      </c>
      <c r="N58" s="6">
        <v>0.16</v>
      </c>
    </row>
    <row r="59" spans="1:14" x14ac:dyDescent="0.2">
      <c r="A59" s="1" t="s">
        <v>53</v>
      </c>
      <c r="B59" s="1" t="s">
        <v>78</v>
      </c>
      <c r="C59" s="2">
        <v>7640</v>
      </c>
      <c r="D59" s="2">
        <v>6840</v>
      </c>
      <c r="E59" s="2"/>
      <c r="F59" s="2">
        <v>14480</v>
      </c>
      <c r="G59" s="3">
        <v>0.52762430939226523</v>
      </c>
      <c r="H59" s="3">
        <v>0.47237569060773482</v>
      </c>
      <c r="I59" s="1" t="s">
        <v>30</v>
      </c>
      <c r="J59" s="2">
        <v>7383</v>
      </c>
      <c r="K59" s="2">
        <v>7036</v>
      </c>
      <c r="L59" s="2">
        <v>14419</v>
      </c>
      <c r="M59" s="3">
        <v>0.51203273458630971</v>
      </c>
      <c r="N59" s="6">
        <v>1.56</v>
      </c>
    </row>
    <row r="60" spans="1:14" x14ac:dyDescent="0.2">
      <c r="A60" s="1" t="s">
        <v>79</v>
      </c>
      <c r="B60" s="1" t="s">
        <v>80</v>
      </c>
      <c r="C60" s="2">
        <v>1374</v>
      </c>
      <c r="D60" s="2">
        <v>2795</v>
      </c>
      <c r="E60" s="2"/>
      <c r="F60" s="2">
        <v>4169</v>
      </c>
      <c r="G60" s="3">
        <v>0.32957543775485731</v>
      </c>
      <c r="H60" s="3">
        <v>0.67042456224514269</v>
      </c>
      <c r="I60" s="1" t="s">
        <v>30</v>
      </c>
      <c r="J60" s="2">
        <v>1414</v>
      </c>
      <c r="K60" s="2">
        <v>2894</v>
      </c>
      <c r="L60" s="2">
        <v>4308</v>
      </c>
      <c r="M60" s="3">
        <v>0.32822655524605387</v>
      </c>
      <c r="N60" s="6">
        <v>0.13</v>
      </c>
    </row>
    <row r="61" spans="1:14" x14ac:dyDescent="0.2">
      <c r="A61" s="1" t="s">
        <v>79</v>
      </c>
      <c r="B61" s="1" t="s">
        <v>81</v>
      </c>
      <c r="C61" s="2">
        <v>451</v>
      </c>
      <c r="D61" s="2">
        <v>1092</v>
      </c>
      <c r="E61" s="2"/>
      <c r="F61" s="2">
        <v>1543</v>
      </c>
      <c r="G61" s="3">
        <v>0.29228775113415417</v>
      </c>
      <c r="H61" s="3">
        <v>0.70771224886584572</v>
      </c>
      <c r="I61" s="1" t="s">
        <v>30</v>
      </c>
      <c r="J61" s="2">
        <v>471</v>
      </c>
      <c r="K61" s="2">
        <v>1124</v>
      </c>
      <c r="L61" s="2">
        <v>1595</v>
      </c>
      <c r="M61" s="3">
        <v>0.29529780564263319</v>
      </c>
      <c r="N61" s="6">
        <v>-0.3</v>
      </c>
    </row>
    <row r="62" spans="1:14" x14ac:dyDescent="0.2">
      <c r="A62" s="1" t="s">
        <v>79</v>
      </c>
      <c r="B62" s="1" t="s">
        <v>82</v>
      </c>
      <c r="C62" s="2">
        <v>526</v>
      </c>
      <c r="D62" s="2">
        <v>1043</v>
      </c>
      <c r="E62" s="2"/>
      <c r="F62" s="2">
        <v>1569</v>
      </c>
      <c r="G62" s="3">
        <v>0.33524537922243469</v>
      </c>
      <c r="H62" s="3">
        <v>0.66475462077756531</v>
      </c>
      <c r="I62" s="1" t="s">
        <v>30</v>
      </c>
      <c r="J62" s="2">
        <v>521</v>
      </c>
      <c r="K62" s="2">
        <v>997</v>
      </c>
      <c r="L62" s="2">
        <v>1518</v>
      </c>
      <c r="M62" s="3">
        <v>0.3432147562582345</v>
      </c>
      <c r="N62" s="6">
        <v>-0.8</v>
      </c>
    </row>
    <row r="63" spans="1:14" x14ac:dyDescent="0.2">
      <c r="A63" s="1" t="s">
        <v>83</v>
      </c>
      <c r="B63" s="1" t="s">
        <v>84</v>
      </c>
      <c r="C63" s="2">
        <v>1571</v>
      </c>
      <c r="D63" s="2">
        <v>1893</v>
      </c>
      <c r="E63" s="2"/>
      <c r="F63" s="2">
        <v>3464</v>
      </c>
      <c r="G63" s="3">
        <v>0.45352193995381063</v>
      </c>
      <c r="H63" s="3">
        <v>0.54647806004618937</v>
      </c>
      <c r="I63" s="1" t="s">
        <v>30</v>
      </c>
      <c r="J63" s="2">
        <v>1511</v>
      </c>
      <c r="K63" s="2">
        <v>2018</v>
      </c>
      <c r="L63" s="2">
        <v>3529</v>
      </c>
      <c r="M63" s="3">
        <v>0.42816661943893453</v>
      </c>
      <c r="N63" s="6">
        <v>2.54</v>
      </c>
    </row>
    <row r="64" spans="1:14" x14ac:dyDescent="0.2">
      <c r="A64" s="1" t="s">
        <v>83</v>
      </c>
      <c r="B64" s="1" t="s">
        <v>85</v>
      </c>
      <c r="C64" s="2">
        <v>1050</v>
      </c>
      <c r="D64" s="2">
        <v>1285</v>
      </c>
      <c r="E64" s="2"/>
      <c r="F64" s="2">
        <v>2335</v>
      </c>
      <c r="G64" s="3">
        <v>0.44967880085653111</v>
      </c>
      <c r="H64" s="3">
        <v>0.550321199143469</v>
      </c>
      <c r="I64" s="1" t="s">
        <v>30</v>
      </c>
      <c r="J64" s="2">
        <v>959</v>
      </c>
      <c r="K64" s="2">
        <v>1364</v>
      </c>
      <c r="L64" s="2">
        <v>2323</v>
      </c>
      <c r="M64" s="3">
        <v>0.4128282393456737</v>
      </c>
      <c r="N64" s="6">
        <v>3.69</v>
      </c>
    </row>
    <row r="65" spans="1:14" x14ac:dyDescent="0.2">
      <c r="A65" s="1" t="s">
        <v>83</v>
      </c>
      <c r="B65" s="1" t="s">
        <v>86</v>
      </c>
      <c r="C65" s="2">
        <v>642</v>
      </c>
      <c r="D65" s="2">
        <v>728</v>
      </c>
      <c r="E65" s="2"/>
      <c r="F65" s="2">
        <v>1370</v>
      </c>
      <c r="G65" s="3">
        <v>0.46861313868613141</v>
      </c>
      <c r="H65" s="3">
        <v>0.53138686131386859</v>
      </c>
      <c r="I65" s="1" t="s">
        <v>30</v>
      </c>
      <c r="J65" s="2">
        <v>623</v>
      </c>
      <c r="K65" s="2">
        <v>726</v>
      </c>
      <c r="L65" s="2">
        <v>1349</v>
      </c>
      <c r="M65" s="3">
        <v>0.46182357301704968</v>
      </c>
      <c r="N65" s="6">
        <v>0.68</v>
      </c>
    </row>
    <row r="66" spans="1:14" x14ac:dyDescent="0.2">
      <c r="A66" s="1" t="s">
        <v>83</v>
      </c>
      <c r="B66" s="1" t="s">
        <v>56</v>
      </c>
      <c r="C66" s="2">
        <v>17490</v>
      </c>
      <c r="D66" s="2">
        <v>8091</v>
      </c>
      <c r="E66" s="2"/>
      <c r="F66" s="2">
        <v>25581</v>
      </c>
      <c r="G66" s="3">
        <v>0.68371056643602679</v>
      </c>
      <c r="H66" s="3">
        <v>0.31628943356397332</v>
      </c>
      <c r="I66" s="1" t="s">
        <v>30</v>
      </c>
      <c r="J66" s="2">
        <v>17416</v>
      </c>
      <c r="K66" s="2">
        <v>8640</v>
      </c>
      <c r="L66" s="2">
        <v>26056</v>
      </c>
      <c r="M66" s="3">
        <v>0.66840650905741483</v>
      </c>
      <c r="N66" s="6">
        <v>1.53</v>
      </c>
    </row>
    <row r="67" spans="1:14" x14ac:dyDescent="0.2">
      <c r="A67" s="1" t="s">
        <v>83</v>
      </c>
      <c r="B67" s="1" t="s">
        <v>87</v>
      </c>
      <c r="C67" s="2">
        <v>8500</v>
      </c>
      <c r="D67" s="2">
        <v>7433</v>
      </c>
      <c r="E67" s="2"/>
      <c r="F67" s="2">
        <v>15933</v>
      </c>
      <c r="G67" s="3">
        <v>0.53348396409966736</v>
      </c>
      <c r="H67" s="3">
        <v>0.46651603590033258</v>
      </c>
      <c r="I67" s="1" t="s">
        <v>30</v>
      </c>
      <c r="J67" s="2">
        <v>8595</v>
      </c>
      <c r="K67" s="2">
        <v>7440</v>
      </c>
      <c r="L67" s="2">
        <v>16035</v>
      </c>
      <c r="M67" s="3">
        <v>0.53601496725912068</v>
      </c>
      <c r="N67" s="6">
        <v>-0.25</v>
      </c>
    </row>
    <row r="68" spans="1:14" x14ac:dyDescent="0.2">
      <c r="A68" s="1" t="s">
        <v>83</v>
      </c>
      <c r="B68" s="1" t="s">
        <v>88</v>
      </c>
      <c r="C68" s="2">
        <v>2191</v>
      </c>
      <c r="D68" s="2">
        <v>3425</v>
      </c>
      <c r="E68" s="2"/>
      <c r="F68" s="2">
        <v>5616</v>
      </c>
      <c r="G68" s="3">
        <v>0.39013532763532771</v>
      </c>
      <c r="H68" s="3">
        <v>0.60986467236467234</v>
      </c>
      <c r="I68" s="1" t="s">
        <v>30</v>
      </c>
      <c r="J68" s="2">
        <v>2169</v>
      </c>
      <c r="K68" s="2">
        <v>3459</v>
      </c>
      <c r="L68" s="2">
        <v>5628</v>
      </c>
      <c r="M68" s="3">
        <v>0.3853944562899787</v>
      </c>
      <c r="N68" s="6">
        <v>0.47</v>
      </c>
    </row>
    <row r="69" spans="1:14" x14ac:dyDescent="0.2">
      <c r="A69" s="1" t="s">
        <v>83</v>
      </c>
      <c r="B69" s="1" t="s">
        <v>89</v>
      </c>
      <c r="C69" s="2">
        <v>42</v>
      </c>
      <c r="D69" s="2">
        <v>79</v>
      </c>
      <c r="E69" s="2"/>
      <c r="F69" s="2">
        <v>121</v>
      </c>
      <c r="G69" s="3">
        <v>0.34710743801652888</v>
      </c>
      <c r="H69" s="3">
        <v>0.65289256198347112</v>
      </c>
      <c r="I69" s="1" t="s">
        <v>30</v>
      </c>
      <c r="J69" s="2">
        <v>40</v>
      </c>
      <c r="K69" s="2">
        <v>83</v>
      </c>
      <c r="L69" s="2">
        <v>123</v>
      </c>
      <c r="M69" s="3">
        <v>0.32520325203252032</v>
      </c>
      <c r="N69" s="6">
        <v>2.19</v>
      </c>
    </row>
    <row r="70" spans="1:14" x14ac:dyDescent="0.2">
      <c r="A70" s="1" t="s">
        <v>83</v>
      </c>
      <c r="B70" s="1" t="s">
        <v>90</v>
      </c>
      <c r="C70" s="2">
        <v>1479</v>
      </c>
      <c r="D70" s="2">
        <v>1890</v>
      </c>
      <c r="E70" s="2"/>
      <c r="F70" s="2">
        <v>3369</v>
      </c>
      <c r="G70" s="3">
        <v>0.43900267141585042</v>
      </c>
      <c r="H70" s="3">
        <v>0.56099732858414963</v>
      </c>
      <c r="I70" s="1" t="s">
        <v>30</v>
      </c>
      <c r="J70" s="2">
        <v>1484</v>
      </c>
      <c r="K70" s="2">
        <v>1959</v>
      </c>
      <c r="L70" s="2">
        <v>3443</v>
      </c>
      <c r="M70" s="3">
        <v>0.43101945977345341</v>
      </c>
      <c r="N70" s="6">
        <v>0.8</v>
      </c>
    </row>
    <row r="71" spans="1:14" x14ac:dyDescent="0.2">
      <c r="A71" s="1" t="s">
        <v>83</v>
      </c>
      <c r="B71" s="1" t="s">
        <v>91</v>
      </c>
      <c r="C71" s="2">
        <v>199</v>
      </c>
      <c r="D71" s="2">
        <v>312</v>
      </c>
      <c r="E71" s="2"/>
      <c r="F71" s="2">
        <v>511</v>
      </c>
      <c r="G71" s="3">
        <v>0.38943248532289632</v>
      </c>
      <c r="H71" s="3">
        <v>0.61056751467710368</v>
      </c>
      <c r="I71" s="1" t="s">
        <v>30</v>
      </c>
      <c r="J71" s="2">
        <v>217</v>
      </c>
      <c r="K71" s="2">
        <v>309</v>
      </c>
      <c r="L71" s="2">
        <v>526</v>
      </c>
      <c r="M71" s="3">
        <v>0.41254752851711018</v>
      </c>
      <c r="N71" s="6">
        <v>-2.31</v>
      </c>
    </row>
    <row r="72" spans="1:14" x14ac:dyDescent="0.2">
      <c r="A72" s="1" t="s">
        <v>83</v>
      </c>
      <c r="B72" s="1" t="s">
        <v>92</v>
      </c>
      <c r="C72" s="2">
        <v>7644</v>
      </c>
      <c r="D72" s="2">
        <v>2886</v>
      </c>
      <c r="E72" s="2"/>
      <c r="F72" s="2">
        <v>10530</v>
      </c>
      <c r="G72" s="3">
        <v>0.72592592592592597</v>
      </c>
      <c r="H72" s="3">
        <v>0.27407407407407408</v>
      </c>
      <c r="I72" s="1" t="s">
        <v>30</v>
      </c>
      <c r="J72" s="2">
        <v>7604</v>
      </c>
      <c r="K72" s="2">
        <v>3303</v>
      </c>
      <c r="L72" s="2">
        <v>10907</v>
      </c>
      <c r="M72" s="3">
        <v>0.69716695700009168</v>
      </c>
      <c r="N72" s="6">
        <v>2.88</v>
      </c>
    </row>
    <row r="73" spans="1:14" x14ac:dyDescent="0.2">
      <c r="A73" s="1" t="s">
        <v>83</v>
      </c>
      <c r="B73" s="1" t="s">
        <v>93</v>
      </c>
      <c r="C73" s="2">
        <v>5406</v>
      </c>
      <c r="D73" s="2">
        <v>4872</v>
      </c>
      <c r="E73" s="2"/>
      <c r="F73" s="2">
        <v>10278</v>
      </c>
      <c r="G73" s="3">
        <v>0.52597781669585519</v>
      </c>
      <c r="H73" s="3">
        <v>0.47402218330414481</v>
      </c>
      <c r="I73" s="1" t="s">
        <v>30</v>
      </c>
      <c r="J73" s="2">
        <v>5358</v>
      </c>
      <c r="K73" s="2">
        <v>5027</v>
      </c>
      <c r="L73" s="2">
        <v>10385</v>
      </c>
      <c r="M73" s="3">
        <v>0.51593644679826678</v>
      </c>
      <c r="N73" s="6">
        <v>1</v>
      </c>
    </row>
    <row r="74" spans="1:14" x14ac:dyDescent="0.2">
      <c r="A74" s="1" t="s">
        <v>83</v>
      </c>
      <c r="B74" s="1" t="s">
        <v>94</v>
      </c>
      <c r="C74" s="2">
        <v>730</v>
      </c>
      <c r="D74" s="2">
        <v>534</v>
      </c>
      <c r="E74" s="2"/>
      <c r="F74" s="2">
        <v>1264</v>
      </c>
      <c r="G74" s="3">
        <v>0.57753164556962022</v>
      </c>
      <c r="H74" s="3">
        <v>0.42246835443037972</v>
      </c>
      <c r="I74" s="1" t="s">
        <v>30</v>
      </c>
      <c r="J74" s="2">
        <v>714</v>
      </c>
      <c r="K74" s="2">
        <v>484</v>
      </c>
      <c r="L74" s="2">
        <v>1198</v>
      </c>
      <c r="M74" s="3">
        <v>0.59599332220367274</v>
      </c>
      <c r="N74" s="6">
        <v>-1.85</v>
      </c>
    </row>
    <row r="75" spans="1:14" x14ac:dyDescent="0.2">
      <c r="A75" s="1" t="s">
        <v>83</v>
      </c>
      <c r="B75" s="1" t="s">
        <v>95</v>
      </c>
      <c r="C75" s="2">
        <v>104</v>
      </c>
      <c r="D75" s="2">
        <v>101</v>
      </c>
      <c r="E75" s="2"/>
      <c r="F75" s="2">
        <v>205</v>
      </c>
      <c r="G75" s="3">
        <v>0.50731707317073171</v>
      </c>
      <c r="H75" s="3">
        <v>0.49268292682926829</v>
      </c>
      <c r="I75" s="1" t="s">
        <v>30</v>
      </c>
      <c r="J75" s="2">
        <v>109</v>
      </c>
      <c r="K75" s="2">
        <v>97</v>
      </c>
      <c r="L75" s="2">
        <v>206</v>
      </c>
      <c r="M75" s="3">
        <v>0.529126213592233</v>
      </c>
      <c r="N75" s="6">
        <v>-2.1800000000000002</v>
      </c>
    </row>
    <row r="76" spans="1:14" x14ac:dyDescent="0.2">
      <c r="A76" s="1" t="s">
        <v>83</v>
      </c>
      <c r="B76" s="1" t="s">
        <v>62</v>
      </c>
      <c r="C76" s="2">
        <v>4333</v>
      </c>
      <c r="D76" s="2">
        <v>3617</v>
      </c>
      <c r="E76" s="2"/>
      <c r="F76" s="2">
        <v>7950</v>
      </c>
      <c r="G76" s="3">
        <v>0.54503144654088054</v>
      </c>
      <c r="H76" s="3">
        <v>0.45496855345911952</v>
      </c>
      <c r="I76" s="1" t="s">
        <v>30</v>
      </c>
      <c r="J76" s="2">
        <v>4341</v>
      </c>
      <c r="K76" s="2">
        <v>3620</v>
      </c>
      <c r="L76" s="2">
        <v>7961</v>
      </c>
      <c r="M76" s="3">
        <v>0.5452832558723778</v>
      </c>
      <c r="N76" s="6">
        <v>-0.03</v>
      </c>
    </row>
    <row r="77" spans="1:14" x14ac:dyDescent="0.2">
      <c r="A77" s="1" t="s">
        <v>83</v>
      </c>
      <c r="B77" s="1" t="s">
        <v>96</v>
      </c>
      <c r="C77" s="2">
        <v>1762</v>
      </c>
      <c r="D77" s="2">
        <v>1596</v>
      </c>
      <c r="E77" s="2"/>
      <c r="F77" s="2">
        <v>3358</v>
      </c>
      <c r="G77" s="3">
        <v>0.52471709350804052</v>
      </c>
      <c r="H77" s="3">
        <v>0.47528290649195948</v>
      </c>
      <c r="I77" s="1" t="s">
        <v>30</v>
      </c>
      <c r="J77" s="2">
        <v>1726</v>
      </c>
      <c r="K77" s="2">
        <v>1685</v>
      </c>
      <c r="L77" s="2">
        <v>3411</v>
      </c>
      <c r="M77" s="3">
        <v>0.50600996775139251</v>
      </c>
      <c r="N77" s="6">
        <v>1.87</v>
      </c>
    </row>
    <row r="78" spans="1:14" x14ac:dyDescent="0.2">
      <c r="A78" s="1" t="s">
        <v>83</v>
      </c>
      <c r="B78" s="1" t="s">
        <v>97</v>
      </c>
      <c r="C78" s="2">
        <v>2257</v>
      </c>
      <c r="D78" s="2">
        <v>4392</v>
      </c>
      <c r="E78" s="2"/>
      <c r="F78" s="2">
        <v>6649</v>
      </c>
      <c r="G78" s="3">
        <v>0.33944954128440369</v>
      </c>
      <c r="H78" s="3">
        <v>0.66055045871559637</v>
      </c>
      <c r="I78" s="1" t="s">
        <v>30</v>
      </c>
      <c r="J78" s="2">
        <v>2244</v>
      </c>
      <c r="K78" s="2">
        <v>4439</v>
      </c>
      <c r="L78" s="2">
        <v>6683</v>
      </c>
      <c r="M78" s="3">
        <v>0.3357773455035164</v>
      </c>
      <c r="N78" s="6">
        <v>0.37</v>
      </c>
    </row>
    <row r="79" spans="1:14" x14ac:dyDescent="0.2">
      <c r="A79" s="1" t="s">
        <v>83</v>
      </c>
      <c r="B79" s="1" t="s">
        <v>98</v>
      </c>
      <c r="C79" s="2">
        <v>633</v>
      </c>
      <c r="D79" s="2">
        <v>1158</v>
      </c>
      <c r="E79" s="2"/>
      <c r="F79" s="2">
        <v>1791</v>
      </c>
      <c r="G79" s="3">
        <v>0.35343383584589622</v>
      </c>
      <c r="H79" s="3">
        <v>0.64656616415410384</v>
      </c>
      <c r="I79" s="1" t="s">
        <v>30</v>
      </c>
      <c r="J79" s="2">
        <v>625</v>
      </c>
      <c r="K79" s="2">
        <v>1214</v>
      </c>
      <c r="L79" s="2">
        <v>1839</v>
      </c>
      <c r="M79" s="3">
        <v>0.33985861881457308</v>
      </c>
      <c r="N79" s="6">
        <v>1.36</v>
      </c>
    </row>
    <row r="80" spans="1:14" x14ac:dyDescent="0.2">
      <c r="A80" s="1" t="s">
        <v>83</v>
      </c>
      <c r="B80" s="1" t="s">
        <v>99</v>
      </c>
      <c r="C80" s="2">
        <v>2031</v>
      </c>
      <c r="D80" s="2">
        <v>2523</v>
      </c>
      <c r="E80" s="2"/>
      <c r="F80" s="2">
        <v>4554</v>
      </c>
      <c r="G80" s="3">
        <v>0.44598155467720679</v>
      </c>
      <c r="H80" s="3">
        <v>0.5540184453227931</v>
      </c>
      <c r="I80" s="1" t="s">
        <v>30</v>
      </c>
      <c r="J80" s="2">
        <v>2047</v>
      </c>
      <c r="K80" s="2">
        <v>2499</v>
      </c>
      <c r="L80" s="2">
        <v>4546</v>
      </c>
      <c r="M80" s="3">
        <v>0.45028596568411788</v>
      </c>
      <c r="N80" s="6">
        <v>-0.43</v>
      </c>
    </row>
    <row r="81" spans="1:14" x14ac:dyDescent="0.2">
      <c r="A81" s="1" t="s">
        <v>83</v>
      </c>
      <c r="B81" s="1" t="s">
        <v>100</v>
      </c>
      <c r="C81" s="2">
        <v>3517</v>
      </c>
      <c r="D81" s="2">
        <v>3706</v>
      </c>
      <c r="E81" s="2"/>
      <c r="F81" s="2">
        <v>7223</v>
      </c>
      <c r="G81" s="3">
        <v>0.48691679357607642</v>
      </c>
      <c r="H81" s="3">
        <v>0.51308320642392358</v>
      </c>
      <c r="I81" s="1" t="s">
        <v>30</v>
      </c>
      <c r="J81" s="2">
        <v>3457</v>
      </c>
      <c r="K81" s="2">
        <v>3805</v>
      </c>
      <c r="L81" s="2">
        <v>7262</v>
      </c>
      <c r="M81" s="3">
        <v>0.47603965849628199</v>
      </c>
      <c r="N81" s="6">
        <v>1.0900000000000001</v>
      </c>
    </row>
    <row r="82" spans="1:14" x14ac:dyDescent="0.2">
      <c r="A82" s="1" t="s">
        <v>83</v>
      </c>
      <c r="B82" s="1" t="s">
        <v>101</v>
      </c>
      <c r="C82" s="2">
        <v>2015</v>
      </c>
      <c r="D82" s="2">
        <v>3933</v>
      </c>
      <c r="E82" s="2"/>
      <c r="F82" s="2">
        <v>5948</v>
      </c>
      <c r="G82" s="3">
        <v>0.33876933422999328</v>
      </c>
      <c r="H82" s="3">
        <v>0.66123066577000678</v>
      </c>
      <c r="I82" s="1" t="s">
        <v>30</v>
      </c>
      <c r="J82" s="2">
        <v>2006</v>
      </c>
      <c r="K82" s="2">
        <v>4057</v>
      </c>
      <c r="L82" s="2">
        <v>6063</v>
      </c>
      <c r="M82" s="3">
        <v>0.33085931057232387</v>
      </c>
      <c r="N82" s="6">
        <v>0.79</v>
      </c>
    </row>
    <row r="83" spans="1:14" x14ac:dyDescent="0.2">
      <c r="A83" s="1" t="s">
        <v>83</v>
      </c>
      <c r="B83" s="1" t="s">
        <v>102</v>
      </c>
      <c r="C83" s="2">
        <v>1616</v>
      </c>
      <c r="D83" s="2">
        <v>1550</v>
      </c>
      <c r="E83" s="2"/>
      <c r="F83" s="2">
        <v>3166</v>
      </c>
      <c r="G83" s="3">
        <v>0.51042324699936825</v>
      </c>
      <c r="H83" s="3">
        <v>0.48957675300063169</v>
      </c>
      <c r="I83" s="1" t="s">
        <v>30</v>
      </c>
      <c r="J83" s="2">
        <v>1596</v>
      </c>
      <c r="K83" s="2">
        <v>1664</v>
      </c>
      <c r="L83" s="2">
        <v>3260</v>
      </c>
      <c r="M83" s="3">
        <v>0.48957055214723932</v>
      </c>
      <c r="N83" s="6">
        <v>2.09</v>
      </c>
    </row>
    <row r="84" spans="1:14" x14ac:dyDescent="0.2">
      <c r="A84" s="1" t="s">
        <v>83</v>
      </c>
      <c r="B84" s="1" t="s">
        <v>103</v>
      </c>
      <c r="C84" s="2">
        <v>893</v>
      </c>
      <c r="D84" s="2">
        <v>882</v>
      </c>
      <c r="E84" s="2"/>
      <c r="F84" s="2">
        <v>1775</v>
      </c>
      <c r="G84" s="3">
        <v>0.50309859154929581</v>
      </c>
      <c r="H84" s="3">
        <v>0.49690140845070419</v>
      </c>
      <c r="I84" s="1" t="s">
        <v>30</v>
      </c>
      <c r="J84" s="2">
        <v>847</v>
      </c>
      <c r="K84" s="2">
        <v>889</v>
      </c>
      <c r="L84" s="2">
        <v>1736</v>
      </c>
      <c r="M84" s="3">
        <v>0.48790322580645162</v>
      </c>
      <c r="N84" s="6">
        <v>1.52</v>
      </c>
    </row>
    <row r="85" spans="1:14" x14ac:dyDescent="0.2">
      <c r="A85" s="1" t="s">
        <v>83</v>
      </c>
      <c r="B85" s="1" t="s">
        <v>104</v>
      </c>
      <c r="C85" s="2">
        <v>2849</v>
      </c>
      <c r="D85" s="2">
        <v>2855</v>
      </c>
      <c r="E85" s="2"/>
      <c r="F85" s="2">
        <v>5704</v>
      </c>
      <c r="G85" s="3">
        <v>0.4994740532959327</v>
      </c>
      <c r="H85" s="3">
        <v>0.50052594670406736</v>
      </c>
      <c r="I85" s="1" t="s">
        <v>30</v>
      </c>
      <c r="J85" s="2">
        <v>2573</v>
      </c>
      <c r="K85" s="2">
        <v>3023</v>
      </c>
      <c r="L85" s="2">
        <v>5596</v>
      </c>
      <c r="M85" s="3">
        <v>0.45979270907791281</v>
      </c>
      <c r="N85" s="6">
        <v>3.97</v>
      </c>
    </row>
    <row r="86" spans="1:14" x14ac:dyDescent="0.2">
      <c r="A86" s="1" t="s">
        <v>83</v>
      </c>
      <c r="B86" s="1" t="s">
        <v>105</v>
      </c>
      <c r="C86" s="2">
        <v>7254</v>
      </c>
      <c r="D86" s="2">
        <v>6540</v>
      </c>
      <c r="E86" s="2"/>
      <c r="F86" s="2">
        <v>13794</v>
      </c>
      <c r="G86" s="3">
        <v>0.52588081774684647</v>
      </c>
      <c r="H86" s="3">
        <v>0.47411918225315353</v>
      </c>
      <c r="I86" s="1" t="s">
        <v>30</v>
      </c>
      <c r="J86" s="2">
        <v>6974</v>
      </c>
      <c r="K86" s="2">
        <v>6736</v>
      </c>
      <c r="L86" s="2">
        <v>13710</v>
      </c>
      <c r="M86" s="3">
        <v>0.50867979576951128</v>
      </c>
      <c r="N86" s="6">
        <v>1.72</v>
      </c>
    </row>
    <row r="87" spans="1:14" x14ac:dyDescent="0.2">
      <c r="A87" s="1" t="s">
        <v>83</v>
      </c>
      <c r="B87" s="1" t="s">
        <v>106</v>
      </c>
      <c r="C87" s="2">
        <v>729</v>
      </c>
      <c r="D87" s="2">
        <v>1117</v>
      </c>
      <c r="E87" s="2"/>
      <c r="F87" s="2">
        <v>1846</v>
      </c>
      <c r="G87" s="3">
        <v>0.39490790899241601</v>
      </c>
      <c r="H87" s="3">
        <v>0.60509209100758399</v>
      </c>
      <c r="I87" s="1" t="s">
        <v>30</v>
      </c>
      <c r="J87" s="2">
        <v>703</v>
      </c>
      <c r="K87" s="2">
        <v>1180</v>
      </c>
      <c r="L87" s="2">
        <v>1883</v>
      </c>
      <c r="M87" s="3">
        <v>0.37334041423260761</v>
      </c>
      <c r="N87" s="6">
        <v>2.16</v>
      </c>
    </row>
    <row r="88" spans="1:14" x14ac:dyDescent="0.2">
      <c r="A88" s="1" t="s">
        <v>83</v>
      </c>
      <c r="B88" s="1" t="s">
        <v>107</v>
      </c>
      <c r="C88" s="2">
        <v>1338</v>
      </c>
      <c r="D88" s="2">
        <v>2612</v>
      </c>
      <c r="E88" s="2"/>
      <c r="F88" s="2">
        <v>3950</v>
      </c>
      <c r="G88" s="3">
        <v>0.33873417721518989</v>
      </c>
      <c r="H88" s="3">
        <v>0.66126582278481016</v>
      </c>
      <c r="I88" s="1" t="s">
        <v>30</v>
      </c>
      <c r="J88" s="2">
        <v>1361</v>
      </c>
      <c r="K88" s="2">
        <v>2561</v>
      </c>
      <c r="L88" s="2">
        <v>3922</v>
      </c>
      <c r="M88" s="3">
        <v>0.34701682814890361</v>
      </c>
      <c r="N88" s="6">
        <v>-0.83</v>
      </c>
    </row>
    <row r="89" spans="1:14" x14ac:dyDescent="0.2">
      <c r="A89" s="1" t="s">
        <v>83</v>
      </c>
      <c r="B89" s="1" t="s">
        <v>108</v>
      </c>
      <c r="C89" s="2">
        <v>81</v>
      </c>
      <c r="D89" s="2">
        <v>168</v>
      </c>
      <c r="E89" s="2"/>
      <c r="F89" s="2">
        <v>249</v>
      </c>
      <c r="G89" s="3">
        <v>0.3253012048192771</v>
      </c>
      <c r="H89" s="3">
        <v>0.67469879518072284</v>
      </c>
      <c r="I89" s="1" t="s">
        <v>30</v>
      </c>
      <c r="J89" s="2">
        <v>92</v>
      </c>
      <c r="K89" s="2">
        <v>167</v>
      </c>
      <c r="L89" s="2">
        <v>259</v>
      </c>
      <c r="M89" s="3">
        <v>0.35521235521235522</v>
      </c>
      <c r="N89" s="6">
        <v>-2.99</v>
      </c>
    </row>
    <row r="90" spans="1:14" x14ac:dyDescent="0.2">
      <c r="A90" s="1" t="s">
        <v>83</v>
      </c>
      <c r="B90" s="1" t="s">
        <v>109</v>
      </c>
      <c r="C90" s="2">
        <v>356</v>
      </c>
      <c r="D90" s="2">
        <v>576</v>
      </c>
      <c r="E90" s="2"/>
      <c r="F90" s="2">
        <v>932</v>
      </c>
      <c r="G90" s="3">
        <v>0.38197424892703857</v>
      </c>
      <c r="H90" s="3">
        <v>0.61802575107296143</v>
      </c>
      <c r="I90" s="1" t="s">
        <v>30</v>
      </c>
      <c r="J90" s="2">
        <v>335</v>
      </c>
      <c r="K90" s="2">
        <v>581</v>
      </c>
      <c r="L90" s="2">
        <v>916</v>
      </c>
      <c r="M90" s="3">
        <v>0.36572052401746719</v>
      </c>
      <c r="N90" s="6">
        <v>1.63</v>
      </c>
    </row>
    <row r="91" spans="1:14" x14ac:dyDescent="0.2">
      <c r="A91" s="1" t="s">
        <v>83</v>
      </c>
      <c r="B91" s="1" t="s">
        <v>110</v>
      </c>
      <c r="C91" s="2">
        <v>213</v>
      </c>
      <c r="D91" s="2">
        <v>302</v>
      </c>
      <c r="E91" s="2"/>
      <c r="F91" s="2">
        <v>515</v>
      </c>
      <c r="G91" s="3">
        <v>0.41359223300970882</v>
      </c>
      <c r="H91" s="3">
        <v>0.58640776699029129</v>
      </c>
      <c r="I91" s="1" t="s">
        <v>30</v>
      </c>
      <c r="J91" s="2">
        <v>210</v>
      </c>
      <c r="K91" s="2">
        <v>309</v>
      </c>
      <c r="L91" s="2">
        <v>519</v>
      </c>
      <c r="M91" s="3">
        <v>0.40462427745664742</v>
      </c>
      <c r="N91" s="6">
        <v>0.9</v>
      </c>
    </row>
    <row r="92" spans="1:14" x14ac:dyDescent="0.2">
      <c r="A92" s="1" t="s">
        <v>83</v>
      </c>
      <c r="B92" s="1" t="s">
        <v>111</v>
      </c>
      <c r="C92" s="2">
        <v>336</v>
      </c>
      <c r="D92" s="2">
        <v>436</v>
      </c>
      <c r="E92" s="2"/>
      <c r="F92" s="2">
        <v>772</v>
      </c>
      <c r="G92" s="3">
        <v>0.43523316062176159</v>
      </c>
      <c r="H92" s="3">
        <v>0.56476683937823835</v>
      </c>
      <c r="I92" s="1" t="s">
        <v>30</v>
      </c>
      <c r="J92" s="2">
        <v>331</v>
      </c>
      <c r="K92" s="2">
        <v>458</v>
      </c>
      <c r="L92" s="2">
        <v>789</v>
      </c>
      <c r="M92" s="3">
        <v>0.41951837769328271</v>
      </c>
      <c r="N92" s="6">
        <v>1.57</v>
      </c>
    </row>
    <row r="93" spans="1:14" x14ac:dyDescent="0.2">
      <c r="A93" s="1" t="s">
        <v>83</v>
      </c>
      <c r="B93" s="1" t="s">
        <v>112</v>
      </c>
      <c r="C93" s="2">
        <v>1219</v>
      </c>
      <c r="D93" s="2">
        <v>2640</v>
      </c>
      <c r="E93" s="2"/>
      <c r="F93" s="2">
        <v>3859</v>
      </c>
      <c r="G93" s="3">
        <v>0.31588494428608449</v>
      </c>
      <c r="H93" s="3">
        <v>0.68411505571391551</v>
      </c>
      <c r="I93" s="1" t="s">
        <v>30</v>
      </c>
      <c r="J93" s="2">
        <v>1242</v>
      </c>
      <c r="K93" s="2">
        <v>2716</v>
      </c>
      <c r="L93" s="2">
        <v>3958</v>
      </c>
      <c r="M93" s="3">
        <v>0.31379484588175849</v>
      </c>
      <c r="N93" s="6">
        <v>0.21</v>
      </c>
    </row>
    <row r="94" spans="1:14" x14ac:dyDescent="0.2">
      <c r="A94" s="1" t="s">
        <v>83</v>
      </c>
      <c r="B94" s="1" t="s">
        <v>113</v>
      </c>
      <c r="C94" s="2">
        <v>2044</v>
      </c>
      <c r="D94" s="2">
        <v>2025</v>
      </c>
      <c r="E94" s="2"/>
      <c r="F94" s="2">
        <v>4069</v>
      </c>
      <c r="G94" s="3">
        <v>0.50233472597689854</v>
      </c>
      <c r="H94" s="3">
        <v>0.49766527402310151</v>
      </c>
      <c r="I94" s="1" t="s">
        <v>30</v>
      </c>
      <c r="J94" s="2">
        <v>1964</v>
      </c>
      <c r="K94" s="2">
        <v>2147</v>
      </c>
      <c r="L94" s="2">
        <v>4111</v>
      </c>
      <c r="M94" s="3">
        <v>0.47774264169301872</v>
      </c>
      <c r="N94" s="6">
        <v>2.46</v>
      </c>
    </row>
    <row r="95" spans="1:14" x14ac:dyDescent="0.2">
      <c r="A95" s="1" t="s">
        <v>83</v>
      </c>
      <c r="B95" s="1" t="s">
        <v>114</v>
      </c>
      <c r="C95" s="2">
        <v>446</v>
      </c>
      <c r="D95" s="2">
        <v>615</v>
      </c>
      <c r="E95" s="2"/>
      <c r="F95" s="2">
        <v>1061</v>
      </c>
      <c r="G95" s="3">
        <v>0.42035815268614513</v>
      </c>
      <c r="H95" s="3">
        <v>0.57964184731385482</v>
      </c>
      <c r="I95" s="1" t="s">
        <v>30</v>
      </c>
      <c r="J95" s="2">
        <v>416</v>
      </c>
      <c r="K95" s="2">
        <v>658</v>
      </c>
      <c r="L95" s="2">
        <v>1074</v>
      </c>
      <c r="M95" s="3">
        <v>0.38733705772811922</v>
      </c>
      <c r="N95" s="6">
        <v>3.3</v>
      </c>
    </row>
    <row r="96" spans="1:14" x14ac:dyDescent="0.2">
      <c r="A96" s="1" t="s">
        <v>83</v>
      </c>
      <c r="B96" s="1" t="s">
        <v>115</v>
      </c>
      <c r="C96" s="2">
        <v>1071</v>
      </c>
      <c r="D96" s="2">
        <v>2006</v>
      </c>
      <c r="E96" s="2"/>
      <c r="F96" s="2">
        <v>3077</v>
      </c>
      <c r="G96" s="3">
        <v>0.34806629834254138</v>
      </c>
      <c r="H96" s="3">
        <v>0.65193370165745856</v>
      </c>
      <c r="I96" s="1" t="s">
        <v>30</v>
      </c>
      <c r="J96" s="2">
        <v>1041</v>
      </c>
      <c r="K96" s="2">
        <v>2088</v>
      </c>
      <c r="L96" s="2">
        <v>3129</v>
      </c>
      <c r="M96" s="3">
        <v>0.33269415148609782</v>
      </c>
      <c r="N96" s="6">
        <v>1.54</v>
      </c>
    </row>
    <row r="97" spans="1:14" x14ac:dyDescent="0.2">
      <c r="A97" s="1" t="s">
        <v>83</v>
      </c>
      <c r="B97" s="1" t="s">
        <v>116</v>
      </c>
      <c r="C97" s="2">
        <v>292</v>
      </c>
      <c r="D97" s="2">
        <v>315</v>
      </c>
      <c r="E97" s="2"/>
      <c r="F97" s="2">
        <v>607</v>
      </c>
      <c r="G97" s="3">
        <v>0.48105436573311372</v>
      </c>
      <c r="H97" s="3">
        <v>0.51894563426688634</v>
      </c>
      <c r="I97" s="1" t="s">
        <v>30</v>
      </c>
      <c r="J97" s="2">
        <v>281</v>
      </c>
      <c r="K97" s="2">
        <v>310</v>
      </c>
      <c r="L97" s="2">
        <v>591</v>
      </c>
      <c r="M97" s="3">
        <v>0.47546531302876482</v>
      </c>
      <c r="N97" s="6">
        <v>0.56000000000000005</v>
      </c>
    </row>
    <row r="98" spans="1:14" x14ac:dyDescent="0.2">
      <c r="A98" s="1" t="s">
        <v>83</v>
      </c>
      <c r="B98" s="1" t="s">
        <v>117</v>
      </c>
      <c r="C98" s="2">
        <v>1845</v>
      </c>
      <c r="D98" s="2">
        <v>2344</v>
      </c>
      <c r="E98" s="2"/>
      <c r="F98" s="2">
        <v>4189</v>
      </c>
      <c r="G98" s="3">
        <v>0.44043924564335157</v>
      </c>
      <c r="H98" s="3">
        <v>0.55956075435664832</v>
      </c>
      <c r="I98" s="1" t="s">
        <v>30</v>
      </c>
      <c r="J98" s="2">
        <v>1847</v>
      </c>
      <c r="K98" s="2">
        <v>2401</v>
      </c>
      <c r="L98" s="2">
        <v>4248</v>
      </c>
      <c r="M98" s="3">
        <v>0.43479284369114879</v>
      </c>
      <c r="N98" s="6">
        <v>0.56000000000000005</v>
      </c>
    </row>
    <row r="99" spans="1:14" x14ac:dyDescent="0.2">
      <c r="A99" s="1" t="s">
        <v>83</v>
      </c>
      <c r="B99" s="1" t="s">
        <v>118</v>
      </c>
      <c r="C99" s="2">
        <v>1960</v>
      </c>
      <c r="D99" s="2">
        <v>1446</v>
      </c>
      <c r="E99" s="2"/>
      <c r="F99" s="2">
        <v>3406</v>
      </c>
      <c r="G99" s="3">
        <v>0.57545507927187312</v>
      </c>
      <c r="H99" s="3">
        <v>0.42454492072812677</v>
      </c>
      <c r="I99" s="1" t="s">
        <v>30</v>
      </c>
      <c r="J99" s="2">
        <v>1897</v>
      </c>
      <c r="K99" s="2">
        <v>1538</v>
      </c>
      <c r="L99" s="2">
        <v>3435</v>
      </c>
      <c r="M99" s="3">
        <v>0.55225618631732165</v>
      </c>
      <c r="N99" s="6">
        <v>2.3199999999999998</v>
      </c>
    </row>
    <row r="100" spans="1:14" x14ac:dyDescent="0.2">
      <c r="A100" s="1" t="s">
        <v>83</v>
      </c>
      <c r="B100" s="1" t="s">
        <v>119</v>
      </c>
      <c r="C100" s="2">
        <v>691</v>
      </c>
      <c r="D100" s="2">
        <v>835</v>
      </c>
      <c r="E100" s="2"/>
      <c r="F100" s="2">
        <v>1526</v>
      </c>
      <c r="G100" s="3">
        <v>0.45281782437745738</v>
      </c>
      <c r="H100" s="3">
        <v>0.54718217562254257</v>
      </c>
      <c r="I100" s="1" t="s">
        <v>30</v>
      </c>
      <c r="J100" s="2">
        <v>634</v>
      </c>
      <c r="K100" s="2">
        <v>856</v>
      </c>
      <c r="L100" s="2">
        <v>1490</v>
      </c>
      <c r="M100" s="3">
        <v>0.42550335570469799</v>
      </c>
      <c r="N100" s="6">
        <v>2.73</v>
      </c>
    </row>
  </sheetData>
  <mergeCells count="5">
    <mergeCell ref="A10:I10"/>
    <mergeCell ref="A1:I1"/>
    <mergeCell ref="A9:I9"/>
    <mergeCell ref="A3:I3"/>
    <mergeCell ref="A6:I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81"/>
  <sheetViews>
    <sheetView workbookViewId="0"/>
  </sheetViews>
  <sheetFormatPr baseColWidth="10" defaultColWidth="8.83203125" defaultRowHeight="15" x14ac:dyDescent="0.2"/>
  <cols>
    <col min="1" max="1" width="12" customWidth="1"/>
    <col min="2" max="2" width="26" customWidth="1"/>
    <col min="3" max="3" width="31.5" customWidth="1"/>
    <col min="4" max="4" width="14" customWidth="1"/>
    <col min="5" max="5" width="16" customWidth="1"/>
    <col min="6" max="6" width="12" customWidth="1"/>
    <col min="7" max="7" width="13" customWidth="1"/>
    <col min="8" max="8" width="15" customWidth="1"/>
    <col min="9" max="9" width="37.1640625" customWidth="1"/>
    <col min="10" max="10" width="14" customWidth="1"/>
    <col min="11" max="11" width="16" customWidth="1"/>
    <col min="12" max="12" width="14" customWidth="1"/>
    <col min="13" max="13" width="13" customWidth="1"/>
    <col min="14" max="14" width="20" customWidth="1"/>
  </cols>
  <sheetData>
    <row r="1" spans="1:14" x14ac:dyDescent="0.2">
      <c r="A1" s="7" t="s">
        <v>520</v>
      </c>
      <c r="B1" s="8"/>
      <c r="C1" s="8"/>
      <c r="D1" s="8"/>
      <c r="E1" s="8"/>
      <c r="F1" s="8"/>
      <c r="G1" s="8"/>
      <c r="H1" s="8"/>
      <c r="I1" s="8"/>
    </row>
    <row r="2" spans="1:14" x14ac:dyDescent="0.2">
      <c r="A2" s="1" t="s">
        <v>521</v>
      </c>
      <c r="B2" s="1"/>
      <c r="C2" s="1"/>
      <c r="D2" s="1"/>
      <c r="E2" s="1"/>
      <c r="F2" s="1"/>
      <c r="G2" s="1"/>
      <c r="H2" s="1"/>
      <c r="I2" s="1"/>
    </row>
    <row r="3" spans="1:14" x14ac:dyDescent="0.2">
      <c r="A3" s="7" t="s">
        <v>508</v>
      </c>
      <c r="B3" s="8"/>
      <c r="C3" s="8"/>
      <c r="D3" s="8"/>
      <c r="E3" s="8"/>
      <c r="F3" s="8"/>
      <c r="G3" s="8"/>
      <c r="H3" s="8"/>
      <c r="I3" s="8"/>
    </row>
    <row r="4" spans="1:14" x14ac:dyDescent="0.2">
      <c r="A4" s="1" t="s">
        <v>3</v>
      </c>
      <c r="B4" s="1" t="s">
        <v>4</v>
      </c>
      <c r="C4" s="1" t="s">
        <v>5</v>
      </c>
      <c r="D4" s="1" t="s">
        <v>509</v>
      </c>
      <c r="E4" s="1" t="s">
        <v>7</v>
      </c>
      <c r="F4" s="1" t="s">
        <v>9</v>
      </c>
      <c r="G4" s="1" t="s">
        <v>10</v>
      </c>
      <c r="H4" s="1"/>
      <c r="I4" s="1"/>
    </row>
    <row r="5" spans="1:14" x14ac:dyDescent="0.2">
      <c r="A5" s="1"/>
      <c r="B5" s="1"/>
      <c r="C5" s="1"/>
      <c r="D5" s="1"/>
      <c r="E5" s="1"/>
      <c r="F5" s="1"/>
      <c r="G5" s="1"/>
      <c r="H5" s="1"/>
      <c r="I5" s="1"/>
    </row>
    <row r="6" spans="1:14" x14ac:dyDescent="0.2">
      <c r="A6" s="7" t="s">
        <v>510</v>
      </c>
      <c r="B6" s="8"/>
      <c r="C6" s="8"/>
      <c r="D6" s="8"/>
      <c r="E6" s="8"/>
      <c r="F6" s="8"/>
      <c r="G6" s="8"/>
      <c r="H6" s="8"/>
      <c r="I6" s="8"/>
    </row>
    <row r="7" spans="1:14" x14ac:dyDescent="0.2">
      <c r="A7" s="1" t="s">
        <v>12</v>
      </c>
      <c r="B7" s="1" t="s">
        <v>123</v>
      </c>
      <c r="C7" s="1" t="s">
        <v>124</v>
      </c>
      <c r="D7" s="1" t="s">
        <v>511</v>
      </c>
      <c r="E7" s="1" t="s">
        <v>14</v>
      </c>
      <c r="F7" s="1" t="s">
        <v>16</v>
      </c>
      <c r="G7" s="1" t="s">
        <v>512</v>
      </c>
      <c r="H7" s="1" t="s">
        <v>18</v>
      </c>
      <c r="I7" s="1" t="s">
        <v>19</v>
      </c>
      <c r="J7" s="1" t="s">
        <v>513</v>
      </c>
      <c r="K7" s="1" t="s">
        <v>514</v>
      </c>
      <c r="L7" s="1" t="s">
        <v>515</v>
      </c>
      <c r="M7" s="1" t="s">
        <v>516</v>
      </c>
      <c r="N7" s="1" t="s">
        <v>517</v>
      </c>
    </row>
    <row r="8" spans="1:14" x14ac:dyDescent="0.2">
      <c r="A8" s="1" t="s">
        <v>20</v>
      </c>
      <c r="B8" s="1" t="s">
        <v>125</v>
      </c>
      <c r="C8" s="1"/>
      <c r="D8" s="2">
        <f>SUM(D12:D381)</f>
        <v>204995</v>
      </c>
      <c r="E8" s="2">
        <f>SUM(E12:E381)</f>
        <v>196382</v>
      </c>
      <c r="F8" s="2">
        <f>D8+E8</f>
        <v>401377</v>
      </c>
      <c r="G8" s="3">
        <f>IF(F8=0,"",D8/F8)</f>
        <v>0.51072931433540036</v>
      </c>
      <c r="H8" s="3">
        <f>IF(F8=0,"",E8/F8)</f>
        <v>0.48927068566459964</v>
      </c>
      <c r="I8" s="1" t="s">
        <v>518</v>
      </c>
      <c r="J8" s="2">
        <f>SUM(J12:J381)</f>
        <v>180335</v>
      </c>
      <c r="K8" s="2">
        <f>SUM(K12:K381)</f>
        <v>184501</v>
      </c>
      <c r="L8" s="2">
        <f>J8+K8</f>
        <v>364836</v>
      </c>
      <c r="M8" s="3">
        <f>IF(L8=0,"",J8/L8)</f>
        <v>0.49429058535890097</v>
      </c>
      <c r="N8" s="6">
        <f>IF(L8=0,"",(G8-M8)*100)</f>
        <v>1.6438728976499395</v>
      </c>
    </row>
    <row r="9" spans="1:14" x14ac:dyDescent="0.2">
      <c r="A9" s="7" t="s">
        <v>519</v>
      </c>
      <c r="B9" s="8"/>
      <c r="C9" s="8"/>
      <c r="D9" s="8"/>
      <c r="E9" s="8"/>
      <c r="F9" s="8"/>
      <c r="G9" s="8"/>
      <c r="H9" s="8"/>
      <c r="I9" s="8"/>
    </row>
    <row r="10" spans="1:14" x14ac:dyDescent="0.2">
      <c r="A10" s="7" t="s">
        <v>127</v>
      </c>
      <c r="B10" s="8"/>
      <c r="C10" s="8"/>
      <c r="D10" s="8"/>
      <c r="E10" s="8"/>
      <c r="F10" s="8"/>
      <c r="G10" s="8"/>
      <c r="H10" s="8"/>
      <c r="I10" s="8"/>
    </row>
    <row r="11" spans="1:14" ht="31.5" customHeight="1" x14ac:dyDescent="0.2">
      <c r="A11" s="1" t="s">
        <v>25</v>
      </c>
      <c r="B11" s="1" t="s">
        <v>26</v>
      </c>
      <c r="C11" s="1" t="s">
        <v>128</v>
      </c>
      <c r="D11" s="1" t="s">
        <v>511</v>
      </c>
      <c r="E11" s="1" t="s">
        <v>14</v>
      </c>
      <c r="F11" s="1" t="s">
        <v>16</v>
      </c>
      <c r="G11" s="1" t="s">
        <v>512</v>
      </c>
      <c r="H11" s="1" t="s">
        <v>18</v>
      </c>
      <c r="I11" s="1" t="s">
        <v>27</v>
      </c>
      <c r="J11" s="1" t="s">
        <v>513</v>
      </c>
      <c r="K11" s="1" t="s">
        <v>514</v>
      </c>
      <c r="L11" s="1" t="s">
        <v>515</v>
      </c>
      <c r="M11" s="1" t="s">
        <v>516</v>
      </c>
      <c r="N11" s="1" t="s">
        <v>517</v>
      </c>
    </row>
    <row r="12" spans="1:14" x14ac:dyDescent="0.2">
      <c r="A12" s="1" t="s">
        <v>28</v>
      </c>
      <c r="B12" s="1" t="s">
        <v>29</v>
      </c>
      <c r="C12" s="1" t="s">
        <v>29</v>
      </c>
      <c r="D12" s="2">
        <v>150</v>
      </c>
      <c r="E12" s="2">
        <v>288</v>
      </c>
      <c r="F12" s="2">
        <f t="shared" ref="F12:F75" si="0">IF(COUNTA(D12:E12)=0,"",SUM(D12:E12))</f>
        <v>438</v>
      </c>
      <c r="G12" s="3">
        <f t="shared" ref="G12:G75" si="1">IF(OR(F12="",F12=0),"",D12/F12)</f>
        <v>0.34246575342465752</v>
      </c>
      <c r="H12" s="3">
        <f t="shared" ref="H12:H75" si="2">IF(OR(F12="",F12=0),"",E12/F12)</f>
        <v>0.65753424657534243</v>
      </c>
      <c r="I12" s="1" t="s">
        <v>522</v>
      </c>
      <c r="J12" s="2">
        <v>181</v>
      </c>
      <c r="K12" s="2">
        <v>284</v>
      </c>
      <c r="L12" s="2">
        <v>465</v>
      </c>
      <c r="M12" s="3">
        <v>0.38924731182795702</v>
      </c>
      <c r="N12" s="6">
        <v>-4.68</v>
      </c>
    </row>
    <row r="13" spans="1:14" x14ac:dyDescent="0.2">
      <c r="A13" s="1" t="s">
        <v>28</v>
      </c>
      <c r="B13" s="1" t="s">
        <v>31</v>
      </c>
      <c r="C13" s="1" t="s">
        <v>31</v>
      </c>
      <c r="D13" s="2">
        <v>104</v>
      </c>
      <c r="E13" s="2">
        <v>300</v>
      </c>
      <c r="F13" s="2">
        <f t="shared" si="0"/>
        <v>404</v>
      </c>
      <c r="G13" s="3">
        <f t="shared" si="1"/>
        <v>0.25742574257425743</v>
      </c>
      <c r="H13" s="3">
        <f t="shared" si="2"/>
        <v>0.74257425742574257</v>
      </c>
      <c r="I13" s="1" t="s">
        <v>522</v>
      </c>
      <c r="J13" s="2">
        <v>118</v>
      </c>
      <c r="K13" s="2">
        <v>298</v>
      </c>
      <c r="L13" s="2">
        <v>416</v>
      </c>
      <c r="M13" s="3">
        <v>0.28365384615384609</v>
      </c>
      <c r="N13" s="6">
        <v>-2.62</v>
      </c>
    </row>
    <row r="14" spans="1:14" x14ac:dyDescent="0.2">
      <c r="A14" s="1" t="s">
        <v>28</v>
      </c>
      <c r="B14" s="1" t="s">
        <v>32</v>
      </c>
      <c r="C14" s="1" t="s">
        <v>32</v>
      </c>
      <c r="D14" s="2">
        <v>141</v>
      </c>
      <c r="E14" s="2">
        <v>261</v>
      </c>
      <c r="F14" s="2">
        <f t="shared" si="0"/>
        <v>402</v>
      </c>
      <c r="G14" s="3">
        <f t="shared" si="1"/>
        <v>0.35074626865671643</v>
      </c>
      <c r="H14" s="3">
        <f t="shared" si="2"/>
        <v>0.64925373134328357</v>
      </c>
      <c r="I14" s="1" t="s">
        <v>522</v>
      </c>
      <c r="J14" s="2">
        <v>143</v>
      </c>
      <c r="K14" s="2">
        <v>309</v>
      </c>
      <c r="L14" s="2">
        <v>452</v>
      </c>
      <c r="M14" s="3">
        <v>0.3163716814159292</v>
      </c>
      <c r="N14" s="6">
        <v>3.44</v>
      </c>
    </row>
    <row r="15" spans="1:14" x14ac:dyDescent="0.2">
      <c r="A15" s="1" t="s">
        <v>28</v>
      </c>
      <c r="B15" s="1" t="s">
        <v>33</v>
      </c>
      <c r="C15" s="1" t="s">
        <v>130</v>
      </c>
      <c r="D15" s="2">
        <v>232</v>
      </c>
      <c r="E15" s="2">
        <v>626</v>
      </c>
      <c r="F15" s="2">
        <f t="shared" si="0"/>
        <v>858</v>
      </c>
      <c r="G15" s="3">
        <f t="shared" si="1"/>
        <v>0.2703962703962704</v>
      </c>
      <c r="H15" s="3">
        <f t="shared" si="2"/>
        <v>0.72960372960372966</v>
      </c>
      <c r="I15" s="1" t="s">
        <v>522</v>
      </c>
      <c r="J15" s="2">
        <v>202</v>
      </c>
      <c r="K15" s="2">
        <v>640</v>
      </c>
      <c r="L15" s="2">
        <v>842</v>
      </c>
      <c r="M15" s="3">
        <v>0.23990498812351541</v>
      </c>
      <c r="N15" s="6">
        <v>3.05</v>
      </c>
    </row>
    <row r="16" spans="1:14" x14ac:dyDescent="0.2">
      <c r="A16" s="1" t="s">
        <v>28</v>
      </c>
      <c r="B16" s="1" t="s">
        <v>33</v>
      </c>
      <c r="C16" s="1" t="s">
        <v>131</v>
      </c>
      <c r="D16" s="2">
        <v>203</v>
      </c>
      <c r="E16" s="2">
        <v>514</v>
      </c>
      <c r="F16" s="2">
        <f t="shared" si="0"/>
        <v>717</v>
      </c>
      <c r="G16" s="3">
        <f t="shared" si="1"/>
        <v>0.28312412831241285</v>
      </c>
      <c r="H16" s="3">
        <f t="shared" si="2"/>
        <v>0.71687587168758715</v>
      </c>
      <c r="I16" s="1" t="s">
        <v>522</v>
      </c>
      <c r="J16" s="2">
        <v>232</v>
      </c>
      <c r="K16" s="2">
        <v>603</v>
      </c>
      <c r="L16" s="2">
        <v>835</v>
      </c>
      <c r="M16" s="3">
        <v>0.27784431137724552</v>
      </c>
      <c r="N16" s="6">
        <v>0.53</v>
      </c>
    </row>
    <row r="17" spans="1:14" x14ac:dyDescent="0.2">
      <c r="A17" s="1" t="s">
        <v>28</v>
      </c>
      <c r="B17" s="1" t="s">
        <v>34</v>
      </c>
      <c r="C17" s="1" t="s">
        <v>34</v>
      </c>
      <c r="D17" s="2">
        <v>39</v>
      </c>
      <c r="E17" s="2">
        <v>73</v>
      </c>
      <c r="F17" s="2">
        <f t="shared" si="0"/>
        <v>112</v>
      </c>
      <c r="G17" s="3">
        <f t="shared" si="1"/>
        <v>0.3482142857142857</v>
      </c>
      <c r="H17" s="3">
        <f t="shared" si="2"/>
        <v>0.6517857142857143</v>
      </c>
      <c r="I17" s="1" t="s">
        <v>522</v>
      </c>
      <c r="J17" s="2">
        <v>38</v>
      </c>
      <c r="K17" s="2">
        <v>78</v>
      </c>
      <c r="L17" s="2">
        <v>116</v>
      </c>
      <c r="M17" s="3">
        <v>0.32758620689655171</v>
      </c>
      <c r="N17" s="6">
        <v>2.06</v>
      </c>
    </row>
    <row r="18" spans="1:14" x14ac:dyDescent="0.2">
      <c r="A18" s="1" t="s">
        <v>28</v>
      </c>
      <c r="B18" s="1" t="s">
        <v>35</v>
      </c>
      <c r="C18" s="1" t="s">
        <v>132</v>
      </c>
      <c r="D18" s="2">
        <v>295</v>
      </c>
      <c r="E18" s="2">
        <v>729</v>
      </c>
      <c r="F18" s="2">
        <f t="shared" si="0"/>
        <v>1024</v>
      </c>
      <c r="G18" s="3">
        <f t="shared" si="1"/>
        <v>0.2880859375</v>
      </c>
      <c r="H18" s="3">
        <f t="shared" si="2"/>
        <v>0.7119140625</v>
      </c>
      <c r="I18" s="1" t="s">
        <v>522</v>
      </c>
      <c r="J18" s="2">
        <v>301</v>
      </c>
      <c r="K18" s="2">
        <v>760</v>
      </c>
      <c r="L18" s="2">
        <v>1061</v>
      </c>
      <c r="M18" s="3">
        <v>0.28369462770970783</v>
      </c>
      <c r="N18" s="6">
        <v>0.44</v>
      </c>
    </row>
    <row r="19" spans="1:14" x14ac:dyDescent="0.2">
      <c r="A19" s="1" t="s">
        <v>28</v>
      </c>
      <c r="B19" s="1" t="s">
        <v>35</v>
      </c>
      <c r="C19" s="1" t="s">
        <v>133</v>
      </c>
      <c r="D19" s="2">
        <v>165</v>
      </c>
      <c r="E19" s="2">
        <v>413</v>
      </c>
      <c r="F19" s="2">
        <f t="shared" si="0"/>
        <v>578</v>
      </c>
      <c r="G19" s="3">
        <f t="shared" si="1"/>
        <v>0.28546712802768165</v>
      </c>
      <c r="H19" s="3">
        <f t="shared" si="2"/>
        <v>0.7145328719723183</v>
      </c>
      <c r="I19" s="1" t="s">
        <v>522</v>
      </c>
      <c r="J19" s="2">
        <v>164</v>
      </c>
      <c r="K19" s="2">
        <v>450</v>
      </c>
      <c r="L19" s="2">
        <v>614</v>
      </c>
      <c r="M19" s="3">
        <v>0.26710097719869708</v>
      </c>
      <c r="N19" s="6">
        <v>1.84</v>
      </c>
    </row>
    <row r="20" spans="1:14" x14ac:dyDescent="0.2">
      <c r="A20" s="1" t="s">
        <v>28</v>
      </c>
      <c r="B20" s="1" t="s">
        <v>35</v>
      </c>
      <c r="C20" s="1" t="s">
        <v>134</v>
      </c>
      <c r="D20" s="2">
        <v>217</v>
      </c>
      <c r="E20" s="2">
        <v>613</v>
      </c>
      <c r="F20" s="2">
        <f t="shared" si="0"/>
        <v>830</v>
      </c>
      <c r="G20" s="3">
        <f t="shared" si="1"/>
        <v>0.26144578313253014</v>
      </c>
      <c r="H20" s="3">
        <f t="shared" si="2"/>
        <v>0.73855421686746991</v>
      </c>
      <c r="I20" s="1" t="s">
        <v>522</v>
      </c>
      <c r="J20" s="2">
        <v>235</v>
      </c>
      <c r="K20" s="2">
        <v>626</v>
      </c>
      <c r="L20" s="2">
        <v>861</v>
      </c>
      <c r="M20" s="3">
        <v>0.27293844367015102</v>
      </c>
      <c r="N20" s="6">
        <v>-1.1499999999999999</v>
      </c>
    </row>
    <row r="21" spans="1:14" x14ac:dyDescent="0.2">
      <c r="A21" s="1" t="s">
        <v>28</v>
      </c>
      <c r="B21" s="1" t="s">
        <v>36</v>
      </c>
      <c r="C21" s="1" t="s">
        <v>135</v>
      </c>
      <c r="D21" s="2">
        <v>232</v>
      </c>
      <c r="E21" s="2">
        <v>271</v>
      </c>
      <c r="F21" s="2">
        <f t="shared" si="0"/>
        <v>503</v>
      </c>
      <c r="G21" s="3">
        <f t="shared" si="1"/>
        <v>0.46123260437375746</v>
      </c>
      <c r="H21" s="3">
        <f t="shared" si="2"/>
        <v>0.53876739562624254</v>
      </c>
      <c r="I21" s="1" t="s">
        <v>522</v>
      </c>
      <c r="J21" s="2">
        <v>229</v>
      </c>
      <c r="K21" s="2">
        <v>297</v>
      </c>
      <c r="L21" s="2">
        <v>526</v>
      </c>
      <c r="M21" s="3">
        <v>0.43536121673003803</v>
      </c>
      <c r="N21" s="6">
        <v>2.59</v>
      </c>
    </row>
    <row r="22" spans="1:14" x14ac:dyDescent="0.2">
      <c r="A22" s="1" t="s">
        <v>28</v>
      </c>
      <c r="B22" s="1" t="s">
        <v>36</v>
      </c>
      <c r="C22" s="1" t="s">
        <v>136</v>
      </c>
      <c r="D22" s="2">
        <v>165</v>
      </c>
      <c r="E22" s="2">
        <v>197</v>
      </c>
      <c r="F22" s="2">
        <f t="shared" si="0"/>
        <v>362</v>
      </c>
      <c r="G22" s="3">
        <f t="shared" si="1"/>
        <v>0.45580110497237569</v>
      </c>
      <c r="H22" s="3">
        <f t="shared" si="2"/>
        <v>0.54419889502762431</v>
      </c>
      <c r="I22" s="1" t="s">
        <v>522</v>
      </c>
      <c r="J22" s="2">
        <v>163</v>
      </c>
      <c r="K22" s="2">
        <v>226</v>
      </c>
      <c r="L22" s="2">
        <v>389</v>
      </c>
      <c r="M22" s="3">
        <v>0.41902313624678661</v>
      </c>
      <c r="N22" s="6">
        <v>3.68</v>
      </c>
    </row>
    <row r="23" spans="1:14" x14ac:dyDescent="0.2">
      <c r="A23" s="1" t="s">
        <v>28</v>
      </c>
      <c r="B23" s="1" t="s">
        <v>36</v>
      </c>
      <c r="C23" s="1" t="s">
        <v>137</v>
      </c>
      <c r="D23" s="2">
        <v>287</v>
      </c>
      <c r="E23" s="2">
        <v>443</v>
      </c>
      <c r="F23" s="2">
        <f t="shared" si="0"/>
        <v>730</v>
      </c>
      <c r="G23" s="3">
        <f t="shared" si="1"/>
        <v>0.39315068493150684</v>
      </c>
      <c r="H23" s="3">
        <f t="shared" si="2"/>
        <v>0.60684931506849316</v>
      </c>
      <c r="I23" s="1" t="s">
        <v>522</v>
      </c>
      <c r="J23" s="2">
        <v>286</v>
      </c>
      <c r="K23" s="2">
        <v>464</v>
      </c>
      <c r="L23" s="2">
        <v>750</v>
      </c>
      <c r="M23" s="3">
        <v>0.38133333333333341</v>
      </c>
      <c r="N23" s="6">
        <v>1.18</v>
      </c>
    </row>
    <row r="24" spans="1:14" x14ac:dyDescent="0.2">
      <c r="A24" s="1" t="s">
        <v>28</v>
      </c>
      <c r="B24" s="1" t="s">
        <v>36</v>
      </c>
      <c r="C24" s="1" t="s">
        <v>138</v>
      </c>
      <c r="D24" s="2">
        <v>134</v>
      </c>
      <c r="E24" s="2">
        <v>108</v>
      </c>
      <c r="F24" s="2">
        <f t="shared" si="0"/>
        <v>242</v>
      </c>
      <c r="G24" s="3">
        <f t="shared" si="1"/>
        <v>0.55371900826446285</v>
      </c>
      <c r="H24" s="3">
        <f t="shared" si="2"/>
        <v>0.4462809917355372</v>
      </c>
      <c r="I24" s="1" t="s">
        <v>522</v>
      </c>
      <c r="J24" s="2">
        <v>138</v>
      </c>
      <c r="K24" s="2">
        <v>134</v>
      </c>
      <c r="L24" s="2">
        <v>272</v>
      </c>
      <c r="M24" s="3">
        <v>0.50735294117647056</v>
      </c>
      <c r="N24" s="6">
        <v>4.6399999999999997</v>
      </c>
    </row>
    <row r="25" spans="1:14" x14ac:dyDescent="0.2">
      <c r="A25" s="1" t="s">
        <v>28</v>
      </c>
      <c r="B25" s="1" t="s">
        <v>36</v>
      </c>
      <c r="C25" s="1" t="s">
        <v>139</v>
      </c>
      <c r="D25" s="2">
        <v>286</v>
      </c>
      <c r="E25" s="2">
        <v>301</v>
      </c>
      <c r="F25" s="2">
        <f t="shared" si="0"/>
        <v>587</v>
      </c>
      <c r="G25" s="3">
        <f t="shared" si="1"/>
        <v>0.48722316865417375</v>
      </c>
      <c r="H25" s="3">
        <f t="shared" si="2"/>
        <v>0.51277683134582619</v>
      </c>
      <c r="I25" s="1" t="s">
        <v>522</v>
      </c>
      <c r="J25" s="2">
        <v>275</v>
      </c>
      <c r="K25" s="2">
        <v>352</v>
      </c>
      <c r="L25" s="2">
        <v>627</v>
      </c>
      <c r="M25" s="3">
        <v>0.43859649122807021</v>
      </c>
      <c r="N25" s="6">
        <v>4.8600000000000003</v>
      </c>
    </row>
    <row r="26" spans="1:14" x14ac:dyDescent="0.2">
      <c r="A26" s="1" t="s">
        <v>28</v>
      </c>
      <c r="B26" s="1" t="s">
        <v>37</v>
      </c>
      <c r="C26" s="1" t="s">
        <v>140</v>
      </c>
      <c r="D26" s="2">
        <v>97</v>
      </c>
      <c r="E26" s="2">
        <v>186</v>
      </c>
      <c r="F26" s="2">
        <f t="shared" si="0"/>
        <v>283</v>
      </c>
      <c r="G26" s="3">
        <f t="shared" si="1"/>
        <v>0.34275618374558303</v>
      </c>
      <c r="H26" s="3">
        <f t="shared" si="2"/>
        <v>0.65724381625441697</v>
      </c>
      <c r="I26" s="1" t="s">
        <v>522</v>
      </c>
      <c r="J26" s="2">
        <v>120</v>
      </c>
      <c r="K26" s="2">
        <v>202</v>
      </c>
      <c r="L26" s="2">
        <v>322</v>
      </c>
      <c r="M26" s="3">
        <v>0.37267080745341608</v>
      </c>
      <c r="N26" s="6">
        <v>-2.99</v>
      </c>
    </row>
    <row r="27" spans="1:14" x14ac:dyDescent="0.2">
      <c r="A27" s="1" t="s">
        <v>28</v>
      </c>
      <c r="B27" s="1" t="s">
        <v>37</v>
      </c>
      <c r="C27" s="1" t="s">
        <v>141</v>
      </c>
      <c r="D27" s="2">
        <v>237</v>
      </c>
      <c r="E27" s="2">
        <v>516</v>
      </c>
      <c r="F27" s="2">
        <f t="shared" si="0"/>
        <v>753</v>
      </c>
      <c r="G27" s="3">
        <f t="shared" si="1"/>
        <v>0.3147410358565737</v>
      </c>
      <c r="H27" s="3">
        <f t="shared" si="2"/>
        <v>0.68525896414342624</v>
      </c>
      <c r="I27" s="1" t="s">
        <v>522</v>
      </c>
      <c r="J27" s="2">
        <v>227</v>
      </c>
      <c r="K27" s="2">
        <v>484</v>
      </c>
      <c r="L27" s="2">
        <v>711</v>
      </c>
      <c r="M27" s="3">
        <v>0.31926863572433201</v>
      </c>
      <c r="N27" s="6">
        <v>-0.45</v>
      </c>
    </row>
    <row r="28" spans="1:14" x14ac:dyDescent="0.2">
      <c r="A28" s="1" t="s">
        <v>28</v>
      </c>
      <c r="B28" s="1" t="s">
        <v>38</v>
      </c>
      <c r="C28" s="1" t="s">
        <v>142</v>
      </c>
      <c r="D28" s="2">
        <v>260</v>
      </c>
      <c r="E28" s="2">
        <v>387</v>
      </c>
      <c r="F28" s="2">
        <f t="shared" si="0"/>
        <v>647</v>
      </c>
      <c r="G28" s="3">
        <f t="shared" si="1"/>
        <v>0.40185471406491502</v>
      </c>
      <c r="H28" s="3">
        <f t="shared" si="2"/>
        <v>0.59814528593508498</v>
      </c>
      <c r="I28" s="1" t="s">
        <v>522</v>
      </c>
      <c r="J28" s="2">
        <v>249</v>
      </c>
      <c r="K28" s="2">
        <v>392</v>
      </c>
      <c r="L28" s="2">
        <v>641</v>
      </c>
      <c r="M28" s="3">
        <v>0.38845553822152878</v>
      </c>
      <c r="N28" s="6">
        <v>1.34</v>
      </c>
    </row>
    <row r="29" spans="1:14" x14ac:dyDescent="0.2">
      <c r="A29" s="1" t="s">
        <v>28</v>
      </c>
      <c r="B29" s="1" t="s">
        <v>38</v>
      </c>
      <c r="C29" s="1" t="s">
        <v>143</v>
      </c>
      <c r="D29" s="2">
        <v>166</v>
      </c>
      <c r="E29" s="2">
        <v>223</v>
      </c>
      <c r="F29" s="2">
        <f t="shared" si="0"/>
        <v>389</v>
      </c>
      <c r="G29" s="3">
        <f t="shared" si="1"/>
        <v>0.42673521850899743</v>
      </c>
      <c r="H29" s="3">
        <f t="shared" si="2"/>
        <v>0.57326478149100257</v>
      </c>
      <c r="I29" s="1" t="s">
        <v>522</v>
      </c>
      <c r="J29" s="2">
        <v>152</v>
      </c>
      <c r="K29" s="2">
        <v>246</v>
      </c>
      <c r="L29" s="2">
        <v>398</v>
      </c>
      <c r="M29" s="3">
        <v>0.38190954773869351</v>
      </c>
      <c r="N29" s="6">
        <v>4.4800000000000004</v>
      </c>
    </row>
    <row r="30" spans="1:14" x14ac:dyDescent="0.2">
      <c r="A30" s="1" t="s">
        <v>28</v>
      </c>
      <c r="B30" s="1" t="s">
        <v>38</v>
      </c>
      <c r="C30" s="1" t="s">
        <v>144</v>
      </c>
      <c r="D30" s="2">
        <v>175</v>
      </c>
      <c r="E30" s="2">
        <v>197</v>
      </c>
      <c r="F30" s="2">
        <f t="shared" si="0"/>
        <v>372</v>
      </c>
      <c r="G30" s="3">
        <f t="shared" si="1"/>
        <v>0.47043010752688175</v>
      </c>
      <c r="H30" s="3">
        <f t="shared" si="2"/>
        <v>0.52956989247311825</v>
      </c>
      <c r="I30" s="1" t="s">
        <v>522</v>
      </c>
      <c r="J30" s="2">
        <v>165</v>
      </c>
      <c r="K30" s="2">
        <v>237</v>
      </c>
      <c r="L30" s="2">
        <v>402</v>
      </c>
      <c r="M30" s="3">
        <v>0.41044776119402993</v>
      </c>
      <c r="N30" s="6">
        <v>6</v>
      </c>
    </row>
    <row r="31" spans="1:14" x14ac:dyDescent="0.2">
      <c r="A31" s="1" t="s">
        <v>28</v>
      </c>
      <c r="B31" s="1" t="s">
        <v>39</v>
      </c>
      <c r="C31" s="1" t="s">
        <v>39</v>
      </c>
      <c r="D31" s="2">
        <v>42</v>
      </c>
      <c r="E31" s="2">
        <v>97</v>
      </c>
      <c r="F31" s="2">
        <f t="shared" si="0"/>
        <v>139</v>
      </c>
      <c r="G31" s="3">
        <f t="shared" si="1"/>
        <v>0.30215827338129497</v>
      </c>
      <c r="H31" s="3">
        <f t="shared" si="2"/>
        <v>0.69784172661870503</v>
      </c>
      <c r="I31" s="1" t="s">
        <v>522</v>
      </c>
      <c r="J31" s="2">
        <v>38</v>
      </c>
      <c r="K31" s="2">
        <v>106</v>
      </c>
      <c r="L31" s="2">
        <v>144</v>
      </c>
      <c r="M31" s="3">
        <v>0.2638888888888889</v>
      </c>
      <c r="N31" s="6">
        <v>3.83</v>
      </c>
    </row>
    <row r="32" spans="1:14" x14ac:dyDescent="0.2">
      <c r="A32" s="1" t="s">
        <v>28</v>
      </c>
      <c r="B32" s="1" t="s">
        <v>40</v>
      </c>
      <c r="C32" s="1" t="s">
        <v>40</v>
      </c>
      <c r="D32" s="2">
        <v>56</v>
      </c>
      <c r="E32" s="2">
        <v>208</v>
      </c>
      <c r="F32" s="2">
        <f t="shared" si="0"/>
        <v>264</v>
      </c>
      <c r="G32" s="3">
        <f t="shared" si="1"/>
        <v>0.21212121212121213</v>
      </c>
      <c r="H32" s="3">
        <f t="shared" si="2"/>
        <v>0.78787878787878785</v>
      </c>
      <c r="I32" s="1" t="s">
        <v>522</v>
      </c>
      <c r="J32" s="2">
        <v>58</v>
      </c>
      <c r="K32" s="2">
        <v>214</v>
      </c>
      <c r="L32" s="2">
        <v>272</v>
      </c>
      <c r="M32" s="3">
        <v>0.21323529411764711</v>
      </c>
      <c r="N32" s="6">
        <v>-0.11</v>
      </c>
    </row>
    <row r="33" spans="1:14" x14ac:dyDescent="0.2">
      <c r="A33" s="1" t="s">
        <v>28</v>
      </c>
      <c r="B33" s="1" t="s">
        <v>41</v>
      </c>
      <c r="C33" s="1" t="s">
        <v>145</v>
      </c>
      <c r="D33" s="2">
        <v>327</v>
      </c>
      <c r="E33" s="2">
        <v>463</v>
      </c>
      <c r="F33" s="2">
        <f t="shared" si="0"/>
        <v>790</v>
      </c>
      <c r="G33" s="3">
        <f t="shared" si="1"/>
        <v>0.41392405063291138</v>
      </c>
      <c r="H33" s="3">
        <f t="shared" si="2"/>
        <v>0.58607594936708862</v>
      </c>
      <c r="I33" s="1" t="s">
        <v>522</v>
      </c>
      <c r="J33" s="2">
        <v>321</v>
      </c>
      <c r="K33" s="2">
        <v>498</v>
      </c>
      <c r="L33" s="2">
        <v>819</v>
      </c>
      <c r="M33" s="3">
        <v>0.39194139194139188</v>
      </c>
      <c r="N33" s="6">
        <v>2.2000000000000002</v>
      </c>
    </row>
    <row r="34" spans="1:14" x14ac:dyDescent="0.2">
      <c r="A34" s="1" t="s">
        <v>28</v>
      </c>
      <c r="B34" s="1" t="s">
        <v>41</v>
      </c>
      <c r="C34" s="1" t="s">
        <v>146</v>
      </c>
      <c r="D34" s="2">
        <v>330</v>
      </c>
      <c r="E34" s="2">
        <v>387</v>
      </c>
      <c r="F34" s="2">
        <f t="shared" si="0"/>
        <v>717</v>
      </c>
      <c r="G34" s="3">
        <f t="shared" si="1"/>
        <v>0.46025104602510458</v>
      </c>
      <c r="H34" s="3">
        <f t="shared" si="2"/>
        <v>0.53974895397489542</v>
      </c>
      <c r="I34" s="1" t="s">
        <v>522</v>
      </c>
      <c r="J34" s="2">
        <v>288</v>
      </c>
      <c r="K34" s="2">
        <v>448</v>
      </c>
      <c r="L34" s="2">
        <v>736</v>
      </c>
      <c r="M34" s="3">
        <v>0.39130434782608697</v>
      </c>
      <c r="N34" s="6">
        <v>6.89</v>
      </c>
    </row>
    <row r="35" spans="1:14" x14ac:dyDescent="0.2">
      <c r="A35" s="1" t="s">
        <v>28</v>
      </c>
      <c r="B35" s="1" t="s">
        <v>41</v>
      </c>
      <c r="C35" s="1" t="s">
        <v>147</v>
      </c>
      <c r="D35" s="2">
        <v>319</v>
      </c>
      <c r="E35" s="2">
        <v>438</v>
      </c>
      <c r="F35" s="2">
        <f t="shared" si="0"/>
        <v>757</v>
      </c>
      <c r="G35" s="3">
        <f t="shared" si="1"/>
        <v>0.42140026420079263</v>
      </c>
      <c r="H35" s="3">
        <f t="shared" si="2"/>
        <v>0.57859973579920743</v>
      </c>
      <c r="I35" s="1" t="s">
        <v>522</v>
      </c>
      <c r="J35" s="2">
        <v>317</v>
      </c>
      <c r="K35" s="2">
        <v>527</v>
      </c>
      <c r="L35" s="2">
        <v>844</v>
      </c>
      <c r="M35" s="3">
        <v>0.37559241706161139</v>
      </c>
      <c r="N35" s="6">
        <v>4.58</v>
      </c>
    </row>
    <row r="36" spans="1:14" x14ac:dyDescent="0.2">
      <c r="A36" s="1" t="s">
        <v>28</v>
      </c>
      <c r="B36" s="1" t="s">
        <v>42</v>
      </c>
      <c r="C36" s="1" t="s">
        <v>148</v>
      </c>
      <c r="D36" s="2">
        <v>294</v>
      </c>
      <c r="E36" s="2">
        <v>703</v>
      </c>
      <c r="F36" s="2">
        <f t="shared" si="0"/>
        <v>997</v>
      </c>
      <c r="G36" s="3">
        <f t="shared" si="1"/>
        <v>0.29488465396188568</v>
      </c>
      <c r="H36" s="3">
        <f t="shared" si="2"/>
        <v>0.70511534603811432</v>
      </c>
      <c r="I36" s="1" t="s">
        <v>522</v>
      </c>
      <c r="J36" s="2">
        <v>285</v>
      </c>
      <c r="K36" s="2">
        <v>760</v>
      </c>
      <c r="L36" s="2">
        <v>1045</v>
      </c>
      <c r="M36" s="3">
        <v>0.27272727272727271</v>
      </c>
      <c r="N36" s="6">
        <v>2.2200000000000002</v>
      </c>
    </row>
    <row r="37" spans="1:14" x14ac:dyDescent="0.2">
      <c r="A37" s="1" t="s">
        <v>28</v>
      </c>
      <c r="B37" s="1" t="s">
        <v>42</v>
      </c>
      <c r="C37" s="1" t="s">
        <v>149</v>
      </c>
      <c r="D37" s="2">
        <v>220</v>
      </c>
      <c r="E37" s="2">
        <v>464</v>
      </c>
      <c r="F37" s="2">
        <f t="shared" si="0"/>
        <v>684</v>
      </c>
      <c r="G37" s="3">
        <f t="shared" si="1"/>
        <v>0.32163742690058478</v>
      </c>
      <c r="H37" s="3">
        <f t="shared" si="2"/>
        <v>0.67836257309941517</v>
      </c>
      <c r="I37" s="1" t="s">
        <v>522</v>
      </c>
      <c r="J37" s="2">
        <v>228</v>
      </c>
      <c r="K37" s="2">
        <v>522</v>
      </c>
      <c r="L37" s="2">
        <v>750</v>
      </c>
      <c r="M37" s="3">
        <v>0.30399999999999999</v>
      </c>
      <c r="N37" s="6">
        <v>1.76</v>
      </c>
    </row>
    <row r="38" spans="1:14" x14ac:dyDescent="0.2">
      <c r="A38" s="1" t="s">
        <v>28</v>
      </c>
      <c r="B38" s="1" t="s">
        <v>43</v>
      </c>
      <c r="C38" s="1" t="s">
        <v>150</v>
      </c>
      <c r="D38" s="2">
        <v>127</v>
      </c>
      <c r="E38" s="2">
        <v>370</v>
      </c>
      <c r="F38" s="2">
        <f t="shared" si="0"/>
        <v>497</v>
      </c>
      <c r="G38" s="3">
        <f t="shared" si="1"/>
        <v>0.25553319919517103</v>
      </c>
      <c r="H38" s="3">
        <f t="shared" si="2"/>
        <v>0.74446680080482897</v>
      </c>
      <c r="I38" s="1" t="s">
        <v>522</v>
      </c>
      <c r="J38" s="2">
        <v>135</v>
      </c>
      <c r="K38" s="2">
        <v>395</v>
      </c>
      <c r="L38" s="2">
        <v>530</v>
      </c>
      <c r="M38" s="3">
        <v>0.25471698113207553</v>
      </c>
      <c r="N38" s="6">
        <v>0.08</v>
      </c>
    </row>
    <row r="39" spans="1:14" x14ac:dyDescent="0.2">
      <c r="A39" s="1" t="s">
        <v>28</v>
      </c>
      <c r="B39" s="1" t="s">
        <v>43</v>
      </c>
      <c r="C39" s="1" t="s">
        <v>151</v>
      </c>
      <c r="D39" s="2">
        <v>117</v>
      </c>
      <c r="E39" s="2">
        <v>274</v>
      </c>
      <c r="F39" s="2">
        <f t="shared" si="0"/>
        <v>391</v>
      </c>
      <c r="G39" s="3">
        <f t="shared" si="1"/>
        <v>0.29923273657289001</v>
      </c>
      <c r="H39" s="3">
        <f t="shared" si="2"/>
        <v>0.70076726342710993</v>
      </c>
      <c r="I39" s="1" t="s">
        <v>522</v>
      </c>
      <c r="J39" s="2">
        <v>124</v>
      </c>
      <c r="K39" s="2">
        <v>298</v>
      </c>
      <c r="L39" s="2">
        <v>422</v>
      </c>
      <c r="M39" s="3">
        <v>0.29383886255924169</v>
      </c>
      <c r="N39" s="6">
        <v>0.54</v>
      </c>
    </row>
    <row r="40" spans="1:14" x14ac:dyDescent="0.2">
      <c r="A40" s="1" t="s">
        <v>28</v>
      </c>
      <c r="B40" s="1" t="s">
        <v>43</v>
      </c>
      <c r="C40" s="1" t="s">
        <v>152</v>
      </c>
      <c r="D40" s="2">
        <v>404</v>
      </c>
      <c r="E40" s="2">
        <v>897</v>
      </c>
      <c r="F40" s="2">
        <f t="shared" si="0"/>
        <v>1301</v>
      </c>
      <c r="G40" s="3">
        <f t="shared" si="1"/>
        <v>0.31053036126056877</v>
      </c>
      <c r="H40" s="3">
        <f t="shared" si="2"/>
        <v>0.68946963873943123</v>
      </c>
      <c r="I40" s="1" t="s">
        <v>522</v>
      </c>
      <c r="J40" s="2">
        <v>424</v>
      </c>
      <c r="K40" s="2">
        <v>988</v>
      </c>
      <c r="L40" s="2">
        <v>1412</v>
      </c>
      <c r="M40" s="3">
        <v>0.3002832861189802</v>
      </c>
      <c r="N40" s="6">
        <v>1.02</v>
      </c>
    </row>
    <row r="41" spans="1:14" x14ac:dyDescent="0.2">
      <c r="A41" s="1" t="s">
        <v>28</v>
      </c>
      <c r="B41" s="1" t="s">
        <v>44</v>
      </c>
      <c r="C41" s="1" t="s">
        <v>153</v>
      </c>
      <c r="D41" s="2">
        <v>299</v>
      </c>
      <c r="E41" s="2">
        <v>402</v>
      </c>
      <c r="F41" s="2">
        <f t="shared" si="0"/>
        <v>701</v>
      </c>
      <c r="G41" s="3">
        <f t="shared" si="1"/>
        <v>0.42653352353780316</v>
      </c>
      <c r="H41" s="3">
        <f t="shared" si="2"/>
        <v>0.57346647646219684</v>
      </c>
      <c r="I41" s="1" t="s">
        <v>522</v>
      </c>
      <c r="J41" s="2">
        <v>279</v>
      </c>
      <c r="K41" s="2">
        <v>445</v>
      </c>
      <c r="L41" s="2">
        <v>724</v>
      </c>
      <c r="M41" s="3">
        <v>0.38535911602209938</v>
      </c>
      <c r="N41" s="6">
        <v>4.12</v>
      </c>
    </row>
    <row r="42" spans="1:14" x14ac:dyDescent="0.2">
      <c r="A42" s="1" t="s">
        <v>28</v>
      </c>
      <c r="B42" s="1" t="s">
        <v>44</v>
      </c>
      <c r="C42" s="1" t="s">
        <v>154</v>
      </c>
      <c r="D42" s="2">
        <v>290</v>
      </c>
      <c r="E42" s="2">
        <v>465</v>
      </c>
      <c r="F42" s="2">
        <f t="shared" si="0"/>
        <v>755</v>
      </c>
      <c r="G42" s="3">
        <f t="shared" si="1"/>
        <v>0.38410596026490068</v>
      </c>
      <c r="H42" s="3">
        <f t="shared" si="2"/>
        <v>0.61589403973509937</v>
      </c>
      <c r="I42" s="1" t="s">
        <v>522</v>
      </c>
      <c r="J42" s="2">
        <v>309</v>
      </c>
      <c r="K42" s="2">
        <v>488</v>
      </c>
      <c r="L42" s="2">
        <v>797</v>
      </c>
      <c r="M42" s="3">
        <v>0.38770388958594731</v>
      </c>
      <c r="N42" s="6">
        <v>-0.36</v>
      </c>
    </row>
    <row r="43" spans="1:14" x14ac:dyDescent="0.2">
      <c r="A43" s="1" t="s">
        <v>28</v>
      </c>
      <c r="B43" s="1" t="s">
        <v>45</v>
      </c>
      <c r="C43" s="1" t="s">
        <v>45</v>
      </c>
      <c r="D43" s="2">
        <v>106</v>
      </c>
      <c r="E43" s="2">
        <v>488</v>
      </c>
      <c r="F43" s="2">
        <f t="shared" si="0"/>
        <v>594</v>
      </c>
      <c r="G43" s="3">
        <f t="shared" si="1"/>
        <v>0.17845117845117844</v>
      </c>
      <c r="H43" s="3">
        <f t="shared" si="2"/>
        <v>0.82154882154882158</v>
      </c>
      <c r="I43" s="1" t="s">
        <v>522</v>
      </c>
      <c r="J43" s="2">
        <v>134</v>
      </c>
      <c r="K43" s="2">
        <v>503</v>
      </c>
      <c r="L43" s="2">
        <v>637</v>
      </c>
      <c r="M43" s="3">
        <v>0.21036106750392461</v>
      </c>
      <c r="N43" s="6">
        <v>-3.19</v>
      </c>
    </row>
    <row r="44" spans="1:14" x14ac:dyDescent="0.2">
      <c r="A44" s="1" t="s">
        <v>28</v>
      </c>
      <c r="B44" s="1" t="s">
        <v>46</v>
      </c>
      <c r="C44" s="1" t="s">
        <v>155</v>
      </c>
      <c r="D44" s="2">
        <v>306</v>
      </c>
      <c r="E44" s="2">
        <v>579</v>
      </c>
      <c r="F44" s="2">
        <f t="shared" si="0"/>
        <v>885</v>
      </c>
      <c r="G44" s="3">
        <f t="shared" si="1"/>
        <v>0.34576271186440677</v>
      </c>
      <c r="H44" s="3">
        <f t="shared" si="2"/>
        <v>0.65423728813559323</v>
      </c>
      <c r="I44" s="1" t="s">
        <v>522</v>
      </c>
      <c r="J44" s="2">
        <v>281</v>
      </c>
      <c r="K44" s="2">
        <v>592</v>
      </c>
      <c r="L44" s="2">
        <v>873</v>
      </c>
      <c r="M44" s="3">
        <v>0.3218785796105384</v>
      </c>
      <c r="N44" s="6">
        <v>2.39</v>
      </c>
    </row>
    <row r="45" spans="1:14" x14ac:dyDescent="0.2">
      <c r="A45" s="1" t="s">
        <v>28</v>
      </c>
      <c r="B45" s="1" t="s">
        <v>46</v>
      </c>
      <c r="C45" s="1" t="s">
        <v>156</v>
      </c>
      <c r="D45" s="2">
        <v>516</v>
      </c>
      <c r="E45" s="2">
        <v>746</v>
      </c>
      <c r="F45" s="2">
        <f t="shared" si="0"/>
        <v>1262</v>
      </c>
      <c r="G45" s="3">
        <f t="shared" si="1"/>
        <v>0.40887480190174325</v>
      </c>
      <c r="H45" s="3">
        <f t="shared" si="2"/>
        <v>0.5911251980982567</v>
      </c>
      <c r="I45" s="1" t="s">
        <v>522</v>
      </c>
      <c r="J45" s="2">
        <v>467</v>
      </c>
      <c r="K45" s="2">
        <v>782</v>
      </c>
      <c r="L45" s="2">
        <v>1249</v>
      </c>
      <c r="M45" s="3">
        <v>0.37389911929543629</v>
      </c>
      <c r="N45" s="6">
        <v>3.5</v>
      </c>
    </row>
    <row r="46" spans="1:14" x14ac:dyDescent="0.2">
      <c r="A46" s="1" t="s">
        <v>28</v>
      </c>
      <c r="B46" s="1" t="s">
        <v>46</v>
      </c>
      <c r="C46" s="1" t="s">
        <v>157</v>
      </c>
      <c r="D46" s="2">
        <v>144</v>
      </c>
      <c r="E46" s="2">
        <v>269</v>
      </c>
      <c r="F46" s="2">
        <f t="shared" si="0"/>
        <v>413</v>
      </c>
      <c r="G46" s="3">
        <f t="shared" si="1"/>
        <v>0.34866828087167068</v>
      </c>
      <c r="H46" s="3">
        <f t="shared" si="2"/>
        <v>0.65133171912832932</v>
      </c>
      <c r="I46" s="1" t="s">
        <v>522</v>
      </c>
      <c r="J46" s="2">
        <v>136</v>
      </c>
      <c r="K46" s="2">
        <v>278</v>
      </c>
      <c r="L46" s="2">
        <v>414</v>
      </c>
      <c r="M46" s="3">
        <v>0.32850241545893721</v>
      </c>
      <c r="N46" s="6">
        <v>2.02</v>
      </c>
    </row>
    <row r="47" spans="1:14" x14ac:dyDescent="0.2">
      <c r="A47" s="1" t="s">
        <v>28</v>
      </c>
      <c r="B47" s="1" t="s">
        <v>47</v>
      </c>
      <c r="C47" s="1" t="s">
        <v>47</v>
      </c>
      <c r="D47" s="2">
        <v>57</v>
      </c>
      <c r="E47" s="2">
        <v>157</v>
      </c>
      <c r="F47" s="2">
        <f t="shared" si="0"/>
        <v>214</v>
      </c>
      <c r="G47" s="3">
        <f t="shared" si="1"/>
        <v>0.26635514018691586</v>
      </c>
      <c r="H47" s="3">
        <f t="shared" si="2"/>
        <v>0.73364485981308414</v>
      </c>
      <c r="I47" s="1" t="s">
        <v>522</v>
      </c>
      <c r="J47" s="2">
        <v>68</v>
      </c>
      <c r="K47" s="2">
        <v>153</v>
      </c>
      <c r="L47" s="2">
        <v>221</v>
      </c>
      <c r="M47" s="3">
        <v>0.30769230769230771</v>
      </c>
      <c r="N47" s="6">
        <v>-4.13</v>
      </c>
    </row>
    <row r="48" spans="1:14" x14ac:dyDescent="0.2">
      <c r="A48" s="1" t="s">
        <v>28</v>
      </c>
      <c r="B48" s="1" t="s">
        <v>48</v>
      </c>
      <c r="C48" s="1" t="s">
        <v>158</v>
      </c>
      <c r="D48" s="2">
        <v>413</v>
      </c>
      <c r="E48" s="2">
        <v>679</v>
      </c>
      <c r="F48" s="2">
        <f t="shared" si="0"/>
        <v>1092</v>
      </c>
      <c r="G48" s="3">
        <f t="shared" si="1"/>
        <v>0.37820512820512819</v>
      </c>
      <c r="H48" s="3">
        <f t="shared" si="2"/>
        <v>0.62179487179487181</v>
      </c>
      <c r="I48" s="1" t="s">
        <v>522</v>
      </c>
      <c r="J48" s="2">
        <v>432</v>
      </c>
      <c r="K48" s="2">
        <v>705</v>
      </c>
      <c r="L48" s="2">
        <v>1137</v>
      </c>
      <c r="M48" s="3">
        <v>0.37994722955145122</v>
      </c>
      <c r="N48" s="6">
        <v>-0.17</v>
      </c>
    </row>
    <row r="49" spans="1:14" x14ac:dyDescent="0.2">
      <c r="A49" s="1" t="s">
        <v>28</v>
      </c>
      <c r="B49" s="1" t="s">
        <v>48</v>
      </c>
      <c r="C49" s="1" t="s">
        <v>159</v>
      </c>
      <c r="D49" s="2">
        <v>291</v>
      </c>
      <c r="E49" s="2">
        <v>497</v>
      </c>
      <c r="F49" s="2">
        <f t="shared" si="0"/>
        <v>788</v>
      </c>
      <c r="G49" s="3">
        <f t="shared" si="1"/>
        <v>0.36928934010152287</v>
      </c>
      <c r="H49" s="3">
        <f t="shared" si="2"/>
        <v>0.63071065989847719</v>
      </c>
      <c r="I49" s="1" t="s">
        <v>522</v>
      </c>
      <c r="J49" s="2">
        <v>296</v>
      </c>
      <c r="K49" s="2">
        <v>529</v>
      </c>
      <c r="L49" s="2">
        <v>825</v>
      </c>
      <c r="M49" s="3">
        <v>0.35878787878787882</v>
      </c>
      <c r="N49" s="6">
        <v>1.05</v>
      </c>
    </row>
    <row r="50" spans="1:14" x14ac:dyDescent="0.2">
      <c r="A50" s="1" t="s">
        <v>28</v>
      </c>
      <c r="B50" s="1" t="s">
        <v>48</v>
      </c>
      <c r="C50" s="1" t="s">
        <v>160</v>
      </c>
      <c r="D50" s="2">
        <v>439</v>
      </c>
      <c r="E50" s="2">
        <v>710</v>
      </c>
      <c r="F50" s="2">
        <f t="shared" si="0"/>
        <v>1149</v>
      </c>
      <c r="G50" s="3">
        <f t="shared" si="1"/>
        <v>0.38207136640557005</v>
      </c>
      <c r="H50" s="3">
        <f t="shared" si="2"/>
        <v>0.61792863359442995</v>
      </c>
      <c r="I50" s="1" t="s">
        <v>522</v>
      </c>
      <c r="J50" s="2">
        <v>460</v>
      </c>
      <c r="K50" s="2">
        <v>791</v>
      </c>
      <c r="L50" s="2">
        <v>1251</v>
      </c>
      <c r="M50" s="3">
        <v>0.36770583533173462</v>
      </c>
      <c r="N50" s="6">
        <v>1.44</v>
      </c>
    </row>
    <row r="51" spans="1:14" x14ac:dyDescent="0.2">
      <c r="A51" s="1" t="s">
        <v>28</v>
      </c>
      <c r="B51" s="1" t="s">
        <v>48</v>
      </c>
      <c r="C51" s="1" t="s">
        <v>161</v>
      </c>
      <c r="D51" s="2">
        <v>369</v>
      </c>
      <c r="E51" s="2">
        <v>839</v>
      </c>
      <c r="F51" s="2">
        <f t="shared" si="0"/>
        <v>1208</v>
      </c>
      <c r="G51" s="3">
        <f t="shared" si="1"/>
        <v>0.30546357615894038</v>
      </c>
      <c r="H51" s="3">
        <f t="shared" si="2"/>
        <v>0.69453642384105962</v>
      </c>
      <c r="I51" s="1" t="s">
        <v>522</v>
      </c>
      <c r="J51" s="2">
        <v>425</v>
      </c>
      <c r="K51" s="2">
        <v>920</v>
      </c>
      <c r="L51" s="2">
        <v>1345</v>
      </c>
      <c r="M51" s="3">
        <v>0.31598513011152418</v>
      </c>
      <c r="N51" s="6">
        <v>-1.05</v>
      </c>
    </row>
    <row r="52" spans="1:14" x14ac:dyDescent="0.2">
      <c r="A52" s="1" t="s">
        <v>28</v>
      </c>
      <c r="B52" s="1" t="s">
        <v>48</v>
      </c>
      <c r="C52" s="1" t="s">
        <v>162</v>
      </c>
      <c r="D52" s="2">
        <v>341</v>
      </c>
      <c r="E52" s="2">
        <v>655</v>
      </c>
      <c r="F52" s="2">
        <f t="shared" si="0"/>
        <v>996</v>
      </c>
      <c r="G52" s="3">
        <f t="shared" si="1"/>
        <v>0.34236947791164657</v>
      </c>
      <c r="H52" s="3">
        <f t="shared" si="2"/>
        <v>0.65763052208835338</v>
      </c>
      <c r="I52" s="1" t="s">
        <v>522</v>
      </c>
      <c r="J52" s="2">
        <v>397</v>
      </c>
      <c r="K52" s="2">
        <v>692</v>
      </c>
      <c r="L52" s="2">
        <v>1089</v>
      </c>
      <c r="M52" s="3">
        <v>0.36455463728191001</v>
      </c>
      <c r="N52" s="6">
        <v>-2.2200000000000002</v>
      </c>
    </row>
    <row r="53" spans="1:14" x14ac:dyDescent="0.2">
      <c r="A53" s="1" t="s">
        <v>28</v>
      </c>
      <c r="B53" s="1" t="s">
        <v>49</v>
      </c>
      <c r="C53" s="1" t="s">
        <v>163</v>
      </c>
      <c r="D53" s="2">
        <v>175</v>
      </c>
      <c r="E53" s="2">
        <v>189</v>
      </c>
      <c r="F53" s="2">
        <f t="shared" si="0"/>
        <v>364</v>
      </c>
      <c r="G53" s="3">
        <f t="shared" si="1"/>
        <v>0.48076923076923078</v>
      </c>
      <c r="H53" s="3">
        <f t="shared" si="2"/>
        <v>0.51923076923076927</v>
      </c>
      <c r="I53" s="1" t="s">
        <v>522</v>
      </c>
      <c r="J53" s="2">
        <v>175</v>
      </c>
      <c r="K53" s="2">
        <v>212</v>
      </c>
      <c r="L53" s="2">
        <v>387</v>
      </c>
      <c r="M53" s="3">
        <v>0.45219638242894061</v>
      </c>
      <c r="N53" s="6">
        <v>2.86</v>
      </c>
    </row>
    <row r="54" spans="1:14" x14ac:dyDescent="0.2">
      <c r="A54" s="1" t="s">
        <v>28</v>
      </c>
      <c r="B54" s="1" t="s">
        <v>49</v>
      </c>
      <c r="C54" s="1" t="s">
        <v>164</v>
      </c>
      <c r="D54" s="2">
        <v>203</v>
      </c>
      <c r="E54" s="2">
        <v>189</v>
      </c>
      <c r="F54" s="2">
        <f t="shared" si="0"/>
        <v>392</v>
      </c>
      <c r="G54" s="3">
        <f t="shared" si="1"/>
        <v>0.5178571428571429</v>
      </c>
      <c r="H54" s="3">
        <f t="shared" si="2"/>
        <v>0.48214285714285715</v>
      </c>
      <c r="I54" s="1" t="s">
        <v>522</v>
      </c>
      <c r="J54" s="2">
        <v>184</v>
      </c>
      <c r="K54" s="2">
        <v>208</v>
      </c>
      <c r="L54" s="2">
        <v>392</v>
      </c>
      <c r="M54" s="3">
        <v>0.46938775510204078</v>
      </c>
      <c r="N54" s="6">
        <v>4.8499999999999996</v>
      </c>
    </row>
    <row r="55" spans="1:14" x14ac:dyDescent="0.2">
      <c r="A55" s="1" t="s">
        <v>28</v>
      </c>
      <c r="B55" s="1" t="s">
        <v>49</v>
      </c>
      <c r="C55" s="1" t="s">
        <v>165</v>
      </c>
      <c r="D55" s="2">
        <v>116</v>
      </c>
      <c r="E55" s="2">
        <v>177</v>
      </c>
      <c r="F55" s="2">
        <f t="shared" si="0"/>
        <v>293</v>
      </c>
      <c r="G55" s="3">
        <f t="shared" si="1"/>
        <v>0.39590443686006827</v>
      </c>
      <c r="H55" s="3">
        <f t="shared" si="2"/>
        <v>0.60409556313993173</v>
      </c>
      <c r="I55" s="1" t="s">
        <v>522</v>
      </c>
      <c r="J55" s="2">
        <v>102</v>
      </c>
      <c r="K55" s="2">
        <v>192</v>
      </c>
      <c r="L55" s="2">
        <v>294</v>
      </c>
      <c r="M55" s="3">
        <v>0.34693877551020408</v>
      </c>
      <c r="N55" s="6">
        <v>4.9000000000000004</v>
      </c>
    </row>
    <row r="56" spans="1:14" x14ac:dyDescent="0.2">
      <c r="A56" s="1" t="s">
        <v>28</v>
      </c>
      <c r="B56" s="1" t="s">
        <v>49</v>
      </c>
      <c r="C56" s="1" t="s">
        <v>166</v>
      </c>
      <c r="D56" s="2">
        <v>204</v>
      </c>
      <c r="E56" s="2">
        <v>285</v>
      </c>
      <c r="F56" s="2">
        <f t="shared" si="0"/>
        <v>489</v>
      </c>
      <c r="G56" s="3">
        <f t="shared" si="1"/>
        <v>0.41717791411042943</v>
      </c>
      <c r="H56" s="3">
        <f t="shared" si="2"/>
        <v>0.58282208588957052</v>
      </c>
      <c r="I56" s="1" t="s">
        <v>522</v>
      </c>
      <c r="J56" s="2">
        <v>194</v>
      </c>
      <c r="K56" s="2">
        <v>296</v>
      </c>
      <c r="L56" s="2">
        <v>490</v>
      </c>
      <c r="M56" s="3">
        <v>0.39591836734693869</v>
      </c>
      <c r="N56" s="6">
        <v>2.13</v>
      </c>
    </row>
    <row r="57" spans="1:14" x14ac:dyDescent="0.2">
      <c r="A57" s="1" t="s">
        <v>28</v>
      </c>
      <c r="B57" s="1" t="s">
        <v>50</v>
      </c>
      <c r="C57" s="1" t="s">
        <v>167</v>
      </c>
      <c r="D57" s="2">
        <v>260</v>
      </c>
      <c r="E57" s="2">
        <v>640</v>
      </c>
      <c r="F57" s="2">
        <f t="shared" si="0"/>
        <v>900</v>
      </c>
      <c r="G57" s="3">
        <f t="shared" si="1"/>
        <v>0.28888888888888886</v>
      </c>
      <c r="H57" s="3">
        <f t="shared" si="2"/>
        <v>0.71111111111111114</v>
      </c>
      <c r="I57" s="1" t="s">
        <v>522</v>
      </c>
      <c r="J57" s="2">
        <v>298</v>
      </c>
      <c r="K57" s="2">
        <v>649</v>
      </c>
      <c r="L57" s="2">
        <v>947</v>
      </c>
      <c r="M57" s="3">
        <v>0.3146779303062302</v>
      </c>
      <c r="N57" s="6">
        <v>-2.58</v>
      </c>
    </row>
    <row r="58" spans="1:14" x14ac:dyDescent="0.2">
      <c r="A58" s="1" t="s">
        <v>28</v>
      </c>
      <c r="B58" s="1" t="s">
        <v>50</v>
      </c>
      <c r="C58" s="1" t="s">
        <v>168</v>
      </c>
      <c r="D58" s="2">
        <v>253</v>
      </c>
      <c r="E58" s="2">
        <v>671</v>
      </c>
      <c r="F58" s="2">
        <f t="shared" si="0"/>
        <v>924</v>
      </c>
      <c r="G58" s="3">
        <f t="shared" si="1"/>
        <v>0.27380952380952384</v>
      </c>
      <c r="H58" s="3">
        <f t="shared" si="2"/>
        <v>0.72619047619047616</v>
      </c>
      <c r="I58" s="1" t="s">
        <v>522</v>
      </c>
      <c r="J58" s="2">
        <v>253</v>
      </c>
      <c r="K58" s="2">
        <v>710</v>
      </c>
      <c r="L58" s="2">
        <v>963</v>
      </c>
      <c r="M58" s="3">
        <v>0.26272066458982352</v>
      </c>
      <c r="N58" s="6">
        <v>1.1100000000000001</v>
      </c>
    </row>
    <row r="59" spans="1:14" x14ac:dyDescent="0.2">
      <c r="A59" s="1" t="s">
        <v>28</v>
      </c>
      <c r="B59" s="1" t="s">
        <v>50</v>
      </c>
      <c r="C59" s="1" t="s">
        <v>169</v>
      </c>
      <c r="D59" s="2">
        <v>238</v>
      </c>
      <c r="E59" s="2">
        <v>583</v>
      </c>
      <c r="F59" s="2">
        <f t="shared" si="0"/>
        <v>821</v>
      </c>
      <c r="G59" s="3">
        <f t="shared" si="1"/>
        <v>0.28989037758830694</v>
      </c>
      <c r="H59" s="3">
        <f t="shared" si="2"/>
        <v>0.71010962241169306</v>
      </c>
      <c r="I59" s="1" t="s">
        <v>522</v>
      </c>
      <c r="J59" s="2">
        <v>238</v>
      </c>
      <c r="K59" s="2">
        <v>586</v>
      </c>
      <c r="L59" s="2">
        <v>824</v>
      </c>
      <c r="M59" s="3">
        <v>0.28883495145631072</v>
      </c>
      <c r="N59" s="6">
        <v>0.11</v>
      </c>
    </row>
    <row r="60" spans="1:14" x14ac:dyDescent="0.2">
      <c r="A60" s="1" t="s">
        <v>28</v>
      </c>
      <c r="B60" s="1" t="s">
        <v>51</v>
      </c>
      <c r="C60" s="1" t="s">
        <v>170</v>
      </c>
      <c r="D60" s="2">
        <v>213</v>
      </c>
      <c r="E60" s="2">
        <v>575</v>
      </c>
      <c r="F60" s="2">
        <f t="shared" si="0"/>
        <v>788</v>
      </c>
      <c r="G60" s="3">
        <f t="shared" si="1"/>
        <v>0.27030456852791879</v>
      </c>
      <c r="H60" s="3">
        <f t="shared" si="2"/>
        <v>0.72969543147208127</v>
      </c>
      <c r="I60" s="1" t="s">
        <v>522</v>
      </c>
      <c r="J60" s="2">
        <v>238</v>
      </c>
      <c r="K60" s="2">
        <v>541</v>
      </c>
      <c r="L60" s="2">
        <v>779</v>
      </c>
      <c r="M60" s="3">
        <v>0.30551989730423618</v>
      </c>
      <c r="N60" s="6">
        <v>-3.52</v>
      </c>
    </row>
    <row r="61" spans="1:14" x14ac:dyDescent="0.2">
      <c r="A61" s="1" t="s">
        <v>28</v>
      </c>
      <c r="B61" s="1" t="s">
        <v>51</v>
      </c>
      <c r="C61" s="1" t="s">
        <v>171</v>
      </c>
      <c r="D61" s="2">
        <v>101</v>
      </c>
      <c r="E61" s="2">
        <v>299</v>
      </c>
      <c r="F61" s="2">
        <f t="shared" si="0"/>
        <v>400</v>
      </c>
      <c r="G61" s="3">
        <f t="shared" si="1"/>
        <v>0.2525</v>
      </c>
      <c r="H61" s="3">
        <f t="shared" si="2"/>
        <v>0.74750000000000005</v>
      </c>
      <c r="I61" s="1" t="s">
        <v>522</v>
      </c>
      <c r="J61" s="2">
        <v>103</v>
      </c>
      <c r="K61" s="2">
        <v>292</v>
      </c>
      <c r="L61" s="2">
        <v>395</v>
      </c>
      <c r="M61" s="3">
        <v>0.26075949367088608</v>
      </c>
      <c r="N61" s="6">
        <v>-0.83</v>
      </c>
    </row>
    <row r="62" spans="1:14" x14ac:dyDescent="0.2">
      <c r="A62" s="1" t="s">
        <v>28</v>
      </c>
      <c r="B62" s="1" t="s">
        <v>52</v>
      </c>
      <c r="C62" s="1" t="s">
        <v>52</v>
      </c>
      <c r="D62" s="2">
        <v>66</v>
      </c>
      <c r="E62" s="2">
        <v>78</v>
      </c>
      <c r="F62" s="2">
        <f t="shared" si="0"/>
        <v>144</v>
      </c>
      <c r="G62" s="3">
        <f t="shared" si="1"/>
        <v>0.45833333333333331</v>
      </c>
      <c r="H62" s="3">
        <f t="shared" si="2"/>
        <v>0.54166666666666663</v>
      </c>
      <c r="I62" s="1" t="s">
        <v>522</v>
      </c>
      <c r="J62" s="2">
        <v>53</v>
      </c>
      <c r="K62" s="2">
        <v>99</v>
      </c>
      <c r="L62" s="2">
        <v>152</v>
      </c>
      <c r="M62" s="3">
        <v>0.34868421052631582</v>
      </c>
      <c r="N62" s="6">
        <v>10.96</v>
      </c>
    </row>
    <row r="63" spans="1:14" x14ac:dyDescent="0.2">
      <c r="A63" s="1" t="s">
        <v>53</v>
      </c>
      <c r="B63" s="1" t="s">
        <v>54</v>
      </c>
      <c r="C63" s="1" t="s">
        <v>54</v>
      </c>
      <c r="D63" s="2">
        <v>688</v>
      </c>
      <c r="E63" s="2">
        <v>727</v>
      </c>
      <c r="F63" s="2">
        <f t="shared" si="0"/>
        <v>1415</v>
      </c>
      <c r="G63" s="3">
        <f t="shared" si="1"/>
        <v>0.4862190812720848</v>
      </c>
      <c r="H63" s="3">
        <f t="shared" si="2"/>
        <v>0.5137809187279152</v>
      </c>
      <c r="I63" s="1" t="s">
        <v>522</v>
      </c>
      <c r="J63" s="2">
        <v>601</v>
      </c>
      <c r="K63" s="2">
        <v>766</v>
      </c>
      <c r="L63" s="2">
        <v>1367</v>
      </c>
      <c r="M63" s="3">
        <v>0.43964886613021209</v>
      </c>
      <c r="N63" s="6">
        <v>4.66</v>
      </c>
    </row>
    <row r="64" spans="1:14" x14ac:dyDescent="0.2">
      <c r="A64" s="1" t="s">
        <v>53</v>
      </c>
      <c r="B64" s="1" t="s">
        <v>55</v>
      </c>
      <c r="C64" s="1" t="s">
        <v>172</v>
      </c>
      <c r="D64" s="2">
        <v>549</v>
      </c>
      <c r="E64" s="2">
        <v>163</v>
      </c>
      <c r="F64" s="2">
        <f t="shared" si="0"/>
        <v>712</v>
      </c>
      <c r="G64" s="3">
        <f t="shared" si="1"/>
        <v>0.7710674157303371</v>
      </c>
      <c r="H64" s="3">
        <f t="shared" si="2"/>
        <v>0.22893258426966293</v>
      </c>
      <c r="I64" s="1" t="s">
        <v>522</v>
      </c>
      <c r="J64" s="2">
        <v>437</v>
      </c>
      <c r="K64" s="2">
        <v>173</v>
      </c>
      <c r="L64" s="2">
        <v>610</v>
      </c>
      <c r="M64" s="3">
        <v>0.71639344262295079</v>
      </c>
      <c r="N64" s="6">
        <v>5.47</v>
      </c>
    </row>
    <row r="65" spans="1:14" x14ac:dyDescent="0.2">
      <c r="A65" s="1" t="s">
        <v>53</v>
      </c>
      <c r="B65" s="1" t="s">
        <v>55</v>
      </c>
      <c r="C65" s="1" t="s">
        <v>173</v>
      </c>
      <c r="D65" s="2">
        <v>376</v>
      </c>
      <c r="E65" s="2">
        <v>153</v>
      </c>
      <c r="F65" s="2">
        <f t="shared" si="0"/>
        <v>529</v>
      </c>
      <c r="G65" s="3">
        <f t="shared" si="1"/>
        <v>0.71077504725897922</v>
      </c>
      <c r="H65" s="3">
        <f t="shared" si="2"/>
        <v>0.28922495274102078</v>
      </c>
      <c r="I65" s="1" t="s">
        <v>522</v>
      </c>
      <c r="J65" s="2">
        <v>328</v>
      </c>
      <c r="K65" s="2">
        <v>173</v>
      </c>
      <c r="L65" s="2">
        <v>501</v>
      </c>
      <c r="M65" s="3">
        <v>0.65469061876247503</v>
      </c>
      <c r="N65" s="6">
        <v>5.61</v>
      </c>
    </row>
    <row r="66" spans="1:14" x14ac:dyDescent="0.2">
      <c r="A66" s="1" t="s">
        <v>53</v>
      </c>
      <c r="B66" s="1" t="s">
        <v>55</v>
      </c>
      <c r="C66" s="1" t="s">
        <v>174</v>
      </c>
      <c r="D66" s="2">
        <v>423</v>
      </c>
      <c r="E66" s="2">
        <v>124</v>
      </c>
      <c r="F66" s="2">
        <f t="shared" si="0"/>
        <v>547</v>
      </c>
      <c r="G66" s="3">
        <f t="shared" si="1"/>
        <v>0.77330895795246801</v>
      </c>
      <c r="H66" s="3">
        <f t="shared" si="2"/>
        <v>0.22669104204753199</v>
      </c>
      <c r="I66" s="1" t="s">
        <v>522</v>
      </c>
      <c r="J66" s="2">
        <v>347</v>
      </c>
      <c r="K66" s="2">
        <v>147</v>
      </c>
      <c r="L66" s="2">
        <v>494</v>
      </c>
      <c r="M66" s="3">
        <v>0.70242914979757087</v>
      </c>
      <c r="N66" s="6">
        <v>7.09</v>
      </c>
    </row>
    <row r="67" spans="1:14" x14ac:dyDescent="0.2">
      <c r="A67" s="1" t="s">
        <v>53</v>
      </c>
      <c r="B67" s="1" t="s">
        <v>55</v>
      </c>
      <c r="C67" s="1" t="s">
        <v>175</v>
      </c>
      <c r="D67" s="2">
        <v>338</v>
      </c>
      <c r="E67" s="2">
        <v>117</v>
      </c>
      <c r="F67" s="2">
        <f t="shared" si="0"/>
        <v>455</v>
      </c>
      <c r="G67" s="3">
        <f t="shared" si="1"/>
        <v>0.74285714285714288</v>
      </c>
      <c r="H67" s="3">
        <f t="shared" si="2"/>
        <v>0.25714285714285712</v>
      </c>
      <c r="I67" s="1" t="s">
        <v>522</v>
      </c>
      <c r="J67" s="2">
        <v>314</v>
      </c>
      <c r="K67" s="2">
        <v>149</v>
      </c>
      <c r="L67" s="2">
        <v>463</v>
      </c>
      <c r="M67" s="3">
        <v>0.67818574514038876</v>
      </c>
      <c r="N67" s="6">
        <v>6.47</v>
      </c>
    </row>
    <row r="68" spans="1:14" x14ac:dyDescent="0.2">
      <c r="A68" s="1" t="s">
        <v>53</v>
      </c>
      <c r="B68" s="1" t="s">
        <v>55</v>
      </c>
      <c r="C68" s="1" t="s">
        <v>176</v>
      </c>
      <c r="D68" s="2">
        <v>421</v>
      </c>
      <c r="E68" s="2">
        <v>131</v>
      </c>
      <c r="F68" s="2">
        <f t="shared" si="0"/>
        <v>552</v>
      </c>
      <c r="G68" s="3">
        <f t="shared" si="1"/>
        <v>0.7626811594202898</v>
      </c>
      <c r="H68" s="3">
        <f t="shared" si="2"/>
        <v>0.23731884057971014</v>
      </c>
      <c r="I68" s="1" t="s">
        <v>522</v>
      </c>
      <c r="J68" s="2">
        <v>364</v>
      </c>
      <c r="K68" s="2">
        <v>137</v>
      </c>
      <c r="L68" s="2">
        <v>501</v>
      </c>
      <c r="M68" s="3">
        <v>0.72654690618762474</v>
      </c>
      <c r="N68" s="6">
        <v>3.61</v>
      </c>
    </row>
    <row r="69" spans="1:14" x14ac:dyDescent="0.2">
      <c r="A69" s="1" t="s">
        <v>53</v>
      </c>
      <c r="B69" s="1" t="s">
        <v>55</v>
      </c>
      <c r="C69" s="1" t="s">
        <v>177</v>
      </c>
      <c r="D69" s="2">
        <v>425</v>
      </c>
      <c r="E69" s="2">
        <v>177</v>
      </c>
      <c r="F69" s="2">
        <f t="shared" si="0"/>
        <v>602</v>
      </c>
      <c r="G69" s="3">
        <f t="shared" si="1"/>
        <v>0.70598006644518274</v>
      </c>
      <c r="H69" s="3">
        <f t="shared" si="2"/>
        <v>0.29401993355481726</v>
      </c>
      <c r="I69" s="1" t="s">
        <v>522</v>
      </c>
      <c r="J69" s="2">
        <v>399</v>
      </c>
      <c r="K69" s="2">
        <v>171</v>
      </c>
      <c r="L69" s="2">
        <v>570</v>
      </c>
      <c r="M69" s="3">
        <v>0.7</v>
      </c>
      <c r="N69" s="6">
        <v>0.6</v>
      </c>
    </row>
    <row r="70" spans="1:14" x14ac:dyDescent="0.2">
      <c r="A70" s="1" t="s">
        <v>53</v>
      </c>
      <c r="B70" s="1" t="s">
        <v>55</v>
      </c>
      <c r="C70" s="1" t="s">
        <v>178</v>
      </c>
      <c r="D70" s="2">
        <v>979</v>
      </c>
      <c r="E70" s="2">
        <v>286</v>
      </c>
      <c r="F70" s="2">
        <f t="shared" si="0"/>
        <v>1265</v>
      </c>
      <c r="G70" s="3">
        <f t="shared" si="1"/>
        <v>0.77391304347826084</v>
      </c>
      <c r="H70" s="3">
        <f t="shared" si="2"/>
        <v>0.22608695652173913</v>
      </c>
      <c r="I70" s="1" t="s">
        <v>522</v>
      </c>
      <c r="J70" s="2">
        <v>1034</v>
      </c>
      <c r="K70" s="2">
        <v>285</v>
      </c>
      <c r="L70" s="2">
        <v>1319</v>
      </c>
      <c r="M70" s="3">
        <v>0.78392721758908268</v>
      </c>
      <c r="N70" s="6">
        <v>-1</v>
      </c>
    </row>
    <row r="71" spans="1:14" x14ac:dyDescent="0.2">
      <c r="A71" s="1" t="s">
        <v>53</v>
      </c>
      <c r="B71" s="1" t="s">
        <v>55</v>
      </c>
      <c r="C71" s="1" t="s">
        <v>179</v>
      </c>
      <c r="D71" s="2">
        <v>384</v>
      </c>
      <c r="E71" s="2">
        <v>181</v>
      </c>
      <c r="F71" s="2">
        <f t="shared" si="0"/>
        <v>565</v>
      </c>
      <c r="G71" s="3">
        <f t="shared" si="1"/>
        <v>0.67964601769911503</v>
      </c>
      <c r="H71" s="3">
        <f t="shared" si="2"/>
        <v>0.32035398230088497</v>
      </c>
      <c r="I71" s="1" t="s">
        <v>522</v>
      </c>
      <c r="J71" s="2">
        <v>377</v>
      </c>
      <c r="K71" s="2">
        <v>190</v>
      </c>
      <c r="L71" s="2">
        <v>567</v>
      </c>
      <c r="M71" s="3">
        <v>0.66490299823633159</v>
      </c>
      <c r="N71" s="6">
        <v>1.47</v>
      </c>
    </row>
    <row r="72" spans="1:14" x14ac:dyDescent="0.2">
      <c r="A72" s="1" t="s">
        <v>53</v>
      </c>
      <c r="B72" s="1" t="s">
        <v>55</v>
      </c>
      <c r="C72" s="1" t="s">
        <v>180</v>
      </c>
      <c r="D72" s="2">
        <v>593</v>
      </c>
      <c r="E72" s="2">
        <v>387</v>
      </c>
      <c r="F72" s="2">
        <f t="shared" si="0"/>
        <v>980</v>
      </c>
      <c r="G72" s="3">
        <f t="shared" si="1"/>
        <v>0.60510204081632657</v>
      </c>
      <c r="H72" s="3">
        <f t="shared" si="2"/>
        <v>0.39489795918367349</v>
      </c>
      <c r="I72" s="1" t="s">
        <v>522</v>
      </c>
      <c r="J72" s="2">
        <v>619</v>
      </c>
      <c r="K72" s="2">
        <v>400</v>
      </c>
      <c r="L72" s="2">
        <v>1019</v>
      </c>
      <c r="M72" s="3">
        <v>0.60745829244357208</v>
      </c>
      <c r="N72" s="6">
        <v>-0.24</v>
      </c>
    </row>
    <row r="73" spans="1:14" x14ac:dyDescent="0.2">
      <c r="A73" s="1" t="s">
        <v>53</v>
      </c>
      <c r="B73" s="1" t="s">
        <v>55</v>
      </c>
      <c r="C73" s="1" t="s">
        <v>181</v>
      </c>
      <c r="D73" s="2">
        <v>421</v>
      </c>
      <c r="E73" s="2">
        <v>270</v>
      </c>
      <c r="F73" s="2">
        <f t="shared" si="0"/>
        <v>691</v>
      </c>
      <c r="G73" s="3">
        <f t="shared" si="1"/>
        <v>0.6092619392185239</v>
      </c>
      <c r="H73" s="3">
        <f t="shared" si="2"/>
        <v>0.3907380607814761</v>
      </c>
      <c r="I73" s="1" t="s">
        <v>522</v>
      </c>
      <c r="J73" s="2">
        <v>438</v>
      </c>
      <c r="K73" s="2">
        <v>259</v>
      </c>
      <c r="L73" s="2">
        <v>697</v>
      </c>
      <c r="M73" s="3">
        <v>0.6284074605451937</v>
      </c>
      <c r="N73" s="6">
        <v>-1.91</v>
      </c>
    </row>
    <row r="74" spans="1:14" x14ac:dyDescent="0.2">
      <c r="A74" s="1" t="s">
        <v>53</v>
      </c>
      <c r="B74" s="1" t="s">
        <v>55</v>
      </c>
      <c r="C74" s="1" t="s">
        <v>182</v>
      </c>
      <c r="D74" s="2">
        <v>495</v>
      </c>
      <c r="E74" s="2">
        <v>182</v>
      </c>
      <c r="F74" s="2">
        <f t="shared" si="0"/>
        <v>677</v>
      </c>
      <c r="G74" s="3">
        <f t="shared" si="1"/>
        <v>0.73116691285081237</v>
      </c>
      <c r="H74" s="3">
        <f t="shared" si="2"/>
        <v>0.26883308714918758</v>
      </c>
      <c r="I74" s="1" t="s">
        <v>522</v>
      </c>
      <c r="J74" s="2">
        <v>428</v>
      </c>
      <c r="K74" s="2">
        <v>195</v>
      </c>
      <c r="L74" s="2">
        <v>623</v>
      </c>
      <c r="M74" s="3">
        <v>0.6869983948635634</v>
      </c>
      <c r="N74" s="6">
        <v>4.42</v>
      </c>
    </row>
    <row r="75" spans="1:14" x14ac:dyDescent="0.2">
      <c r="A75" s="1" t="s">
        <v>53</v>
      </c>
      <c r="B75" s="1" t="s">
        <v>55</v>
      </c>
      <c r="C75" s="1" t="s">
        <v>183</v>
      </c>
      <c r="D75" s="2">
        <v>596</v>
      </c>
      <c r="E75" s="2">
        <v>313</v>
      </c>
      <c r="F75" s="2">
        <f t="shared" si="0"/>
        <v>909</v>
      </c>
      <c r="G75" s="3">
        <f t="shared" si="1"/>
        <v>0.65566556655665564</v>
      </c>
      <c r="H75" s="3">
        <f t="shared" si="2"/>
        <v>0.34433443344334436</v>
      </c>
      <c r="I75" s="1" t="s">
        <v>522</v>
      </c>
      <c r="J75" s="2">
        <v>563</v>
      </c>
      <c r="K75" s="2">
        <v>322</v>
      </c>
      <c r="L75" s="2">
        <v>885</v>
      </c>
      <c r="M75" s="3">
        <v>0.63615819209039548</v>
      </c>
      <c r="N75" s="6">
        <v>1.95</v>
      </c>
    </row>
    <row r="76" spans="1:14" x14ac:dyDescent="0.2">
      <c r="A76" s="1" t="s">
        <v>53</v>
      </c>
      <c r="B76" s="1" t="s">
        <v>55</v>
      </c>
      <c r="C76" s="1" t="s">
        <v>184</v>
      </c>
      <c r="D76" s="2">
        <v>443</v>
      </c>
      <c r="E76" s="2">
        <v>281</v>
      </c>
      <c r="F76" s="2">
        <f t="shared" ref="F76:F139" si="3">IF(COUNTA(D76:E76)=0,"",SUM(D76:E76))</f>
        <v>724</v>
      </c>
      <c r="G76" s="3">
        <f t="shared" ref="G76:G139" si="4">IF(OR(F76="",F76=0),"",D76/F76)</f>
        <v>0.61187845303867405</v>
      </c>
      <c r="H76" s="3">
        <f t="shared" ref="H76:H139" si="5">IF(OR(F76="",F76=0),"",E76/F76)</f>
        <v>0.38812154696132595</v>
      </c>
      <c r="I76" s="1" t="s">
        <v>522</v>
      </c>
      <c r="J76" s="2">
        <v>472</v>
      </c>
      <c r="K76" s="2">
        <v>273</v>
      </c>
      <c r="L76" s="2">
        <v>745</v>
      </c>
      <c r="M76" s="3">
        <v>0.63355704697986581</v>
      </c>
      <c r="N76" s="6">
        <v>-2.17</v>
      </c>
    </row>
    <row r="77" spans="1:14" x14ac:dyDescent="0.2">
      <c r="A77" s="1" t="s">
        <v>53</v>
      </c>
      <c r="B77" s="1" t="s">
        <v>55</v>
      </c>
      <c r="C77" s="1" t="s">
        <v>185</v>
      </c>
      <c r="D77" s="2">
        <v>423</v>
      </c>
      <c r="E77" s="2">
        <v>307</v>
      </c>
      <c r="F77" s="2">
        <f t="shared" si="3"/>
        <v>730</v>
      </c>
      <c r="G77" s="3">
        <f t="shared" si="4"/>
        <v>0.57945205479452055</v>
      </c>
      <c r="H77" s="3">
        <f t="shared" si="5"/>
        <v>0.42054794520547945</v>
      </c>
      <c r="I77" s="1" t="s">
        <v>522</v>
      </c>
      <c r="J77" s="2">
        <v>426</v>
      </c>
      <c r="K77" s="2">
        <v>331</v>
      </c>
      <c r="L77" s="2">
        <v>757</v>
      </c>
      <c r="M77" s="3">
        <v>0.56274768824306476</v>
      </c>
      <c r="N77" s="6">
        <v>1.67</v>
      </c>
    </row>
    <row r="78" spans="1:14" x14ac:dyDescent="0.2">
      <c r="A78" s="1" t="s">
        <v>53</v>
      </c>
      <c r="B78" s="1" t="s">
        <v>55</v>
      </c>
      <c r="C78" s="1" t="s">
        <v>186</v>
      </c>
      <c r="D78" s="2">
        <v>465</v>
      </c>
      <c r="E78" s="2">
        <v>288</v>
      </c>
      <c r="F78" s="2">
        <f t="shared" si="3"/>
        <v>753</v>
      </c>
      <c r="G78" s="3">
        <f t="shared" si="4"/>
        <v>0.61752988047808766</v>
      </c>
      <c r="H78" s="3">
        <f t="shared" si="5"/>
        <v>0.38247011952191234</v>
      </c>
      <c r="I78" s="1" t="s">
        <v>522</v>
      </c>
      <c r="J78" s="2">
        <v>418</v>
      </c>
      <c r="K78" s="2">
        <v>278</v>
      </c>
      <c r="L78" s="2">
        <v>696</v>
      </c>
      <c r="M78" s="3">
        <v>0.60057471264367812</v>
      </c>
      <c r="N78" s="6">
        <v>1.7</v>
      </c>
    </row>
    <row r="79" spans="1:14" x14ac:dyDescent="0.2">
      <c r="A79" s="1" t="s">
        <v>53</v>
      </c>
      <c r="B79" s="1" t="s">
        <v>55</v>
      </c>
      <c r="C79" s="1" t="s">
        <v>187</v>
      </c>
      <c r="D79" s="2">
        <v>496</v>
      </c>
      <c r="E79" s="2">
        <v>153</v>
      </c>
      <c r="F79" s="2">
        <f t="shared" si="3"/>
        <v>649</v>
      </c>
      <c r="G79" s="3">
        <f t="shared" si="4"/>
        <v>0.76425269645608629</v>
      </c>
      <c r="H79" s="3">
        <f t="shared" si="5"/>
        <v>0.23574730354391371</v>
      </c>
      <c r="I79" s="1" t="s">
        <v>522</v>
      </c>
      <c r="J79" s="2">
        <v>424</v>
      </c>
      <c r="K79" s="2">
        <v>188</v>
      </c>
      <c r="L79" s="2">
        <v>612</v>
      </c>
      <c r="M79" s="3">
        <v>0.69281045751633985</v>
      </c>
      <c r="N79" s="6">
        <v>7.14</v>
      </c>
    </row>
    <row r="80" spans="1:14" x14ac:dyDescent="0.2">
      <c r="A80" s="1" t="s">
        <v>53</v>
      </c>
      <c r="B80" s="1" t="s">
        <v>55</v>
      </c>
      <c r="C80" s="1" t="s">
        <v>188</v>
      </c>
      <c r="D80" s="2">
        <v>376</v>
      </c>
      <c r="E80" s="2">
        <v>161</v>
      </c>
      <c r="F80" s="2">
        <f t="shared" si="3"/>
        <v>537</v>
      </c>
      <c r="G80" s="3">
        <f t="shared" si="4"/>
        <v>0.7001862197392924</v>
      </c>
      <c r="H80" s="3">
        <f t="shared" si="5"/>
        <v>0.29981378026070765</v>
      </c>
      <c r="I80" s="1" t="s">
        <v>522</v>
      </c>
      <c r="J80" s="2">
        <v>330</v>
      </c>
      <c r="K80" s="2">
        <v>195</v>
      </c>
      <c r="L80" s="2">
        <v>525</v>
      </c>
      <c r="M80" s="3">
        <v>0.62857142857142856</v>
      </c>
      <c r="N80" s="6">
        <v>7.16</v>
      </c>
    </row>
    <row r="81" spans="1:14" x14ac:dyDescent="0.2">
      <c r="A81" s="1" t="s">
        <v>53</v>
      </c>
      <c r="B81" s="1" t="s">
        <v>55</v>
      </c>
      <c r="C81" s="1" t="s">
        <v>189</v>
      </c>
      <c r="D81" s="2">
        <v>452</v>
      </c>
      <c r="E81" s="2">
        <v>232</v>
      </c>
      <c r="F81" s="2">
        <f t="shared" si="3"/>
        <v>684</v>
      </c>
      <c r="G81" s="3">
        <f t="shared" si="4"/>
        <v>0.66081871345029242</v>
      </c>
      <c r="H81" s="3">
        <f t="shared" si="5"/>
        <v>0.33918128654970758</v>
      </c>
      <c r="I81" s="1" t="s">
        <v>522</v>
      </c>
      <c r="J81" s="2">
        <v>441</v>
      </c>
      <c r="K81" s="2">
        <v>232</v>
      </c>
      <c r="L81" s="2">
        <v>673</v>
      </c>
      <c r="M81" s="3">
        <v>0.65527488855869243</v>
      </c>
      <c r="N81" s="6">
        <v>0.55000000000000004</v>
      </c>
    </row>
    <row r="82" spans="1:14" x14ac:dyDescent="0.2">
      <c r="A82" s="1" t="s">
        <v>53</v>
      </c>
      <c r="B82" s="1" t="s">
        <v>55</v>
      </c>
      <c r="C82" s="1" t="s">
        <v>190</v>
      </c>
      <c r="D82" s="2">
        <v>355</v>
      </c>
      <c r="E82" s="2">
        <v>149</v>
      </c>
      <c r="F82" s="2">
        <f t="shared" si="3"/>
        <v>504</v>
      </c>
      <c r="G82" s="3">
        <f t="shared" si="4"/>
        <v>0.70436507936507942</v>
      </c>
      <c r="H82" s="3">
        <f t="shared" si="5"/>
        <v>0.29563492063492064</v>
      </c>
      <c r="I82" s="1" t="s">
        <v>522</v>
      </c>
      <c r="J82" s="2">
        <v>313</v>
      </c>
      <c r="K82" s="2">
        <v>155</v>
      </c>
      <c r="L82" s="2">
        <v>468</v>
      </c>
      <c r="M82" s="3">
        <v>0.66880341880341876</v>
      </c>
      <c r="N82" s="6">
        <v>3.56</v>
      </c>
    </row>
    <row r="83" spans="1:14" x14ac:dyDescent="0.2">
      <c r="A83" s="1" t="s">
        <v>53</v>
      </c>
      <c r="B83" s="1" t="s">
        <v>55</v>
      </c>
      <c r="C83" s="1" t="s">
        <v>191</v>
      </c>
      <c r="D83" s="2">
        <v>627</v>
      </c>
      <c r="E83" s="2">
        <v>369</v>
      </c>
      <c r="F83" s="2">
        <f t="shared" si="3"/>
        <v>996</v>
      </c>
      <c r="G83" s="3">
        <f t="shared" si="4"/>
        <v>0.62951807228915657</v>
      </c>
      <c r="H83" s="3">
        <f t="shared" si="5"/>
        <v>0.37048192771084337</v>
      </c>
      <c r="I83" s="1" t="s">
        <v>522</v>
      </c>
      <c r="J83" s="2">
        <v>658</v>
      </c>
      <c r="K83" s="2">
        <v>375</v>
      </c>
      <c r="L83" s="2">
        <v>1033</v>
      </c>
      <c r="M83" s="3">
        <v>0.63697967086156826</v>
      </c>
      <c r="N83" s="6">
        <v>-0.75</v>
      </c>
    </row>
    <row r="84" spans="1:14" x14ac:dyDescent="0.2">
      <c r="A84" s="1" t="s">
        <v>53</v>
      </c>
      <c r="B84" s="1" t="s">
        <v>55</v>
      </c>
      <c r="C84" s="1" t="s">
        <v>192</v>
      </c>
      <c r="D84" s="2">
        <v>812</v>
      </c>
      <c r="E84" s="2">
        <v>378</v>
      </c>
      <c r="F84" s="2">
        <f t="shared" si="3"/>
        <v>1190</v>
      </c>
      <c r="G84" s="3">
        <f t="shared" si="4"/>
        <v>0.68235294117647061</v>
      </c>
      <c r="H84" s="3">
        <f t="shared" si="5"/>
        <v>0.31764705882352939</v>
      </c>
      <c r="I84" s="1" t="s">
        <v>522</v>
      </c>
      <c r="J84" s="2">
        <v>693</v>
      </c>
      <c r="K84" s="2">
        <v>389</v>
      </c>
      <c r="L84" s="2">
        <v>1082</v>
      </c>
      <c r="M84" s="3">
        <v>0.64048059149722736</v>
      </c>
      <c r="N84" s="6">
        <v>4.1900000000000004</v>
      </c>
    </row>
    <row r="85" spans="1:14" x14ac:dyDescent="0.2">
      <c r="A85" s="1" t="s">
        <v>53</v>
      </c>
      <c r="B85" s="1" t="s">
        <v>55</v>
      </c>
      <c r="C85" s="1" t="s">
        <v>193</v>
      </c>
      <c r="D85" s="2">
        <v>489</v>
      </c>
      <c r="E85" s="2">
        <v>358</v>
      </c>
      <c r="F85" s="2">
        <f t="shared" si="3"/>
        <v>847</v>
      </c>
      <c r="G85" s="3">
        <f t="shared" si="4"/>
        <v>0.57733175914994095</v>
      </c>
      <c r="H85" s="3">
        <f t="shared" si="5"/>
        <v>0.42266824085005905</v>
      </c>
      <c r="I85" s="1" t="s">
        <v>522</v>
      </c>
      <c r="J85" s="2">
        <v>446</v>
      </c>
      <c r="K85" s="2">
        <v>382</v>
      </c>
      <c r="L85" s="2">
        <v>828</v>
      </c>
      <c r="M85" s="3">
        <v>0.53864734299516903</v>
      </c>
      <c r="N85" s="6">
        <v>3.87</v>
      </c>
    </row>
    <row r="86" spans="1:14" x14ac:dyDescent="0.2">
      <c r="A86" s="1" t="s">
        <v>53</v>
      </c>
      <c r="B86" s="1" t="s">
        <v>55</v>
      </c>
      <c r="C86" s="1" t="s">
        <v>194</v>
      </c>
      <c r="D86" s="2">
        <v>623</v>
      </c>
      <c r="E86" s="2">
        <v>358</v>
      </c>
      <c r="F86" s="2">
        <f t="shared" si="3"/>
        <v>981</v>
      </c>
      <c r="G86" s="3">
        <f t="shared" si="4"/>
        <v>0.63506625891946988</v>
      </c>
      <c r="H86" s="3">
        <f t="shared" si="5"/>
        <v>0.36493374108053006</v>
      </c>
      <c r="I86" s="1" t="s">
        <v>522</v>
      </c>
      <c r="J86" s="2">
        <v>627</v>
      </c>
      <c r="K86" s="2">
        <v>389</v>
      </c>
      <c r="L86" s="2">
        <v>1016</v>
      </c>
      <c r="M86" s="3">
        <v>0.61712598425196852</v>
      </c>
      <c r="N86" s="6">
        <v>1.79</v>
      </c>
    </row>
    <row r="87" spans="1:14" x14ac:dyDescent="0.2">
      <c r="A87" s="1" t="s">
        <v>53</v>
      </c>
      <c r="B87" s="1" t="s">
        <v>55</v>
      </c>
      <c r="C87" s="1" t="s">
        <v>195</v>
      </c>
      <c r="D87" s="2">
        <v>644</v>
      </c>
      <c r="E87" s="2">
        <v>386</v>
      </c>
      <c r="F87" s="2">
        <f t="shared" si="3"/>
        <v>1030</v>
      </c>
      <c r="G87" s="3">
        <f t="shared" si="4"/>
        <v>0.62524271844660195</v>
      </c>
      <c r="H87" s="3">
        <f t="shared" si="5"/>
        <v>0.37475728155339805</v>
      </c>
      <c r="I87" s="1" t="s">
        <v>522</v>
      </c>
      <c r="J87" s="2">
        <v>645</v>
      </c>
      <c r="K87" s="2">
        <v>418</v>
      </c>
      <c r="L87" s="2">
        <v>1063</v>
      </c>
      <c r="M87" s="3">
        <v>0.60677328316086543</v>
      </c>
      <c r="N87" s="6">
        <v>1.85</v>
      </c>
    </row>
    <row r="88" spans="1:14" x14ac:dyDescent="0.2">
      <c r="A88" s="1" t="s">
        <v>53</v>
      </c>
      <c r="B88" s="1" t="s">
        <v>55</v>
      </c>
      <c r="C88" s="1" t="s">
        <v>196</v>
      </c>
      <c r="D88" s="2">
        <v>488</v>
      </c>
      <c r="E88" s="2">
        <v>307</v>
      </c>
      <c r="F88" s="2">
        <f t="shared" si="3"/>
        <v>795</v>
      </c>
      <c r="G88" s="3">
        <f t="shared" si="4"/>
        <v>0.61383647798742136</v>
      </c>
      <c r="H88" s="3">
        <f t="shared" si="5"/>
        <v>0.38616352201257864</v>
      </c>
      <c r="I88" s="1" t="s">
        <v>522</v>
      </c>
      <c r="J88" s="2">
        <v>452</v>
      </c>
      <c r="K88" s="2">
        <v>341</v>
      </c>
      <c r="L88" s="2">
        <v>793</v>
      </c>
      <c r="M88" s="3">
        <v>0.56998738965952078</v>
      </c>
      <c r="N88" s="6">
        <v>4.38</v>
      </c>
    </row>
    <row r="89" spans="1:14" x14ac:dyDescent="0.2">
      <c r="A89" s="1" t="s">
        <v>53</v>
      </c>
      <c r="B89" s="1" t="s">
        <v>55</v>
      </c>
      <c r="C89" s="1" t="s">
        <v>197</v>
      </c>
      <c r="D89" s="2">
        <v>550</v>
      </c>
      <c r="E89" s="2">
        <v>323</v>
      </c>
      <c r="F89" s="2">
        <f t="shared" si="3"/>
        <v>873</v>
      </c>
      <c r="G89" s="3">
        <f t="shared" si="4"/>
        <v>0.63001145475372278</v>
      </c>
      <c r="H89" s="3">
        <f t="shared" si="5"/>
        <v>0.36998854524627722</v>
      </c>
      <c r="I89" s="1" t="s">
        <v>522</v>
      </c>
      <c r="J89" s="2">
        <v>541</v>
      </c>
      <c r="K89" s="2">
        <v>325</v>
      </c>
      <c r="L89" s="2">
        <v>866</v>
      </c>
      <c r="M89" s="3">
        <v>0.62471131639722866</v>
      </c>
      <c r="N89" s="6">
        <v>0.53</v>
      </c>
    </row>
    <row r="90" spans="1:14" x14ac:dyDescent="0.2">
      <c r="A90" s="1" t="s">
        <v>53</v>
      </c>
      <c r="B90" s="1" t="s">
        <v>55</v>
      </c>
      <c r="C90" s="1" t="s">
        <v>198</v>
      </c>
      <c r="D90" s="2">
        <v>869</v>
      </c>
      <c r="E90" s="2">
        <v>564</v>
      </c>
      <c r="F90" s="2">
        <f t="shared" si="3"/>
        <v>1433</v>
      </c>
      <c r="G90" s="3">
        <f t="shared" si="4"/>
        <v>0.60642009769713889</v>
      </c>
      <c r="H90" s="3">
        <f t="shared" si="5"/>
        <v>0.39357990230286111</v>
      </c>
      <c r="I90" s="1" t="s">
        <v>522</v>
      </c>
      <c r="J90" s="2">
        <v>783</v>
      </c>
      <c r="K90" s="2">
        <v>562</v>
      </c>
      <c r="L90" s="2">
        <v>1345</v>
      </c>
      <c r="M90" s="3">
        <v>0.58215613382899634</v>
      </c>
      <c r="N90" s="6">
        <v>2.4300000000000002</v>
      </c>
    </row>
    <row r="91" spans="1:14" x14ac:dyDescent="0.2">
      <c r="A91" s="1" t="s">
        <v>53</v>
      </c>
      <c r="B91" s="1" t="s">
        <v>55</v>
      </c>
      <c r="C91" s="1" t="s">
        <v>199</v>
      </c>
      <c r="D91" s="2">
        <v>474</v>
      </c>
      <c r="E91" s="2">
        <v>217</v>
      </c>
      <c r="F91" s="2">
        <f t="shared" si="3"/>
        <v>691</v>
      </c>
      <c r="G91" s="3">
        <f t="shared" si="4"/>
        <v>0.68596237337192478</v>
      </c>
      <c r="H91" s="3">
        <f t="shared" si="5"/>
        <v>0.31403762662807527</v>
      </c>
      <c r="I91" s="1" t="s">
        <v>522</v>
      </c>
      <c r="J91" s="2">
        <v>454</v>
      </c>
      <c r="K91" s="2">
        <v>218</v>
      </c>
      <c r="L91" s="2">
        <v>672</v>
      </c>
      <c r="M91" s="3">
        <v>0.67559523809523814</v>
      </c>
      <c r="N91" s="6">
        <v>1.04</v>
      </c>
    </row>
    <row r="92" spans="1:14" x14ac:dyDescent="0.2">
      <c r="A92" s="1" t="s">
        <v>53</v>
      </c>
      <c r="B92" s="1" t="s">
        <v>55</v>
      </c>
      <c r="C92" s="1" t="s">
        <v>200</v>
      </c>
      <c r="D92" s="2">
        <v>473</v>
      </c>
      <c r="E92" s="2">
        <v>265</v>
      </c>
      <c r="F92" s="2">
        <f t="shared" si="3"/>
        <v>738</v>
      </c>
      <c r="G92" s="3">
        <f t="shared" si="4"/>
        <v>0.64092140921409213</v>
      </c>
      <c r="H92" s="3">
        <f t="shared" si="5"/>
        <v>0.35907859078590787</v>
      </c>
      <c r="I92" s="1" t="s">
        <v>522</v>
      </c>
      <c r="J92" s="2">
        <v>502</v>
      </c>
      <c r="K92" s="2">
        <v>274</v>
      </c>
      <c r="L92" s="2">
        <v>776</v>
      </c>
      <c r="M92" s="3">
        <v>0.64690721649484539</v>
      </c>
      <c r="N92" s="6">
        <v>-0.6</v>
      </c>
    </row>
    <row r="93" spans="1:14" x14ac:dyDescent="0.2">
      <c r="A93" s="1" t="s">
        <v>53</v>
      </c>
      <c r="B93" s="1" t="s">
        <v>55</v>
      </c>
      <c r="C93" s="1" t="s">
        <v>201</v>
      </c>
      <c r="D93" s="2">
        <v>486</v>
      </c>
      <c r="E93" s="2">
        <v>285</v>
      </c>
      <c r="F93" s="2">
        <f t="shared" si="3"/>
        <v>771</v>
      </c>
      <c r="G93" s="3">
        <f t="shared" si="4"/>
        <v>0.63035019455252916</v>
      </c>
      <c r="H93" s="3">
        <f t="shared" si="5"/>
        <v>0.36964980544747084</v>
      </c>
      <c r="I93" s="1" t="s">
        <v>522</v>
      </c>
      <c r="J93" s="2">
        <v>502</v>
      </c>
      <c r="K93" s="2">
        <v>283</v>
      </c>
      <c r="L93" s="2">
        <v>785</v>
      </c>
      <c r="M93" s="3">
        <v>0.63949044585987258</v>
      </c>
      <c r="N93" s="6">
        <v>-0.91</v>
      </c>
    </row>
    <row r="94" spans="1:14" x14ac:dyDescent="0.2">
      <c r="A94" s="1" t="s">
        <v>53</v>
      </c>
      <c r="B94" s="1" t="s">
        <v>55</v>
      </c>
      <c r="C94" s="1" t="s">
        <v>202</v>
      </c>
      <c r="D94" s="2">
        <v>388</v>
      </c>
      <c r="E94" s="2">
        <v>184</v>
      </c>
      <c r="F94" s="2">
        <f t="shared" si="3"/>
        <v>572</v>
      </c>
      <c r="G94" s="3">
        <f t="shared" si="4"/>
        <v>0.67832167832167833</v>
      </c>
      <c r="H94" s="3">
        <f t="shared" si="5"/>
        <v>0.32167832167832167</v>
      </c>
      <c r="I94" s="1" t="s">
        <v>523</v>
      </c>
    </row>
    <row r="95" spans="1:14" x14ac:dyDescent="0.2">
      <c r="A95" s="1" t="s">
        <v>53</v>
      </c>
      <c r="B95" s="1" t="s">
        <v>55</v>
      </c>
      <c r="C95" s="1" t="s">
        <v>204</v>
      </c>
      <c r="D95" s="2">
        <v>1059</v>
      </c>
      <c r="E95" s="2">
        <v>505</v>
      </c>
      <c r="F95" s="2">
        <f t="shared" si="3"/>
        <v>1564</v>
      </c>
      <c r="G95" s="3">
        <f t="shared" si="4"/>
        <v>0.67710997442455245</v>
      </c>
      <c r="H95" s="3">
        <f t="shared" si="5"/>
        <v>0.32289002557544755</v>
      </c>
      <c r="I95" s="1" t="s">
        <v>524</v>
      </c>
    </row>
    <row r="96" spans="1:14" x14ac:dyDescent="0.2">
      <c r="A96" s="1" t="s">
        <v>53</v>
      </c>
      <c r="B96" s="1" t="s">
        <v>55</v>
      </c>
      <c r="C96" s="1" t="s">
        <v>205</v>
      </c>
      <c r="D96" s="2">
        <v>480</v>
      </c>
      <c r="E96" s="2">
        <v>213</v>
      </c>
      <c r="F96" s="2">
        <f t="shared" si="3"/>
        <v>693</v>
      </c>
      <c r="G96" s="3">
        <f t="shared" si="4"/>
        <v>0.69264069264069261</v>
      </c>
      <c r="H96" s="3">
        <f t="shared" si="5"/>
        <v>0.30735930735930733</v>
      </c>
      <c r="I96" s="1" t="s">
        <v>522</v>
      </c>
      <c r="J96" s="2">
        <v>488</v>
      </c>
      <c r="K96" s="2">
        <v>252</v>
      </c>
      <c r="L96" s="2">
        <v>740</v>
      </c>
      <c r="M96" s="3">
        <v>0.6594594594594595</v>
      </c>
      <c r="N96" s="6">
        <v>3.32</v>
      </c>
    </row>
    <row r="97" spans="1:14" x14ac:dyDescent="0.2">
      <c r="A97" s="1" t="s">
        <v>53</v>
      </c>
      <c r="B97" s="1" t="s">
        <v>55</v>
      </c>
      <c r="C97" s="1" t="s">
        <v>206</v>
      </c>
      <c r="D97" s="2">
        <v>593</v>
      </c>
      <c r="E97" s="2">
        <v>357</v>
      </c>
      <c r="F97" s="2">
        <f t="shared" si="3"/>
        <v>950</v>
      </c>
      <c r="G97" s="3">
        <f t="shared" si="4"/>
        <v>0.62421052631578944</v>
      </c>
      <c r="H97" s="3">
        <f t="shared" si="5"/>
        <v>0.37578947368421051</v>
      </c>
      <c r="I97" s="1" t="s">
        <v>522</v>
      </c>
      <c r="J97" s="2">
        <v>601</v>
      </c>
      <c r="K97" s="2">
        <v>394</v>
      </c>
      <c r="L97" s="2">
        <v>995</v>
      </c>
      <c r="M97" s="3">
        <v>0.60402010050251254</v>
      </c>
      <c r="N97" s="6">
        <v>2.02</v>
      </c>
    </row>
    <row r="98" spans="1:14" x14ac:dyDescent="0.2">
      <c r="A98" s="1" t="s">
        <v>53</v>
      </c>
      <c r="B98" s="1" t="s">
        <v>55</v>
      </c>
      <c r="C98" s="1" t="s">
        <v>207</v>
      </c>
      <c r="D98" s="2">
        <v>20</v>
      </c>
      <c r="E98" s="2">
        <v>10</v>
      </c>
      <c r="F98" s="2">
        <f t="shared" si="3"/>
        <v>30</v>
      </c>
      <c r="G98" s="3">
        <f t="shared" si="4"/>
        <v>0.66666666666666663</v>
      </c>
      <c r="H98" s="3">
        <f t="shared" si="5"/>
        <v>0.33333333333333331</v>
      </c>
      <c r="I98" s="1" t="s">
        <v>525</v>
      </c>
    </row>
    <row r="99" spans="1:14" x14ac:dyDescent="0.2">
      <c r="A99" s="1" t="s">
        <v>53</v>
      </c>
      <c r="B99" s="1" t="s">
        <v>55</v>
      </c>
      <c r="C99" s="1" t="s">
        <v>208</v>
      </c>
      <c r="D99" s="2">
        <v>337</v>
      </c>
      <c r="E99" s="2">
        <v>260</v>
      </c>
      <c r="F99" s="2">
        <f t="shared" si="3"/>
        <v>597</v>
      </c>
      <c r="G99" s="3">
        <f t="shared" si="4"/>
        <v>0.56448911222780573</v>
      </c>
      <c r="H99" s="3">
        <f t="shared" si="5"/>
        <v>0.43551088777219432</v>
      </c>
      <c r="I99" s="1" t="s">
        <v>522</v>
      </c>
      <c r="J99" s="2">
        <v>330</v>
      </c>
      <c r="K99" s="2">
        <v>270</v>
      </c>
      <c r="L99" s="2">
        <v>600</v>
      </c>
      <c r="M99" s="3">
        <v>0.55000000000000004</v>
      </c>
      <c r="N99" s="6">
        <v>1.45</v>
      </c>
    </row>
    <row r="100" spans="1:14" x14ac:dyDescent="0.2">
      <c r="A100" s="1" t="s">
        <v>53</v>
      </c>
      <c r="B100" s="1" t="s">
        <v>55</v>
      </c>
      <c r="C100" s="1" t="s">
        <v>209</v>
      </c>
      <c r="D100" s="2">
        <v>661</v>
      </c>
      <c r="E100" s="2">
        <v>308</v>
      </c>
      <c r="F100" s="2">
        <f t="shared" si="3"/>
        <v>969</v>
      </c>
      <c r="G100" s="3">
        <f t="shared" si="4"/>
        <v>0.68214654282765741</v>
      </c>
      <c r="H100" s="3">
        <f t="shared" si="5"/>
        <v>0.31785345717234265</v>
      </c>
      <c r="I100" s="1" t="s">
        <v>522</v>
      </c>
      <c r="J100" s="2">
        <v>591</v>
      </c>
      <c r="K100" s="2">
        <v>333</v>
      </c>
      <c r="L100" s="2">
        <v>924</v>
      </c>
      <c r="M100" s="3">
        <v>0.63961038961038963</v>
      </c>
      <c r="N100" s="6">
        <v>4.25</v>
      </c>
    </row>
    <row r="101" spans="1:14" x14ac:dyDescent="0.2">
      <c r="A101" s="1" t="s">
        <v>53</v>
      </c>
      <c r="B101" s="1" t="s">
        <v>55</v>
      </c>
      <c r="C101" s="1" t="s">
        <v>210</v>
      </c>
      <c r="D101" s="2">
        <v>354</v>
      </c>
      <c r="E101" s="2">
        <v>242</v>
      </c>
      <c r="F101" s="2">
        <f t="shared" si="3"/>
        <v>596</v>
      </c>
      <c r="G101" s="3">
        <f t="shared" si="4"/>
        <v>0.59395973154362414</v>
      </c>
      <c r="H101" s="3">
        <f t="shared" si="5"/>
        <v>0.40604026845637586</v>
      </c>
      <c r="I101" s="1" t="s">
        <v>522</v>
      </c>
      <c r="J101" s="2">
        <v>347</v>
      </c>
      <c r="K101" s="2">
        <v>243</v>
      </c>
      <c r="L101" s="2">
        <v>590</v>
      </c>
      <c r="M101" s="3">
        <v>0.58813559322033904</v>
      </c>
      <c r="N101" s="6">
        <v>0.57999999999999996</v>
      </c>
    </row>
    <row r="102" spans="1:14" x14ac:dyDescent="0.2">
      <c r="A102" s="1" t="s">
        <v>53</v>
      </c>
      <c r="B102" s="1" t="s">
        <v>55</v>
      </c>
      <c r="C102" s="1" t="s">
        <v>211</v>
      </c>
      <c r="D102" s="2">
        <v>502</v>
      </c>
      <c r="E102" s="2">
        <v>243</v>
      </c>
      <c r="F102" s="2">
        <f t="shared" si="3"/>
        <v>745</v>
      </c>
      <c r="G102" s="3">
        <f t="shared" si="4"/>
        <v>0.67382550335570468</v>
      </c>
      <c r="H102" s="3">
        <f t="shared" si="5"/>
        <v>0.32617449664429532</v>
      </c>
      <c r="I102" s="1" t="s">
        <v>522</v>
      </c>
      <c r="J102" s="2">
        <v>440</v>
      </c>
      <c r="K102" s="2">
        <v>259</v>
      </c>
      <c r="L102" s="2">
        <v>699</v>
      </c>
      <c r="M102" s="3">
        <v>0.62947067238912735</v>
      </c>
      <c r="N102" s="6">
        <v>4.4400000000000004</v>
      </c>
    </row>
    <row r="103" spans="1:14" x14ac:dyDescent="0.2">
      <c r="A103" s="1" t="s">
        <v>53</v>
      </c>
      <c r="B103" s="1" t="s">
        <v>55</v>
      </c>
      <c r="C103" s="1" t="s">
        <v>212</v>
      </c>
      <c r="D103" s="2">
        <v>541</v>
      </c>
      <c r="E103" s="2">
        <v>397</v>
      </c>
      <c r="F103" s="2">
        <f t="shared" si="3"/>
        <v>938</v>
      </c>
      <c r="G103" s="3">
        <f t="shared" si="4"/>
        <v>0.57675906183368875</v>
      </c>
      <c r="H103" s="3">
        <f t="shared" si="5"/>
        <v>0.42324093816631131</v>
      </c>
      <c r="I103" s="1" t="s">
        <v>522</v>
      </c>
      <c r="J103" s="2">
        <v>553</v>
      </c>
      <c r="K103" s="2">
        <v>367</v>
      </c>
      <c r="L103" s="2">
        <v>920</v>
      </c>
      <c r="M103" s="3">
        <v>0.60108695652173916</v>
      </c>
      <c r="N103" s="6">
        <v>-2.4300000000000002</v>
      </c>
    </row>
    <row r="104" spans="1:14" x14ac:dyDescent="0.2">
      <c r="A104" s="1" t="s">
        <v>53</v>
      </c>
      <c r="B104" s="1" t="s">
        <v>55</v>
      </c>
      <c r="C104" s="1" t="s">
        <v>213</v>
      </c>
      <c r="D104" s="2">
        <v>1</v>
      </c>
      <c r="E104" s="2">
        <v>1</v>
      </c>
      <c r="F104" s="2">
        <f t="shared" si="3"/>
        <v>2</v>
      </c>
      <c r="G104" s="3">
        <f t="shared" si="4"/>
        <v>0.5</v>
      </c>
      <c r="H104" s="3">
        <f t="shared" si="5"/>
        <v>0.5</v>
      </c>
      <c r="I104" s="1" t="s">
        <v>526</v>
      </c>
    </row>
    <row r="105" spans="1:14" x14ac:dyDescent="0.2">
      <c r="A105" s="1" t="s">
        <v>53</v>
      </c>
      <c r="B105" s="1" t="s">
        <v>55</v>
      </c>
      <c r="C105" s="1" t="s">
        <v>214</v>
      </c>
      <c r="D105" s="2">
        <v>848</v>
      </c>
      <c r="E105" s="2">
        <v>505</v>
      </c>
      <c r="F105" s="2">
        <f t="shared" si="3"/>
        <v>1353</v>
      </c>
      <c r="G105" s="3">
        <f t="shared" si="4"/>
        <v>0.62675535846267549</v>
      </c>
      <c r="H105" s="3">
        <f t="shared" si="5"/>
        <v>0.37324464153732445</v>
      </c>
      <c r="I105" s="1" t="s">
        <v>522</v>
      </c>
      <c r="J105" s="2">
        <v>821</v>
      </c>
      <c r="K105" s="2">
        <v>504</v>
      </c>
      <c r="L105" s="2">
        <v>1325</v>
      </c>
      <c r="M105" s="3">
        <v>0.61962264150943391</v>
      </c>
      <c r="N105" s="6">
        <v>0.71</v>
      </c>
    </row>
    <row r="106" spans="1:14" x14ac:dyDescent="0.2">
      <c r="A106" s="1" t="s">
        <v>53</v>
      </c>
      <c r="B106" s="1" t="s">
        <v>55</v>
      </c>
      <c r="C106" s="1" t="s">
        <v>215</v>
      </c>
      <c r="D106" s="2">
        <v>564</v>
      </c>
      <c r="E106" s="2">
        <v>168</v>
      </c>
      <c r="F106" s="2">
        <f t="shared" si="3"/>
        <v>732</v>
      </c>
      <c r="G106" s="3">
        <f t="shared" si="4"/>
        <v>0.77049180327868849</v>
      </c>
      <c r="H106" s="3">
        <f t="shared" si="5"/>
        <v>0.22950819672131148</v>
      </c>
      <c r="I106" s="1" t="s">
        <v>522</v>
      </c>
      <c r="J106" s="2">
        <v>487</v>
      </c>
      <c r="K106" s="2">
        <v>191</v>
      </c>
      <c r="L106" s="2">
        <v>678</v>
      </c>
      <c r="M106" s="3">
        <v>0.71828908554572268</v>
      </c>
      <c r="N106" s="6">
        <v>5.22</v>
      </c>
    </row>
    <row r="107" spans="1:14" x14ac:dyDescent="0.2">
      <c r="A107" s="1" t="s">
        <v>53</v>
      </c>
      <c r="B107" s="1" t="s">
        <v>55</v>
      </c>
      <c r="C107" s="1" t="s">
        <v>216</v>
      </c>
      <c r="D107" s="2">
        <v>337</v>
      </c>
      <c r="E107" s="2">
        <v>156</v>
      </c>
      <c r="F107" s="2">
        <f t="shared" si="3"/>
        <v>493</v>
      </c>
      <c r="G107" s="3">
        <f t="shared" si="4"/>
        <v>0.68356997971602429</v>
      </c>
      <c r="H107" s="3">
        <f t="shared" si="5"/>
        <v>0.31643002028397565</v>
      </c>
      <c r="I107" s="1" t="s">
        <v>527</v>
      </c>
    </row>
    <row r="108" spans="1:14" x14ac:dyDescent="0.2">
      <c r="A108" s="1" t="s">
        <v>53</v>
      </c>
      <c r="B108" s="1" t="s">
        <v>55</v>
      </c>
      <c r="C108" s="1" t="s">
        <v>217</v>
      </c>
      <c r="D108" s="2">
        <v>730</v>
      </c>
      <c r="E108" s="2">
        <v>190</v>
      </c>
      <c r="F108" s="2">
        <f t="shared" si="3"/>
        <v>920</v>
      </c>
      <c r="G108" s="3">
        <f t="shared" si="4"/>
        <v>0.79347826086956519</v>
      </c>
      <c r="H108" s="3">
        <f t="shared" si="5"/>
        <v>0.20652173913043478</v>
      </c>
      <c r="I108" s="1" t="s">
        <v>522</v>
      </c>
      <c r="J108" s="2">
        <v>677</v>
      </c>
      <c r="K108" s="2">
        <v>264</v>
      </c>
      <c r="L108" s="2">
        <v>941</v>
      </c>
      <c r="M108" s="3">
        <v>0.71944739638682254</v>
      </c>
      <c r="N108" s="6">
        <v>7.4</v>
      </c>
    </row>
    <row r="109" spans="1:14" x14ac:dyDescent="0.2">
      <c r="A109" s="1" t="s">
        <v>53</v>
      </c>
      <c r="B109" s="1" t="s">
        <v>55</v>
      </c>
      <c r="C109" s="1" t="s">
        <v>218</v>
      </c>
      <c r="D109" s="2">
        <v>312</v>
      </c>
      <c r="E109" s="2">
        <v>118</v>
      </c>
      <c r="F109" s="2">
        <f t="shared" si="3"/>
        <v>430</v>
      </c>
      <c r="G109" s="3">
        <f t="shared" si="4"/>
        <v>0.72558139534883725</v>
      </c>
      <c r="H109" s="3">
        <f t="shared" si="5"/>
        <v>0.2744186046511628</v>
      </c>
      <c r="I109" s="1" t="s">
        <v>522</v>
      </c>
      <c r="J109" s="2">
        <v>283</v>
      </c>
      <c r="K109" s="2">
        <v>138</v>
      </c>
      <c r="L109" s="2">
        <v>421</v>
      </c>
      <c r="M109" s="3">
        <v>0.67220902612826605</v>
      </c>
      <c r="N109" s="6">
        <v>5.34</v>
      </c>
    </row>
    <row r="110" spans="1:14" x14ac:dyDescent="0.2">
      <c r="A110" s="1" t="s">
        <v>53</v>
      </c>
      <c r="B110" s="1" t="s">
        <v>55</v>
      </c>
      <c r="C110" s="1" t="s">
        <v>219</v>
      </c>
      <c r="D110" s="2">
        <v>405</v>
      </c>
      <c r="E110" s="2">
        <v>116</v>
      </c>
      <c r="F110" s="2">
        <f t="shared" si="3"/>
        <v>521</v>
      </c>
      <c r="G110" s="3">
        <f t="shared" si="4"/>
        <v>0.77735124760076779</v>
      </c>
      <c r="H110" s="3">
        <f t="shared" si="5"/>
        <v>0.22264875239923224</v>
      </c>
      <c r="I110" s="1" t="s">
        <v>522</v>
      </c>
      <c r="J110" s="2">
        <v>447</v>
      </c>
      <c r="K110" s="2">
        <v>152</v>
      </c>
      <c r="L110" s="2">
        <v>599</v>
      </c>
      <c r="M110" s="3">
        <v>0.74624373956594325</v>
      </c>
      <c r="N110" s="6">
        <v>3.11</v>
      </c>
    </row>
    <row r="111" spans="1:14" x14ac:dyDescent="0.2">
      <c r="A111" s="1" t="s">
        <v>53</v>
      </c>
      <c r="B111" s="1" t="s">
        <v>55</v>
      </c>
      <c r="C111" s="1" t="s">
        <v>220</v>
      </c>
      <c r="D111" s="2">
        <v>229</v>
      </c>
      <c r="E111" s="2">
        <v>84</v>
      </c>
      <c r="F111" s="2">
        <f t="shared" si="3"/>
        <v>313</v>
      </c>
      <c r="G111" s="3">
        <f t="shared" si="4"/>
        <v>0.73162939297124596</v>
      </c>
      <c r="H111" s="3">
        <f t="shared" si="5"/>
        <v>0.26837060702875398</v>
      </c>
      <c r="I111" s="1" t="s">
        <v>522</v>
      </c>
      <c r="J111" s="2">
        <v>179</v>
      </c>
      <c r="K111" s="2">
        <v>112</v>
      </c>
      <c r="L111" s="2">
        <v>291</v>
      </c>
      <c r="M111" s="3">
        <v>0.61512027491408938</v>
      </c>
      <c r="N111" s="6">
        <v>11.65</v>
      </c>
    </row>
    <row r="112" spans="1:14" x14ac:dyDescent="0.2">
      <c r="A112" s="1" t="s">
        <v>53</v>
      </c>
      <c r="B112" s="1" t="s">
        <v>55</v>
      </c>
      <c r="C112" s="1" t="s">
        <v>221</v>
      </c>
      <c r="D112" s="2">
        <v>409</v>
      </c>
      <c r="E112" s="2">
        <v>179</v>
      </c>
      <c r="F112" s="2">
        <f t="shared" si="3"/>
        <v>588</v>
      </c>
      <c r="G112" s="3">
        <f t="shared" si="4"/>
        <v>0.69557823129251706</v>
      </c>
      <c r="H112" s="3">
        <f t="shared" si="5"/>
        <v>0.304421768707483</v>
      </c>
      <c r="I112" s="1" t="s">
        <v>522</v>
      </c>
      <c r="J112" s="2">
        <v>357</v>
      </c>
      <c r="K112" s="2">
        <v>225</v>
      </c>
      <c r="L112" s="2">
        <v>582</v>
      </c>
      <c r="M112" s="3">
        <v>0.61340206185567014</v>
      </c>
      <c r="N112" s="6">
        <v>8.2200000000000006</v>
      </c>
    </row>
    <row r="113" spans="1:14" x14ac:dyDescent="0.2">
      <c r="A113" s="1" t="s">
        <v>53</v>
      </c>
      <c r="B113" s="1" t="s">
        <v>55</v>
      </c>
      <c r="C113" s="1" t="s">
        <v>222</v>
      </c>
      <c r="D113" s="2">
        <v>565</v>
      </c>
      <c r="E113" s="2">
        <v>194</v>
      </c>
      <c r="F113" s="2">
        <f t="shared" si="3"/>
        <v>759</v>
      </c>
      <c r="G113" s="3">
        <f t="shared" si="4"/>
        <v>0.74440052700922266</v>
      </c>
      <c r="H113" s="3">
        <f t="shared" si="5"/>
        <v>0.25559947299077734</v>
      </c>
      <c r="I113" s="1" t="s">
        <v>522</v>
      </c>
      <c r="J113" s="2">
        <v>520</v>
      </c>
      <c r="K113" s="2">
        <v>193</v>
      </c>
      <c r="L113" s="2">
        <v>713</v>
      </c>
      <c r="M113" s="3">
        <v>0.72931276297335201</v>
      </c>
      <c r="N113" s="6">
        <v>1.51</v>
      </c>
    </row>
    <row r="114" spans="1:14" x14ac:dyDescent="0.2">
      <c r="A114" s="1" t="s">
        <v>53</v>
      </c>
      <c r="B114" s="1" t="s">
        <v>55</v>
      </c>
      <c r="C114" s="1" t="s">
        <v>223</v>
      </c>
      <c r="D114" s="2">
        <v>245</v>
      </c>
      <c r="E114" s="2">
        <v>68</v>
      </c>
      <c r="F114" s="2">
        <f t="shared" si="3"/>
        <v>313</v>
      </c>
      <c r="G114" s="3">
        <f t="shared" si="4"/>
        <v>0.78274760383386577</v>
      </c>
      <c r="H114" s="3">
        <f t="shared" si="5"/>
        <v>0.21725239616613418</v>
      </c>
      <c r="I114" s="1" t="s">
        <v>522</v>
      </c>
      <c r="J114" s="2">
        <v>218</v>
      </c>
      <c r="K114" s="2">
        <v>86</v>
      </c>
      <c r="L114" s="2">
        <v>304</v>
      </c>
      <c r="M114" s="3">
        <v>0.71710526315789469</v>
      </c>
      <c r="N114" s="6">
        <v>6.56</v>
      </c>
    </row>
    <row r="115" spans="1:14" x14ac:dyDescent="0.2">
      <c r="A115" s="1" t="s">
        <v>53</v>
      </c>
      <c r="B115" s="1" t="s">
        <v>55</v>
      </c>
      <c r="C115" s="1" t="s">
        <v>224</v>
      </c>
      <c r="D115" s="2">
        <v>314</v>
      </c>
      <c r="E115" s="2">
        <v>74</v>
      </c>
      <c r="F115" s="2">
        <f t="shared" si="3"/>
        <v>388</v>
      </c>
      <c r="G115" s="3">
        <f t="shared" si="4"/>
        <v>0.80927835051546393</v>
      </c>
      <c r="H115" s="3">
        <f t="shared" si="5"/>
        <v>0.19072164948453607</v>
      </c>
      <c r="I115" s="1" t="s">
        <v>522</v>
      </c>
      <c r="J115" s="2">
        <v>262</v>
      </c>
      <c r="K115" s="2">
        <v>109</v>
      </c>
      <c r="L115" s="2">
        <v>371</v>
      </c>
      <c r="M115" s="3">
        <v>0.70619946091644203</v>
      </c>
      <c r="N115" s="6">
        <v>10.31</v>
      </c>
    </row>
    <row r="116" spans="1:14" x14ac:dyDescent="0.2">
      <c r="A116" s="1" t="s">
        <v>53</v>
      </c>
      <c r="B116" s="1" t="s">
        <v>55</v>
      </c>
      <c r="C116" s="1" t="s">
        <v>225</v>
      </c>
      <c r="D116" s="2">
        <v>456</v>
      </c>
      <c r="E116" s="2">
        <v>133</v>
      </c>
      <c r="F116" s="2">
        <f t="shared" si="3"/>
        <v>589</v>
      </c>
      <c r="G116" s="3">
        <f t="shared" si="4"/>
        <v>0.77419354838709675</v>
      </c>
      <c r="H116" s="3">
        <f t="shared" si="5"/>
        <v>0.22580645161290322</v>
      </c>
      <c r="I116" s="1" t="s">
        <v>522</v>
      </c>
      <c r="J116" s="2">
        <v>424</v>
      </c>
      <c r="K116" s="2">
        <v>151</v>
      </c>
      <c r="L116" s="2">
        <v>575</v>
      </c>
      <c r="M116" s="3">
        <v>0.73739130434782607</v>
      </c>
      <c r="N116" s="6">
        <v>3.68</v>
      </c>
    </row>
    <row r="117" spans="1:14" x14ac:dyDescent="0.2">
      <c r="A117" s="1" t="s">
        <v>53</v>
      </c>
      <c r="B117" s="1" t="s">
        <v>55</v>
      </c>
      <c r="C117" s="1" t="s">
        <v>226</v>
      </c>
      <c r="D117" s="2">
        <v>593</v>
      </c>
      <c r="E117" s="2">
        <v>297</v>
      </c>
      <c r="F117" s="2">
        <f t="shared" si="3"/>
        <v>890</v>
      </c>
      <c r="G117" s="3">
        <f t="shared" si="4"/>
        <v>0.66629213483146066</v>
      </c>
      <c r="H117" s="3">
        <f t="shared" si="5"/>
        <v>0.33370786516853934</v>
      </c>
      <c r="I117" s="1" t="s">
        <v>522</v>
      </c>
      <c r="J117" s="2">
        <v>565</v>
      </c>
      <c r="K117" s="2">
        <v>277</v>
      </c>
      <c r="L117" s="2">
        <v>842</v>
      </c>
      <c r="M117" s="3">
        <v>0.67102137767220904</v>
      </c>
      <c r="N117" s="6">
        <v>-0.47</v>
      </c>
    </row>
    <row r="118" spans="1:14" x14ac:dyDescent="0.2">
      <c r="A118" s="1" t="s">
        <v>53</v>
      </c>
      <c r="B118" s="1" t="s">
        <v>55</v>
      </c>
      <c r="C118" s="1" t="s">
        <v>227</v>
      </c>
      <c r="D118" s="2">
        <v>287</v>
      </c>
      <c r="E118" s="2">
        <v>122</v>
      </c>
      <c r="F118" s="2">
        <f t="shared" si="3"/>
        <v>409</v>
      </c>
      <c r="G118" s="3">
        <f t="shared" si="4"/>
        <v>0.70171149144254275</v>
      </c>
      <c r="H118" s="3">
        <f t="shared" si="5"/>
        <v>0.2982885085574572</v>
      </c>
      <c r="I118" s="1" t="s">
        <v>522</v>
      </c>
      <c r="J118" s="2">
        <v>260</v>
      </c>
      <c r="K118" s="2">
        <v>121</v>
      </c>
      <c r="L118" s="2">
        <v>381</v>
      </c>
      <c r="M118" s="3">
        <v>0.6824146981627297</v>
      </c>
      <c r="N118" s="6">
        <v>1.93</v>
      </c>
    </row>
    <row r="119" spans="1:14" x14ac:dyDescent="0.2">
      <c r="A119" s="1" t="s">
        <v>53</v>
      </c>
      <c r="B119" s="1" t="s">
        <v>55</v>
      </c>
      <c r="C119" s="1" t="s">
        <v>228</v>
      </c>
      <c r="D119" s="2">
        <v>379</v>
      </c>
      <c r="E119" s="2">
        <v>139</v>
      </c>
      <c r="F119" s="2">
        <f t="shared" si="3"/>
        <v>518</v>
      </c>
      <c r="G119" s="3">
        <f t="shared" si="4"/>
        <v>0.73166023166023164</v>
      </c>
      <c r="H119" s="3">
        <f t="shared" si="5"/>
        <v>0.26833976833976836</v>
      </c>
      <c r="I119" s="1" t="s">
        <v>522</v>
      </c>
      <c r="J119" s="2">
        <v>317</v>
      </c>
      <c r="K119" s="2">
        <v>152</v>
      </c>
      <c r="L119" s="2">
        <v>469</v>
      </c>
      <c r="M119" s="3">
        <v>0.67590618336886998</v>
      </c>
      <c r="N119" s="6">
        <v>5.58</v>
      </c>
    </row>
    <row r="120" spans="1:14" x14ac:dyDescent="0.2">
      <c r="A120" s="1" t="s">
        <v>53</v>
      </c>
      <c r="B120" s="1" t="s">
        <v>55</v>
      </c>
      <c r="C120" s="1" t="s">
        <v>229</v>
      </c>
      <c r="D120" s="2">
        <v>451</v>
      </c>
      <c r="E120" s="2">
        <v>258</v>
      </c>
      <c r="F120" s="2">
        <f t="shared" si="3"/>
        <v>709</v>
      </c>
      <c r="G120" s="3">
        <f t="shared" si="4"/>
        <v>0.63610719322990128</v>
      </c>
      <c r="H120" s="3">
        <f t="shared" si="5"/>
        <v>0.36389280677009872</v>
      </c>
      <c r="I120" s="1" t="s">
        <v>522</v>
      </c>
      <c r="J120" s="2">
        <v>424</v>
      </c>
      <c r="K120" s="2">
        <v>264</v>
      </c>
      <c r="L120" s="2">
        <v>688</v>
      </c>
      <c r="M120" s="3">
        <v>0.61627906976744184</v>
      </c>
      <c r="N120" s="6">
        <v>1.98</v>
      </c>
    </row>
    <row r="121" spans="1:14" x14ac:dyDescent="0.2">
      <c r="A121" s="1" t="s">
        <v>53</v>
      </c>
      <c r="B121" s="1" t="s">
        <v>55</v>
      </c>
      <c r="C121" s="1" t="s">
        <v>230</v>
      </c>
      <c r="D121" s="2">
        <v>537</v>
      </c>
      <c r="E121" s="2">
        <v>156</v>
      </c>
      <c r="F121" s="2">
        <f t="shared" si="3"/>
        <v>693</v>
      </c>
      <c r="G121" s="3">
        <f t="shared" si="4"/>
        <v>0.77489177489177485</v>
      </c>
      <c r="H121" s="3">
        <f t="shared" si="5"/>
        <v>0.22510822510822512</v>
      </c>
      <c r="I121" s="1" t="s">
        <v>522</v>
      </c>
      <c r="J121" s="2">
        <v>469</v>
      </c>
      <c r="K121" s="2">
        <v>215</v>
      </c>
      <c r="L121" s="2">
        <v>684</v>
      </c>
      <c r="M121" s="3">
        <v>0.68567251461988299</v>
      </c>
      <c r="N121" s="6">
        <v>8.92</v>
      </c>
    </row>
    <row r="122" spans="1:14" x14ac:dyDescent="0.2">
      <c r="A122" s="1" t="s">
        <v>53</v>
      </c>
      <c r="B122" s="1" t="s">
        <v>56</v>
      </c>
      <c r="C122" s="1" t="s">
        <v>231</v>
      </c>
      <c r="D122" s="2">
        <v>603</v>
      </c>
      <c r="E122" s="2">
        <v>222</v>
      </c>
      <c r="F122" s="2">
        <f t="shared" si="3"/>
        <v>825</v>
      </c>
      <c r="G122" s="3">
        <f t="shared" si="4"/>
        <v>0.73090909090909095</v>
      </c>
      <c r="H122" s="3">
        <f t="shared" si="5"/>
        <v>0.2690909090909091</v>
      </c>
      <c r="I122" s="1" t="s">
        <v>522</v>
      </c>
      <c r="J122" s="2">
        <v>598</v>
      </c>
      <c r="K122" s="2">
        <v>253</v>
      </c>
      <c r="L122" s="2">
        <v>851</v>
      </c>
      <c r="M122" s="3">
        <v>0.70270270270270274</v>
      </c>
      <c r="N122" s="6">
        <v>2.82</v>
      </c>
    </row>
    <row r="123" spans="1:14" x14ac:dyDescent="0.2">
      <c r="A123" s="1" t="s">
        <v>53</v>
      </c>
      <c r="B123" s="1" t="s">
        <v>56</v>
      </c>
      <c r="C123" s="1" t="s">
        <v>232</v>
      </c>
      <c r="D123" s="2">
        <v>436</v>
      </c>
      <c r="E123" s="2">
        <v>199</v>
      </c>
      <c r="F123" s="2">
        <f t="shared" si="3"/>
        <v>635</v>
      </c>
      <c r="G123" s="3">
        <f t="shared" si="4"/>
        <v>0.6866141732283465</v>
      </c>
      <c r="H123" s="3">
        <f t="shared" si="5"/>
        <v>0.31338582677165355</v>
      </c>
      <c r="I123" s="1" t="s">
        <v>522</v>
      </c>
      <c r="J123" s="2">
        <v>420</v>
      </c>
      <c r="K123" s="2">
        <v>214</v>
      </c>
      <c r="L123" s="2">
        <v>634</v>
      </c>
      <c r="M123" s="3">
        <v>0.66246056782334384</v>
      </c>
      <c r="N123" s="6">
        <v>2.42</v>
      </c>
    </row>
    <row r="124" spans="1:14" x14ac:dyDescent="0.2">
      <c r="A124" s="1" t="s">
        <v>53</v>
      </c>
      <c r="B124" s="1" t="s">
        <v>56</v>
      </c>
      <c r="C124" s="1" t="s">
        <v>233</v>
      </c>
      <c r="D124" s="2">
        <v>463</v>
      </c>
      <c r="E124" s="2">
        <v>171</v>
      </c>
      <c r="F124" s="2">
        <f t="shared" si="3"/>
        <v>634</v>
      </c>
      <c r="G124" s="3">
        <f t="shared" si="4"/>
        <v>0.7302839116719243</v>
      </c>
      <c r="H124" s="3">
        <f t="shared" si="5"/>
        <v>0.2697160883280757</v>
      </c>
      <c r="I124" s="1" t="s">
        <v>522</v>
      </c>
      <c r="J124" s="2">
        <v>438</v>
      </c>
      <c r="K124" s="2">
        <v>176</v>
      </c>
      <c r="L124" s="2">
        <v>614</v>
      </c>
      <c r="M124" s="3">
        <v>0.71335504885993484</v>
      </c>
      <c r="N124" s="6">
        <v>1.69</v>
      </c>
    </row>
    <row r="125" spans="1:14" x14ac:dyDescent="0.2">
      <c r="A125" s="1" t="s">
        <v>53</v>
      </c>
      <c r="B125" s="1" t="s">
        <v>56</v>
      </c>
      <c r="C125" s="1" t="s">
        <v>234</v>
      </c>
      <c r="D125" s="2">
        <v>513</v>
      </c>
      <c r="E125" s="2">
        <v>218</v>
      </c>
      <c r="F125" s="2">
        <f t="shared" si="3"/>
        <v>731</v>
      </c>
      <c r="G125" s="3">
        <f t="shared" si="4"/>
        <v>0.70177838577291385</v>
      </c>
      <c r="H125" s="3">
        <f t="shared" si="5"/>
        <v>0.29822161422708621</v>
      </c>
      <c r="I125" s="1" t="s">
        <v>522</v>
      </c>
      <c r="J125" s="2">
        <v>463</v>
      </c>
      <c r="K125" s="2">
        <v>219</v>
      </c>
      <c r="L125" s="2">
        <v>682</v>
      </c>
      <c r="M125" s="3">
        <v>0.67888563049853368</v>
      </c>
      <c r="N125" s="6">
        <v>2.29</v>
      </c>
    </row>
    <row r="126" spans="1:14" x14ac:dyDescent="0.2">
      <c r="A126" s="1" t="s">
        <v>53</v>
      </c>
      <c r="B126" s="1" t="s">
        <v>56</v>
      </c>
      <c r="C126" s="1" t="s">
        <v>235</v>
      </c>
      <c r="D126" s="2">
        <v>835</v>
      </c>
      <c r="E126" s="2">
        <v>441</v>
      </c>
      <c r="F126" s="2">
        <f t="shared" si="3"/>
        <v>1276</v>
      </c>
      <c r="G126" s="3">
        <f t="shared" si="4"/>
        <v>0.65438871473354232</v>
      </c>
      <c r="H126" s="3">
        <f t="shared" si="5"/>
        <v>0.34561128526645768</v>
      </c>
      <c r="I126" s="1" t="s">
        <v>522</v>
      </c>
      <c r="J126" s="2">
        <v>782</v>
      </c>
      <c r="K126" s="2">
        <v>404</v>
      </c>
      <c r="L126" s="2">
        <v>1186</v>
      </c>
      <c r="M126" s="3">
        <v>0.65935919055649239</v>
      </c>
      <c r="N126" s="6">
        <v>-0.5</v>
      </c>
    </row>
    <row r="127" spans="1:14" x14ac:dyDescent="0.2">
      <c r="A127" s="1" t="s">
        <v>53</v>
      </c>
      <c r="B127" s="1" t="s">
        <v>56</v>
      </c>
      <c r="C127" s="1" t="s">
        <v>236</v>
      </c>
      <c r="D127" s="2">
        <v>534</v>
      </c>
      <c r="E127" s="2">
        <v>312</v>
      </c>
      <c r="F127" s="2">
        <f t="shared" si="3"/>
        <v>846</v>
      </c>
      <c r="G127" s="3">
        <f t="shared" si="4"/>
        <v>0.63120567375886527</v>
      </c>
      <c r="H127" s="3">
        <f t="shared" si="5"/>
        <v>0.36879432624113473</v>
      </c>
      <c r="I127" s="1" t="s">
        <v>522</v>
      </c>
      <c r="J127" s="2">
        <v>503</v>
      </c>
      <c r="K127" s="2">
        <v>318</v>
      </c>
      <c r="L127" s="2">
        <v>821</v>
      </c>
      <c r="M127" s="3">
        <v>0.61266747868453109</v>
      </c>
      <c r="N127" s="6">
        <v>1.85</v>
      </c>
    </row>
    <row r="128" spans="1:14" x14ac:dyDescent="0.2">
      <c r="A128" s="1" t="s">
        <v>53</v>
      </c>
      <c r="B128" s="1" t="s">
        <v>56</v>
      </c>
      <c r="C128" s="1" t="s">
        <v>237</v>
      </c>
      <c r="D128" s="2">
        <v>596</v>
      </c>
      <c r="E128" s="2">
        <v>375</v>
      </c>
      <c r="F128" s="2">
        <f t="shared" si="3"/>
        <v>971</v>
      </c>
      <c r="G128" s="3">
        <f t="shared" si="4"/>
        <v>0.61380020597322349</v>
      </c>
      <c r="H128" s="3">
        <f t="shared" si="5"/>
        <v>0.38619979402677651</v>
      </c>
      <c r="I128" s="1" t="s">
        <v>522</v>
      </c>
      <c r="J128" s="2">
        <v>597</v>
      </c>
      <c r="K128" s="2">
        <v>396</v>
      </c>
      <c r="L128" s="2">
        <v>993</v>
      </c>
      <c r="M128" s="3">
        <v>0.6012084592145015</v>
      </c>
      <c r="N128" s="6">
        <v>1.26</v>
      </c>
    </row>
    <row r="129" spans="1:14" x14ac:dyDescent="0.2">
      <c r="A129" s="1" t="s">
        <v>53</v>
      </c>
      <c r="B129" s="1" t="s">
        <v>56</v>
      </c>
      <c r="C129" s="1" t="s">
        <v>238</v>
      </c>
      <c r="D129" s="2">
        <v>745</v>
      </c>
      <c r="E129" s="2">
        <v>443</v>
      </c>
      <c r="F129" s="2">
        <f t="shared" si="3"/>
        <v>1188</v>
      </c>
      <c r="G129" s="3">
        <f t="shared" si="4"/>
        <v>0.62710437710437705</v>
      </c>
      <c r="H129" s="3">
        <f t="shared" si="5"/>
        <v>0.37289562289562289</v>
      </c>
      <c r="I129" s="1" t="s">
        <v>522</v>
      </c>
      <c r="J129" s="2">
        <v>678</v>
      </c>
      <c r="K129" s="2">
        <v>451</v>
      </c>
      <c r="L129" s="2">
        <v>1129</v>
      </c>
      <c r="M129" s="3">
        <v>0.60053144375553591</v>
      </c>
      <c r="N129" s="6">
        <v>2.66</v>
      </c>
    </row>
    <row r="130" spans="1:14" x14ac:dyDescent="0.2">
      <c r="A130" s="1" t="s">
        <v>53</v>
      </c>
      <c r="B130" s="1" t="s">
        <v>56</v>
      </c>
      <c r="C130" s="1" t="s">
        <v>239</v>
      </c>
      <c r="D130" s="2">
        <v>553</v>
      </c>
      <c r="E130" s="2">
        <v>343</v>
      </c>
      <c r="F130" s="2">
        <f t="shared" si="3"/>
        <v>896</v>
      </c>
      <c r="G130" s="3">
        <f t="shared" si="4"/>
        <v>0.6171875</v>
      </c>
      <c r="H130" s="3">
        <f t="shared" si="5"/>
        <v>0.3828125</v>
      </c>
      <c r="I130" s="1" t="s">
        <v>522</v>
      </c>
      <c r="J130" s="2">
        <v>524</v>
      </c>
      <c r="K130" s="2">
        <v>327</v>
      </c>
      <c r="L130" s="2">
        <v>851</v>
      </c>
      <c r="M130" s="3">
        <v>0.61574618096357225</v>
      </c>
      <c r="N130" s="6">
        <v>0.14000000000000001</v>
      </c>
    </row>
    <row r="131" spans="1:14" x14ac:dyDescent="0.2">
      <c r="A131" s="1" t="s">
        <v>53</v>
      </c>
      <c r="B131" s="1" t="s">
        <v>56</v>
      </c>
      <c r="C131" s="1" t="s">
        <v>240</v>
      </c>
      <c r="D131" s="2">
        <v>427</v>
      </c>
      <c r="E131" s="2">
        <v>341</v>
      </c>
      <c r="F131" s="2">
        <f t="shared" si="3"/>
        <v>768</v>
      </c>
      <c r="G131" s="3">
        <f t="shared" si="4"/>
        <v>0.55598958333333337</v>
      </c>
      <c r="H131" s="3">
        <f t="shared" si="5"/>
        <v>0.44401041666666669</v>
      </c>
      <c r="I131" s="1" t="s">
        <v>522</v>
      </c>
      <c r="J131" s="2">
        <v>437</v>
      </c>
      <c r="K131" s="2">
        <v>344</v>
      </c>
      <c r="L131" s="2">
        <v>781</v>
      </c>
      <c r="M131" s="3">
        <v>0.55953905249679903</v>
      </c>
      <c r="N131" s="6">
        <v>-0.35</v>
      </c>
    </row>
    <row r="132" spans="1:14" x14ac:dyDescent="0.2">
      <c r="A132" s="1" t="s">
        <v>53</v>
      </c>
      <c r="B132" s="1" t="s">
        <v>56</v>
      </c>
      <c r="C132" s="1" t="s">
        <v>241</v>
      </c>
      <c r="D132" s="2">
        <v>562</v>
      </c>
      <c r="E132" s="2">
        <v>319</v>
      </c>
      <c r="F132" s="2">
        <f t="shared" si="3"/>
        <v>881</v>
      </c>
      <c r="G132" s="3">
        <f t="shared" si="4"/>
        <v>0.63791146424517597</v>
      </c>
      <c r="H132" s="3">
        <f t="shared" si="5"/>
        <v>0.36208853575482408</v>
      </c>
      <c r="I132" s="1" t="s">
        <v>522</v>
      </c>
      <c r="J132" s="2">
        <v>581</v>
      </c>
      <c r="K132" s="2">
        <v>342</v>
      </c>
      <c r="L132" s="2">
        <v>923</v>
      </c>
      <c r="M132" s="3">
        <v>0.62946912242686892</v>
      </c>
      <c r="N132" s="6">
        <v>0.84</v>
      </c>
    </row>
    <row r="133" spans="1:14" x14ac:dyDescent="0.2">
      <c r="A133" s="1" t="s">
        <v>53</v>
      </c>
      <c r="B133" s="1" t="s">
        <v>56</v>
      </c>
      <c r="C133" s="1" t="s">
        <v>242</v>
      </c>
      <c r="D133" s="2">
        <v>600</v>
      </c>
      <c r="E133" s="2">
        <v>389</v>
      </c>
      <c r="F133" s="2">
        <f t="shared" si="3"/>
        <v>989</v>
      </c>
      <c r="G133" s="3">
        <f t="shared" si="4"/>
        <v>0.60667340748230536</v>
      </c>
      <c r="H133" s="3">
        <f t="shared" si="5"/>
        <v>0.39332659251769464</v>
      </c>
      <c r="I133" s="1" t="s">
        <v>522</v>
      </c>
      <c r="J133" s="2">
        <v>591</v>
      </c>
      <c r="K133" s="2">
        <v>390</v>
      </c>
      <c r="L133" s="2">
        <v>981</v>
      </c>
      <c r="M133" s="3">
        <v>0.60244648318042815</v>
      </c>
      <c r="N133" s="6">
        <v>0.42</v>
      </c>
    </row>
    <row r="134" spans="1:14" x14ac:dyDescent="0.2">
      <c r="A134" s="1" t="s">
        <v>53</v>
      </c>
      <c r="B134" s="1" t="s">
        <v>57</v>
      </c>
      <c r="C134" s="1" t="s">
        <v>243</v>
      </c>
      <c r="D134" s="2">
        <v>573</v>
      </c>
      <c r="E134" s="2">
        <v>432</v>
      </c>
      <c r="F134" s="2">
        <f t="shared" si="3"/>
        <v>1005</v>
      </c>
      <c r="G134" s="3">
        <f t="shared" si="4"/>
        <v>0.57014925373134329</v>
      </c>
      <c r="H134" s="3">
        <f t="shared" si="5"/>
        <v>0.42985074626865671</v>
      </c>
      <c r="I134" s="1" t="s">
        <v>522</v>
      </c>
      <c r="J134" s="2">
        <v>557</v>
      </c>
      <c r="K134" s="2">
        <v>454</v>
      </c>
      <c r="L134" s="2">
        <v>1011</v>
      </c>
      <c r="M134" s="3">
        <v>0.55093966369930758</v>
      </c>
      <c r="N134" s="6">
        <v>1.92</v>
      </c>
    </row>
    <row r="135" spans="1:14" x14ac:dyDescent="0.2">
      <c r="A135" s="1" t="s">
        <v>53</v>
      </c>
      <c r="B135" s="1" t="s">
        <v>57</v>
      </c>
      <c r="C135" s="1" t="s">
        <v>244</v>
      </c>
      <c r="D135" s="2">
        <v>496</v>
      </c>
      <c r="E135" s="2">
        <v>505</v>
      </c>
      <c r="F135" s="2">
        <f t="shared" si="3"/>
        <v>1001</v>
      </c>
      <c r="G135" s="3">
        <f t="shared" si="4"/>
        <v>0.49550449550449549</v>
      </c>
      <c r="H135" s="3">
        <f t="shared" si="5"/>
        <v>0.50449550449550451</v>
      </c>
      <c r="I135" s="1" t="s">
        <v>522</v>
      </c>
      <c r="J135" s="2">
        <v>467</v>
      </c>
      <c r="K135" s="2">
        <v>513</v>
      </c>
      <c r="L135" s="2">
        <v>980</v>
      </c>
      <c r="M135" s="3">
        <v>0.47653061224489801</v>
      </c>
      <c r="N135" s="6">
        <v>1.9</v>
      </c>
    </row>
    <row r="136" spans="1:14" x14ac:dyDescent="0.2">
      <c r="A136" s="1" t="s">
        <v>53</v>
      </c>
      <c r="B136" s="1" t="s">
        <v>57</v>
      </c>
      <c r="C136" s="1" t="s">
        <v>245</v>
      </c>
      <c r="D136" s="2">
        <v>566</v>
      </c>
      <c r="E136" s="2">
        <v>514</v>
      </c>
      <c r="F136" s="2">
        <f t="shared" si="3"/>
        <v>1080</v>
      </c>
      <c r="G136" s="3">
        <f t="shared" si="4"/>
        <v>0.52407407407407403</v>
      </c>
      <c r="H136" s="3">
        <f t="shared" si="5"/>
        <v>0.47592592592592592</v>
      </c>
      <c r="I136" s="1" t="s">
        <v>522</v>
      </c>
      <c r="J136" s="2">
        <v>536</v>
      </c>
      <c r="K136" s="2">
        <v>524</v>
      </c>
      <c r="L136" s="2">
        <v>1060</v>
      </c>
      <c r="M136" s="3">
        <v>0.50566037735849056</v>
      </c>
      <c r="N136" s="6">
        <v>1.84</v>
      </c>
    </row>
    <row r="137" spans="1:14" x14ac:dyDescent="0.2">
      <c r="A137" s="1" t="s">
        <v>53</v>
      </c>
      <c r="B137" s="1" t="s">
        <v>58</v>
      </c>
      <c r="C137" s="1" t="s">
        <v>58</v>
      </c>
      <c r="D137" s="2">
        <v>792</v>
      </c>
      <c r="E137" s="2">
        <v>779</v>
      </c>
      <c r="F137" s="2">
        <f t="shared" si="3"/>
        <v>1571</v>
      </c>
      <c r="G137" s="3">
        <f t="shared" si="4"/>
        <v>0.50413749204328451</v>
      </c>
      <c r="H137" s="3">
        <f t="shared" si="5"/>
        <v>0.49586250795671549</v>
      </c>
      <c r="I137" s="1" t="s">
        <v>522</v>
      </c>
      <c r="J137" s="2">
        <v>735</v>
      </c>
      <c r="K137" s="2">
        <v>804</v>
      </c>
      <c r="L137" s="2">
        <v>1539</v>
      </c>
      <c r="M137" s="3">
        <v>0.47758284600389861</v>
      </c>
      <c r="N137" s="6">
        <v>2.66</v>
      </c>
    </row>
    <row r="138" spans="1:14" x14ac:dyDescent="0.2">
      <c r="A138" s="1" t="s">
        <v>53</v>
      </c>
      <c r="B138" s="1" t="s">
        <v>59</v>
      </c>
      <c r="C138" s="1" t="s">
        <v>246</v>
      </c>
      <c r="D138" s="2">
        <v>405</v>
      </c>
      <c r="E138" s="2">
        <v>376</v>
      </c>
      <c r="F138" s="2">
        <f t="shared" si="3"/>
        <v>781</v>
      </c>
      <c r="G138" s="3">
        <f t="shared" si="4"/>
        <v>0.51856594110115239</v>
      </c>
      <c r="H138" s="3">
        <f t="shared" si="5"/>
        <v>0.48143405889884761</v>
      </c>
      <c r="I138" s="1" t="s">
        <v>522</v>
      </c>
      <c r="J138" s="2">
        <v>372</v>
      </c>
      <c r="K138" s="2">
        <v>383</v>
      </c>
      <c r="L138" s="2">
        <v>755</v>
      </c>
      <c r="M138" s="3">
        <v>0.49271523178807952</v>
      </c>
      <c r="N138" s="6">
        <v>2.59</v>
      </c>
    </row>
    <row r="139" spans="1:14" x14ac:dyDescent="0.2">
      <c r="A139" s="1" t="s">
        <v>53</v>
      </c>
      <c r="B139" s="1" t="s">
        <v>59</v>
      </c>
      <c r="C139" s="1" t="s">
        <v>247</v>
      </c>
      <c r="D139" s="2">
        <v>562</v>
      </c>
      <c r="E139" s="2">
        <v>494</v>
      </c>
      <c r="F139" s="2">
        <f t="shared" si="3"/>
        <v>1056</v>
      </c>
      <c r="G139" s="3">
        <f t="shared" si="4"/>
        <v>0.53219696969696972</v>
      </c>
      <c r="H139" s="3">
        <f t="shared" si="5"/>
        <v>0.46780303030303028</v>
      </c>
      <c r="I139" s="1" t="s">
        <v>522</v>
      </c>
      <c r="J139" s="2">
        <v>527</v>
      </c>
      <c r="K139" s="2">
        <v>515</v>
      </c>
      <c r="L139" s="2">
        <v>1042</v>
      </c>
      <c r="M139" s="3">
        <v>0.50575815738963537</v>
      </c>
      <c r="N139" s="6">
        <v>2.64</v>
      </c>
    </row>
    <row r="140" spans="1:14" x14ac:dyDescent="0.2">
      <c r="A140" s="1" t="s">
        <v>53</v>
      </c>
      <c r="B140" s="1" t="s">
        <v>60</v>
      </c>
      <c r="C140" s="1" t="s">
        <v>248</v>
      </c>
      <c r="D140" s="2">
        <v>590</v>
      </c>
      <c r="E140" s="2">
        <v>493</v>
      </c>
      <c r="F140" s="2">
        <f t="shared" ref="F140:F203" si="6">IF(COUNTA(D140:E140)=0,"",SUM(D140:E140))</f>
        <v>1083</v>
      </c>
      <c r="G140" s="3">
        <f t="shared" ref="G140:G203" si="7">IF(OR(F140="",F140=0),"",D140/F140)</f>
        <v>0.54478301015697139</v>
      </c>
      <c r="H140" s="3">
        <f t="shared" ref="H140:H203" si="8">IF(OR(F140="",F140=0),"",E140/F140)</f>
        <v>0.45521698984302861</v>
      </c>
      <c r="I140" s="1" t="s">
        <v>522</v>
      </c>
      <c r="J140" s="2">
        <v>562</v>
      </c>
      <c r="K140" s="2">
        <v>497</v>
      </c>
      <c r="L140" s="2">
        <v>1059</v>
      </c>
      <c r="M140" s="3">
        <v>0.53068932955618509</v>
      </c>
      <c r="N140" s="6">
        <v>1.41</v>
      </c>
    </row>
    <row r="141" spans="1:14" x14ac:dyDescent="0.2">
      <c r="A141" s="1" t="s">
        <v>53</v>
      </c>
      <c r="B141" s="1" t="s">
        <v>60</v>
      </c>
      <c r="C141" s="1" t="s">
        <v>249</v>
      </c>
      <c r="D141" s="2">
        <v>585</v>
      </c>
      <c r="E141" s="2">
        <v>492</v>
      </c>
      <c r="F141" s="2">
        <f t="shared" si="6"/>
        <v>1077</v>
      </c>
      <c r="G141" s="3">
        <f t="shared" si="7"/>
        <v>0.54317548746518107</v>
      </c>
      <c r="H141" s="3">
        <f t="shared" si="8"/>
        <v>0.45682451253481893</v>
      </c>
      <c r="I141" s="1" t="s">
        <v>522</v>
      </c>
      <c r="J141" s="2">
        <v>566</v>
      </c>
      <c r="K141" s="2">
        <v>509</v>
      </c>
      <c r="L141" s="2">
        <v>1075</v>
      </c>
      <c r="M141" s="3">
        <v>0.5265116279069767</v>
      </c>
      <c r="N141" s="6">
        <v>1.67</v>
      </c>
    </row>
    <row r="142" spans="1:14" x14ac:dyDescent="0.2">
      <c r="A142" s="1" t="s">
        <v>53</v>
      </c>
      <c r="B142" s="1" t="s">
        <v>60</v>
      </c>
      <c r="C142" s="1" t="s">
        <v>250</v>
      </c>
      <c r="D142" s="2">
        <v>800</v>
      </c>
      <c r="E142" s="2">
        <v>765</v>
      </c>
      <c r="F142" s="2">
        <f t="shared" si="6"/>
        <v>1565</v>
      </c>
      <c r="G142" s="3">
        <f t="shared" si="7"/>
        <v>0.51118210862619806</v>
      </c>
      <c r="H142" s="3">
        <f t="shared" si="8"/>
        <v>0.48881789137380194</v>
      </c>
      <c r="I142" s="1" t="s">
        <v>522</v>
      </c>
      <c r="J142" s="2">
        <v>826</v>
      </c>
      <c r="K142" s="2">
        <v>801</v>
      </c>
      <c r="L142" s="2">
        <v>1627</v>
      </c>
      <c r="M142" s="3">
        <v>0.50768285187461581</v>
      </c>
      <c r="N142" s="6">
        <v>0.35</v>
      </c>
    </row>
    <row r="143" spans="1:14" x14ac:dyDescent="0.2">
      <c r="A143" s="1" t="s">
        <v>53</v>
      </c>
      <c r="B143" s="1" t="s">
        <v>60</v>
      </c>
      <c r="C143" s="1" t="s">
        <v>251</v>
      </c>
      <c r="D143" s="2">
        <v>695</v>
      </c>
      <c r="E143" s="2">
        <v>512</v>
      </c>
      <c r="F143" s="2">
        <f t="shared" si="6"/>
        <v>1207</v>
      </c>
      <c r="G143" s="3">
        <f t="shared" si="7"/>
        <v>0.57580778790389398</v>
      </c>
      <c r="H143" s="3">
        <f t="shared" si="8"/>
        <v>0.42419221209610602</v>
      </c>
      <c r="I143" s="1" t="s">
        <v>522</v>
      </c>
      <c r="J143" s="2">
        <v>686</v>
      </c>
      <c r="K143" s="2">
        <v>580</v>
      </c>
      <c r="L143" s="2">
        <v>1266</v>
      </c>
      <c r="M143" s="3">
        <v>0.54186413902053709</v>
      </c>
      <c r="N143" s="6">
        <v>3.39</v>
      </c>
    </row>
    <row r="144" spans="1:14" x14ac:dyDescent="0.2">
      <c r="A144" s="1" t="s">
        <v>53</v>
      </c>
      <c r="B144" s="1" t="s">
        <v>60</v>
      </c>
      <c r="C144" s="1" t="s">
        <v>252</v>
      </c>
      <c r="D144" s="2">
        <v>367</v>
      </c>
      <c r="E144" s="2">
        <v>336</v>
      </c>
      <c r="F144" s="2">
        <f t="shared" si="6"/>
        <v>703</v>
      </c>
      <c r="G144" s="3">
        <f t="shared" si="7"/>
        <v>0.52204836415362732</v>
      </c>
      <c r="H144" s="3">
        <f t="shared" si="8"/>
        <v>0.47795163584637268</v>
      </c>
      <c r="I144" s="1" t="s">
        <v>522</v>
      </c>
      <c r="J144" s="2">
        <v>332</v>
      </c>
      <c r="K144" s="2">
        <v>340</v>
      </c>
      <c r="L144" s="2">
        <v>672</v>
      </c>
      <c r="M144" s="3">
        <v>0.49404761904761912</v>
      </c>
      <c r="N144" s="6">
        <v>2.8</v>
      </c>
    </row>
    <row r="145" spans="1:14" x14ac:dyDescent="0.2">
      <c r="A145" s="1" t="s">
        <v>53</v>
      </c>
      <c r="B145" s="1" t="s">
        <v>60</v>
      </c>
      <c r="C145" s="1" t="s">
        <v>253</v>
      </c>
      <c r="D145" s="2">
        <v>708</v>
      </c>
      <c r="E145" s="2">
        <v>515</v>
      </c>
      <c r="F145" s="2">
        <f t="shared" si="6"/>
        <v>1223</v>
      </c>
      <c r="G145" s="3">
        <f t="shared" si="7"/>
        <v>0.57890433360588711</v>
      </c>
      <c r="H145" s="3">
        <f t="shared" si="8"/>
        <v>0.42109566639411283</v>
      </c>
      <c r="I145" s="1" t="s">
        <v>522</v>
      </c>
      <c r="J145" s="2">
        <v>691</v>
      </c>
      <c r="K145" s="2">
        <v>509</v>
      </c>
      <c r="L145" s="2">
        <v>1200</v>
      </c>
      <c r="M145" s="3">
        <v>0.57583333333333331</v>
      </c>
      <c r="N145" s="6">
        <v>0.31</v>
      </c>
    </row>
    <row r="146" spans="1:14" x14ac:dyDescent="0.2">
      <c r="A146" s="1" t="s">
        <v>53</v>
      </c>
      <c r="B146" s="1" t="s">
        <v>61</v>
      </c>
      <c r="C146" s="1" t="s">
        <v>254</v>
      </c>
      <c r="D146" s="2">
        <v>631</v>
      </c>
      <c r="E146" s="2">
        <v>261</v>
      </c>
      <c r="F146" s="2">
        <f t="shared" si="6"/>
        <v>892</v>
      </c>
      <c r="G146" s="3">
        <f t="shared" si="7"/>
        <v>0.70739910313901344</v>
      </c>
      <c r="H146" s="3">
        <f t="shared" si="8"/>
        <v>0.29260089686098656</v>
      </c>
      <c r="I146" s="1" t="s">
        <v>522</v>
      </c>
      <c r="J146" s="2">
        <v>579</v>
      </c>
      <c r="K146" s="2">
        <v>292</v>
      </c>
      <c r="L146" s="2">
        <v>871</v>
      </c>
      <c r="M146" s="3">
        <v>0.66475315729047069</v>
      </c>
      <c r="N146" s="6">
        <v>4.26</v>
      </c>
    </row>
    <row r="147" spans="1:14" x14ac:dyDescent="0.2">
      <c r="A147" s="1" t="s">
        <v>53</v>
      </c>
      <c r="B147" s="1" t="s">
        <v>61</v>
      </c>
      <c r="C147" s="1" t="s">
        <v>255</v>
      </c>
      <c r="D147" s="2">
        <v>469</v>
      </c>
      <c r="E147" s="2">
        <v>275</v>
      </c>
      <c r="F147" s="2">
        <f t="shared" si="6"/>
        <v>744</v>
      </c>
      <c r="G147" s="3">
        <f t="shared" si="7"/>
        <v>0.6303763440860215</v>
      </c>
      <c r="H147" s="3">
        <f t="shared" si="8"/>
        <v>0.3696236559139785</v>
      </c>
      <c r="I147" s="1" t="s">
        <v>522</v>
      </c>
      <c r="J147" s="2">
        <v>440</v>
      </c>
      <c r="K147" s="2">
        <v>262</v>
      </c>
      <c r="L147" s="2">
        <v>702</v>
      </c>
      <c r="M147" s="3">
        <v>0.62678062678062674</v>
      </c>
      <c r="N147" s="6">
        <v>0.36</v>
      </c>
    </row>
    <row r="148" spans="1:14" x14ac:dyDescent="0.2">
      <c r="A148" s="1" t="s">
        <v>53</v>
      </c>
      <c r="B148" s="1" t="s">
        <v>61</v>
      </c>
      <c r="C148" s="1" t="s">
        <v>256</v>
      </c>
      <c r="D148" s="2">
        <v>477</v>
      </c>
      <c r="E148" s="2">
        <v>228</v>
      </c>
      <c r="F148" s="2">
        <f t="shared" si="6"/>
        <v>705</v>
      </c>
      <c r="G148" s="3">
        <f t="shared" si="7"/>
        <v>0.67659574468085104</v>
      </c>
      <c r="H148" s="3">
        <f t="shared" si="8"/>
        <v>0.32340425531914896</v>
      </c>
      <c r="I148" s="1" t="s">
        <v>522</v>
      </c>
      <c r="J148" s="2">
        <v>414</v>
      </c>
      <c r="K148" s="2">
        <v>239</v>
      </c>
      <c r="L148" s="2">
        <v>653</v>
      </c>
      <c r="M148" s="3">
        <v>0.63399693721286365</v>
      </c>
      <c r="N148" s="6">
        <v>4.26</v>
      </c>
    </row>
    <row r="149" spans="1:14" x14ac:dyDescent="0.2">
      <c r="A149" s="1" t="s">
        <v>53</v>
      </c>
      <c r="B149" s="1" t="s">
        <v>62</v>
      </c>
      <c r="C149" s="1" t="s">
        <v>62</v>
      </c>
      <c r="D149" s="2">
        <v>406</v>
      </c>
      <c r="E149" s="2">
        <v>334</v>
      </c>
      <c r="F149" s="2">
        <f t="shared" si="6"/>
        <v>740</v>
      </c>
      <c r="G149" s="3">
        <f t="shared" si="7"/>
        <v>0.5486486486486486</v>
      </c>
      <c r="H149" s="3">
        <f t="shared" si="8"/>
        <v>0.45135135135135135</v>
      </c>
      <c r="I149" s="1" t="s">
        <v>522</v>
      </c>
      <c r="J149" s="2">
        <v>379</v>
      </c>
      <c r="K149" s="2">
        <v>330</v>
      </c>
      <c r="L149" s="2">
        <v>709</v>
      </c>
      <c r="M149" s="3">
        <v>0.5345557122708039</v>
      </c>
      <c r="N149" s="6">
        <v>1.41</v>
      </c>
    </row>
    <row r="150" spans="1:14" x14ac:dyDescent="0.2">
      <c r="A150" s="1" t="s">
        <v>53</v>
      </c>
      <c r="B150" s="1" t="s">
        <v>63</v>
      </c>
      <c r="C150" s="1" t="s">
        <v>63</v>
      </c>
      <c r="D150" s="2">
        <v>648</v>
      </c>
      <c r="E150" s="2">
        <v>1407</v>
      </c>
      <c r="F150" s="2">
        <f t="shared" si="6"/>
        <v>2055</v>
      </c>
      <c r="G150" s="3">
        <f t="shared" si="7"/>
        <v>0.31532846715328466</v>
      </c>
      <c r="H150" s="3">
        <f t="shared" si="8"/>
        <v>0.68467153284671534</v>
      </c>
      <c r="I150" s="1" t="s">
        <v>522</v>
      </c>
      <c r="J150" s="2">
        <v>654</v>
      </c>
      <c r="K150" s="2">
        <v>1439</v>
      </c>
      <c r="L150" s="2">
        <v>2093</v>
      </c>
      <c r="M150" s="3">
        <v>0.3124701385570951</v>
      </c>
      <c r="N150" s="6">
        <v>0.28999999999999998</v>
      </c>
    </row>
    <row r="151" spans="1:14" x14ac:dyDescent="0.2">
      <c r="A151" s="1" t="s">
        <v>53</v>
      </c>
      <c r="B151" s="1" t="s">
        <v>64</v>
      </c>
      <c r="C151" s="1" t="s">
        <v>257</v>
      </c>
      <c r="D151" s="2">
        <v>978</v>
      </c>
      <c r="E151" s="2">
        <v>970</v>
      </c>
      <c r="F151" s="2">
        <f t="shared" si="6"/>
        <v>1948</v>
      </c>
      <c r="G151" s="3">
        <f t="shared" si="7"/>
        <v>0.50205338809034905</v>
      </c>
      <c r="H151" s="3">
        <f t="shared" si="8"/>
        <v>0.49794661190965095</v>
      </c>
      <c r="I151" s="1" t="s">
        <v>522</v>
      </c>
      <c r="J151" s="2">
        <v>928</v>
      </c>
      <c r="K151" s="2">
        <v>988</v>
      </c>
      <c r="L151" s="2">
        <v>1916</v>
      </c>
      <c r="M151" s="3">
        <v>0.48434237995824642</v>
      </c>
      <c r="N151" s="6">
        <v>1.77</v>
      </c>
    </row>
    <row r="152" spans="1:14" x14ac:dyDescent="0.2">
      <c r="A152" s="1" t="s">
        <v>53</v>
      </c>
      <c r="B152" s="1" t="s">
        <v>64</v>
      </c>
      <c r="C152" s="1" t="s">
        <v>258</v>
      </c>
      <c r="D152" s="2">
        <v>1157</v>
      </c>
      <c r="E152" s="2">
        <v>1083</v>
      </c>
      <c r="F152" s="2">
        <f t="shared" si="6"/>
        <v>2240</v>
      </c>
      <c r="G152" s="3">
        <f t="shared" si="7"/>
        <v>0.51651785714285714</v>
      </c>
      <c r="H152" s="3">
        <f t="shared" si="8"/>
        <v>0.48348214285714286</v>
      </c>
      <c r="I152" s="1" t="s">
        <v>522</v>
      </c>
      <c r="J152" s="2">
        <v>1082</v>
      </c>
      <c r="K152" s="2">
        <v>1101</v>
      </c>
      <c r="L152" s="2">
        <v>2183</v>
      </c>
      <c r="M152" s="3">
        <v>0.49564819056344478</v>
      </c>
      <c r="N152" s="6">
        <v>2.09</v>
      </c>
    </row>
    <row r="153" spans="1:14" x14ac:dyDescent="0.2">
      <c r="A153" s="1" t="s">
        <v>53</v>
      </c>
      <c r="B153" s="1" t="s">
        <v>64</v>
      </c>
      <c r="C153" s="1" t="s">
        <v>259</v>
      </c>
      <c r="D153" s="2">
        <v>1913</v>
      </c>
      <c r="E153" s="2">
        <v>1833</v>
      </c>
      <c r="F153" s="2">
        <f t="shared" si="6"/>
        <v>3746</v>
      </c>
      <c r="G153" s="3">
        <f t="shared" si="7"/>
        <v>0.51067805659369991</v>
      </c>
      <c r="H153" s="3">
        <f t="shared" si="8"/>
        <v>0.48932194340630003</v>
      </c>
      <c r="I153" s="1" t="s">
        <v>522</v>
      </c>
      <c r="J153" s="2">
        <v>1799</v>
      </c>
      <c r="K153" s="2">
        <v>1810</v>
      </c>
      <c r="L153" s="2">
        <v>3609</v>
      </c>
      <c r="M153" s="3">
        <v>0.49847603214186748</v>
      </c>
      <c r="N153" s="6">
        <v>1.22</v>
      </c>
    </row>
    <row r="154" spans="1:14" x14ac:dyDescent="0.2">
      <c r="A154" s="1" t="s">
        <v>53</v>
      </c>
      <c r="B154" s="1" t="s">
        <v>64</v>
      </c>
      <c r="C154" s="1" t="s">
        <v>260</v>
      </c>
      <c r="D154" s="2">
        <v>949</v>
      </c>
      <c r="E154" s="2">
        <v>939</v>
      </c>
      <c r="F154" s="2">
        <f t="shared" si="6"/>
        <v>1888</v>
      </c>
      <c r="G154" s="3">
        <f t="shared" si="7"/>
        <v>0.50264830508474578</v>
      </c>
      <c r="H154" s="3">
        <f t="shared" si="8"/>
        <v>0.49735169491525422</v>
      </c>
      <c r="I154" s="1" t="s">
        <v>522</v>
      </c>
      <c r="J154" s="2">
        <v>906</v>
      </c>
      <c r="K154" s="2">
        <v>980</v>
      </c>
      <c r="L154" s="2">
        <v>1886</v>
      </c>
      <c r="M154" s="3">
        <v>0.48038176033934249</v>
      </c>
      <c r="N154" s="6">
        <v>2.23</v>
      </c>
    </row>
    <row r="155" spans="1:14" x14ac:dyDescent="0.2">
      <c r="A155" s="1" t="s">
        <v>53</v>
      </c>
      <c r="B155" s="1" t="s">
        <v>64</v>
      </c>
      <c r="C155" s="1" t="s">
        <v>261</v>
      </c>
      <c r="D155" s="2">
        <v>848</v>
      </c>
      <c r="E155" s="2">
        <v>845</v>
      </c>
      <c r="F155" s="2">
        <f t="shared" si="6"/>
        <v>1693</v>
      </c>
      <c r="G155" s="3">
        <f t="shared" si="7"/>
        <v>0.50088600118133486</v>
      </c>
      <c r="H155" s="3">
        <f t="shared" si="8"/>
        <v>0.49911399881866508</v>
      </c>
      <c r="I155" s="1" t="s">
        <v>522</v>
      </c>
      <c r="J155" s="2">
        <v>852</v>
      </c>
      <c r="K155" s="2">
        <v>912</v>
      </c>
      <c r="L155" s="2">
        <v>1764</v>
      </c>
      <c r="M155" s="3">
        <v>0.48299319727891149</v>
      </c>
      <c r="N155" s="6">
        <v>1.79</v>
      </c>
    </row>
    <row r="156" spans="1:14" x14ac:dyDescent="0.2">
      <c r="A156" s="1" t="s">
        <v>53</v>
      </c>
      <c r="B156" s="1" t="s">
        <v>64</v>
      </c>
      <c r="C156" s="1" t="s">
        <v>262</v>
      </c>
      <c r="D156" s="2">
        <v>712</v>
      </c>
      <c r="E156" s="2">
        <v>672</v>
      </c>
      <c r="F156" s="2">
        <f t="shared" si="6"/>
        <v>1384</v>
      </c>
      <c r="G156" s="3">
        <f t="shared" si="7"/>
        <v>0.51445086705202314</v>
      </c>
      <c r="H156" s="3">
        <f t="shared" si="8"/>
        <v>0.48554913294797686</v>
      </c>
      <c r="I156" s="1" t="s">
        <v>522</v>
      </c>
      <c r="J156" s="2">
        <v>715</v>
      </c>
      <c r="K156" s="2">
        <v>677</v>
      </c>
      <c r="L156" s="2">
        <v>1392</v>
      </c>
      <c r="M156" s="3">
        <v>0.51364942528735635</v>
      </c>
      <c r="N156" s="6">
        <v>0.08</v>
      </c>
    </row>
    <row r="157" spans="1:14" x14ac:dyDescent="0.2">
      <c r="A157" s="1" t="s">
        <v>53</v>
      </c>
      <c r="B157" s="1" t="s">
        <v>64</v>
      </c>
      <c r="C157" s="1" t="s">
        <v>263</v>
      </c>
      <c r="D157" s="2">
        <v>1651</v>
      </c>
      <c r="E157" s="2">
        <v>1485</v>
      </c>
      <c r="F157" s="2">
        <f t="shared" si="6"/>
        <v>3136</v>
      </c>
      <c r="G157" s="3">
        <f t="shared" si="7"/>
        <v>0.52646683673469385</v>
      </c>
      <c r="H157" s="3">
        <f t="shared" si="8"/>
        <v>0.47353316326530615</v>
      </c>
      <c r="I157" s="1" t="s">
        <v>522</v>
      </c>
      <c r="J157" s="2">
        <v>1480</v>
      </c>
      <c r="K157" s="2">
        <v>1588</v>
      </c>
      <c r="L157" s="2">
        <v>3068</v>
      </c>
      <c r="M157" s="3">
        <v>0.48239895697522822</v>
      </c>
      <c r="N157" s="6">
        <v>4.41</v>
      </c>
    </row>
    <row r="158" spans="1:14" x14ac:dyDescent="0.2">
      <c r="A158" s="1" t="s">
        <v>53</v>
      </c>
      <c r="B158" s="1" t="s">
        <v>64</v>
      </c>
      <c r="C158" s="1" t="s">
        <v>264</v>
      </c>
      <c r="D158" s="2">
        <v>932</v>
      </c>
      <c r="E158" s="2">
        <v>775</v>
      </c>
      <c r="F158" s="2">
        <f t="shared" si="6"/>
        <v>1707</v>
      </c>
      <c r="G158" s="3">
        <f t="shared" si="7"/>
        <v>0.5459871118922085</v>
      </c>
      <c r="H158" s="3">
        <f t="shared" si="8"/>
        <v>0.45401288810779145</v>
      </c>
      <c r="I158" s="1" t="s">
        <v>522</v>
      </c>
      <c r="J158" s="2">
        <v>890</v>
      </c>
      <c r="K158" s="2">
        <v>789</v>
      </c>
      <c r="L158" s="2">
        <v>1679</v>
      </c>
      <c r="M158" s="3">
        <v>0.53007742703990468</v>
      </c>
      <c r="N158" s="6">
        <v>1.59</v>
      </c>
    </row>
    <row r="159" spans="1:14" x14ac:dyDescent="0.2">
      <c r="A159" s="1" t="s">
        <v>53</v>
      </c>
      <c r="B159" s="1" t="s">
        <v>64</v>
      </c>
      <c r="C159" s="1" t="s">
        <v>265</v>
      </c>
      <c r="D159" s="2">
        <v>835</v>
      </c>
      <c r="E159" s="2">
        <v>741</v>
      </c>
      <c r="F159" s="2">
        <f t="shared" si="6"/>
        <v>1576</v>
      </c>
      <c r="G159" s="3">
        <f t="shared" si="7"/>
        <v>0.52982233502538068</v>
      </c>
      <c r="H159" s="3">
        <f t="shared" si="8"/>
        <v>0.47017766497461927</v>
      </c>
      <c r="I159" s="1" t="s">
        <v>522</v>
      </c>
      <c r="J159" s="2">
        <v>817</v>
      </c>
      <c r="K159" s="2">
        <v>798</v>
      </c>
      <c r="L159" s="2">
        <v>1615</v>
      </c>
      <c r="M159" s="3">
        <v>0.50588235294117645</v>
      </c>
      <c r="N159" s="6">
        <v>2.39</v>
      </c>
    </row>
    <row r="160" spans="1:14" x14ac:dyDescent="0.2">
      <c r="A160" s="1" t="s">
        <v>53</v>
      </c>
      <c r="B160" s="1" t="s">
        <v>64</v>
      </c>
      <c r="C160" s="1" t="s">
        <v>266</v>
      </c>
      <c r="D160" s="2">
        <v>601</v>
      </c>
      <c r="E160" s="2">
        <v>517</v>
      </c>
      <c r="F160" s="2">
        <f t="shared" si="6"/>
        <v>1118</v>
      </c>
      <c r="G160" s="3">
        <f t="shared" si="7"/>
        <v>0.53756708407871201</v>
      </c>
      <c r="H160" s="3">
        <f t="shared" si="8"/>
        <v>0.46243291592128799</v>
      </c>
      <c r="I160" s="1" t="s">
        <v>522</v>
      </c>
      <c r="J160" s="2">
        <v>552</v>
      </c>
      <c r="K160" s="2">
        <v>556</v>
      </c>
      <c r="L160" s="2">
        <v>1108</v>
      </c>
      <c r="M160" s="3">
        <v>0.49819494584837543</v>
      </c>
      <c r="N160" s="6">
        <v>3.94</v>
      </c>
    </row>
    <row r="161" spans="1:14" x14ac:dyDescent="0.2">
      <c r="A161" s="1" t="s">
        <v>53</v>
      </c>
      <c r="B161" s="1" t="s">
        <v>65</v>
      </c>
      <c r="C161" s="1" t="s">
        <v>65</v>
      </c>
      <c r="D161" s="2">
        <v>1014</v>
      </c>
      <c r="E161" s="2">
        <v>1587</v>
      </c>
      <c r="F161" s="2">
        <f t="shared" si="6"/>
        <v>2601</v>
      </c>
      <c r="G161" s="3">
        <f t="shared" si="7"/>
        <v>0.38985005767012687</v>
      </c>
      <c r="H161" s="3">
        <f t="shared" si="8"/>
        <v>0.61014994232987307</v>
      </c>
      <c r="I161" s="1" t="s">
        <v>522</v>
      </c>
      <c r="J161" s="2">
        <v>985</v>
      </c>
      <c r="K161" s="2">
        <v>1586</v>
      </c>
      <c r="L161" s="2">
        <v>2571</v>
      </c>
      <c r="M161" s="3">
        <v>0.38311940879035389</v>
      </c>
      <c r="N161" s="6">
        <v>0.67</v>
      </c>
    </row>
    <row r="162" spans="1:14" x14ac:dyDescent="0.2">
      <c r="A162" s="1" t="s">
        <v>53</v>
      </c>
      <c r="B162" s="1" t="s">
        <v>66</v>
      </c>
      <c r="C162" s="1" t="s">
        <v>66</v>
      </c>
      <c r="D162" s="2">
        <v>560</v>
      </c>
      <c r="E162" s="2">
        <v>1004</v>
      </c>
      <c r="F162" s="2">
        <f t="shared" si="6"/>
        <v>1564</v>
      </c>
      <c r="G162" s="3">
        <f t="shared" si="7"/>
        <v>0.35805626598465473</v>
      </c>
      <c r="H162" s="3">
        <f t="shared" si="8"/>
        <v>0.64194373401534521</v>
      </c>
      <c r="I162" s="1" t="s">
        <v>522</v>
      </c>
      <c r="J162" s="2">
        <v>543</v>
      </c>
      <c r="K162" s="2">
        <v>990</v>
      </c>
      <c r="L162" s="2">
        <v>1533</v>
      </c>
      <c r="M162" s="3">
        <v>0.3542074363992172</v>
      </c>
      <c r="N162" s="6">
        <v>0.38</v>
      </c>
    </row>
    <row r="163" spans="1:14" x14ac:dyDescent="0.2">
      <c r="A163" s="1" t="s">
        <v>53</v>
      </c>
      <c r="B163" s="1" t="s">
        <v>67</v>
      </c>
      <c r="C163" s="1" t="s">
        <v>267</v>
      </c>
      <c r="D163" s="2">
        <v>185</v>
      </c>
      <c r="E163" s="2">
        <v>464</v>
      </c>
      <c r="F163" s="2">
        <f t="shared" si="6"/>
        <v>649</v>
      </c>
      <c r="G163" s="3">
        <f t="shared" si="7"/>
        <v>0.28505392912172572</v>
      </c>
      <c r="H163" s="3">
        <f t="shared" si="8"/>
        <v>0.71494607087827422</v>
      </c>
      <c r="I163" s="1" t="s">
        <v>522</v>
      </c>
      <c r="J163" s="2">
        <v>181</v>
      </c>
      <c r="K163" s="2">
        <v>482</v>
      </c>
      <c r="L163" s="2">
        <v>663</v>
      </c>
      <c r="M163" s="3">
        <v>0.27300150829562592</v>
      </c>
      <c r="N163" s="6">
        <v>1.21</v>
      </c>
    </row>
    <row r="164" spans="1:14" x14ac:dyDescent="0.2">
      <c r="A164" s="1" t="s">
        <v>53</v>
      </c>
      <c r="B164" s="1" t="s">
        <v>67</v>
      </c>
      <c r="C164" s="1" t="s">
        <v>268</v>
      </c>
      <c r="D164" s="2">
        <v>143</v>
      </c>
      <c r="E164" s="2">
        <v>320</v>
      </c>
      <c r="F164" s="2">
        <f t="shared" si="6"/>
        <v>463</v>
      </c>
      <c r="G164" s="3">
        <f t="shared" si="7"/>
        <v>0.30885529157667385</v>
      </c>
      <c r="H164" s="3">
        <f t="shared" si="8"/>
        <v>0.69114470842332609</v>
      </c>
      <c r="I164" s="1" t="s">
        <v>522</v>
      </c>
      <c r="J164" s="2">
        <v>147</v>
      </c>
      <c r="K164" s="2">
        <v>314</v>
      </c>
      <c r="L164" s="2">
        <v>461</v>
      </c>
      <c r="M164" s="3">
        <v>0.31887201735357917</v>
      </c>
      <c r="N164" s="6">
        <v>-1</v>
      </c>
    </row>
    <row r="165" spans="1:14" x14ac:dyDescent="0.2">
      <c r="A165" s="1" t="s">
        <v>53</v>
      </c>
      <c r="B165" s="1" t="s">
        <v>67</v>
      </c>
      <c r="C165" s="1" t="s">
        <v>269</v>
      </c>
      <c r="D165" s="2">
        <v>535</v>
      </c>
      <c r="E165" s="2">
        <v>1052</v>
      </c>
      <c r="F165" s="2">
        <f t="shared" si="6"/>
        <v>1587</v>
      </c>
      <c r="G165" s="3">
        <f t="shared" si="7"/>
        <v>0.33711405166981728</v>
      </c>
      <c r="H165" s="3">
        <f t="shared" si="8"/>
        <v>0.66288594833018277</v>
      </c>
      <c r="I165" s="1" t="s">
        <v>522</v>
      </c>
      <c r="J165" s="2">
        <v>522</v>
      </c>
      <c r="K165" s="2">
        <v>1060</v>
      </c>
      <c r="L165" s="2">
        <v>1582</v>
      </c>
      <c r="M165" s="3">
        <v>0.32996207332490518</v>
      </c>
      <c r="N165" s="6">
        <v>0.72</v>
      </c>
    </row>
    <row r="166" spans="1:14" x14ac:dyDescent="0.2">
      <c r="A166" s="1" t="s">
        <v>53</v>
      </c>
      <c r="B166" s="1" t="s">
        <v>68</v>
      </c>
      <c r="C166" s="1" t="s">
        <v>68</v>
      </c>
      <c r="D166" s="2">
        <v>1033</v>
      </c>
      <c r="E166" s="2">
        <v>860</v>
      </c>
      <c r="F166" s="2">
        <f t="shared" si="6"/>
        <v>1893</v>
      </c>
      <c r="G166" s="3">
        <f t="shared" si="7"/>
        <v>0.54569466455361859</v>
      </c>
      <c r="H166" s="3">
        <f t="shared" si="8"/>
        <v>0.45430533544638141</v>
      </c>
      <c r="I166" s="1" t="s">
        <v>522</v>
      </c>
      <c r="J166" s="2">
        <v>980</v>
      </c>
      <c r="K166" s="2">
        <v>872</v>
      </c>
      <c r="L166" s="2">
        <v>1852</v>
      </c>
      <c r="M166" s="3">
        <v>0.52915766738660908</v>
      </c>
      <c r="N166" s="6">
        <v>1.65</v>
      </c>
    </row>
    <row r="167" spans="1:14" x14ac:dyDescent="0.2">
      <c r="A167" s="1" t="s">
        <v>53</v>
      </c>
      <c r="B167" s="1" t="s">
        <v>69</v>
      </c>
      <c r="C167" s="1" t="s">
        <v>270</v>
      </c>
      <c r="D167" s="2">
        <v>1023</v>
      </c>
      <c r="E167" s="2">
        <v>1328</v>
      </c>
      <c r="F167" s="2">
        <f t="shared" si="6"/>
        <v>2351</v>
      </c>
      <c r="G167" s="3">
        <f t="shared" si="7"/>
        <v>0.43513398553806892</v>
      </c>
      <c r="H167" s="3">
        <f t="shared" si="8"/>
        <v>0.56486601446193108</v>
      </c>
      <c r="I167" s="1" t="s">
        <v>522</v>
      </c>
      <c r="J167" s="2">
        <v>1010</v>
      </c>
      <c r="K167" s="2">
        <v>1334</v>
      </c>
      <c r="L167" s="2">
        <v>2344</v>
      </c>
      <c r="M167" s="3">
        <v>0.4308873720136519</v>
      </c>
      <c r="N167" s="6">
        <v>0.42</v>
      </c>
    </row>
    <row r="168" spans="1:14" x14ac:dyDescent="0.2">
      <c r="A168" s="1" t="s">
        <v>53</v>
      </c>
      <c r="B168" s="1" t="s">
        <v>69</v>
      </c>
      <c r="C168" s="1" t="s">
        <v>271</v>
      </c>
      <c r="D168" s="2">
        <v>907</v>
      </c>
      <c r="E168" s="2">
        <v>1313</v>
      </c>
      <c r="F168" s="2">
        <f t="shared" si="6"/>
        <v>2220</v>
      </c>
      <c r="G168" s="3">
        <f t="shared" si="7"/>
        <v>0.40855855855855855</v>
      </c>
      <c r="H168" s="3">
        <f t="shared" si="8"/>
        <v>0.5914414414414414</v>
      </c>
      <c r="I168" s="1" t="s">
        <v>522</v>
      </c>
      <c r="J168" s="2">
        <v>860</v>
      </c>
      <c r="K168" s="2">
        <v>1332</v>
      </c>
      <c r="L168" s="2">
        <v>2192</v>
      </c>
      <c r="M168" s="3">
        <v>0.39233576642335771</v>
      </c>
      <c r="N168" s="6">
        <v>1.62</v>
      </c>
    </row>
    <row r="169" spans="1:14" x14ac:dyDescent="0.2">
      <c r="A169" s="1" t="s">
        <v>53</v>
      </c>
      <c r="B169" s="1" t="s">
        <v>69</v>
      </c>
      <c r="C169" s="1" t="s">
        <v>272</v>
      </c>
      <c r="D169" s="2">
        <v>471</v>
      </c>
      <c r="E169" s="2">
        <v>675</v>
      </c>
      <c r="F169" s="2">
        <f t="shared" si="6"/>
        <v>1146</v>
      </c>
      <c r="G169" s="3">
        <f t="shared" si="7"/>
        <v>0.41099476439790578</v>
      </c>
      <c r="H169" s="3">
        <f t="shared" si="8"/>
        <v>0.58900523560209428</v>
      </c>
      <c r="I169" s="1" t="s">
        <v>522</v>
      </c>
      <c r="J169" s="2">
        <v>449</v>
      </c>
      <c r="K169" s="2">
        <v>705</v>
      </c>
      <c r="L169" s="2">
        <v>1154</v>
      </c>
      <c r="M169" s="3">
        <v>0.38908145580589248</v>
      </c>
      <c r="N169" s="6">
        <v>2.19</v>
      </c>
    </row>
    <row r="170" spans="1:14" x14ac:dyDescent="0.2">
      <c r="A170" s="1" t="s">
        <v>53</v>
      </c>
      <c r="B170" s="1" t="s">
        <v>69</v>
      </c>
      <c r="C170" s="1" t="s">
        <v>273</v>
      </c>
      <c r="D170" s="2">
        <v>674</v>
      </c>
      <c r="E170" s="2">
        <v>995</v>
      </c>
      <c r="F170" s="2">
        <f t="shared" si="6"/>
        <v>1669</v>
      </c>
      <c r="G170" s="3">
        <f t="shared" si="7"/>
        <v>0.40383463151587778</v>
      </c>
      <c r="H170" s="3">
        <f t="shared" si="8"/>
        <v>0.59616536848412227</v>
      </c>
      <c r="I170" s="1" t="s">
        <v>522</v>
      </c>
      <c r="J170" s="2">
        <v>654</v>
      </c>
      <c r="K170" s="2">
        <v>979</v>
      </c>
      <c r="L170" s="2">
        <v>1633</v>
      </c>
      <c r="M170" s="3">
        <v>0.40048989589712192</v>
      </c>
      <c r="N170" s="6">
        <v>0.33</v>
      </c>
    </row>
    <row r="171" spans="1:14" x14ac:dyDescent="0.2">
      <c r="A171" s="1" t="s">
        <v>53</v>
      </c>
      <c r="B171" s="1" t="s">
        <v>69</v>
      </c>
      <c r="C171" s="1" t="s">
        <v>274</v>
      </c>
      <c r="D171" s="2">
        <v>578</v>
      </c>
      <c r="E171" s="2">
        <v>864</v>
      </c>
      <c r="F171" s="2">
        <f t="shared" si="6"/>
        <v>1442</v>
      </c>
      <c r="G171" s="3">
        <f t="shared" si="7"/>
        <v>0.40083217753120665</v>
      </c>
      <c r="H171" s="3">
        <f t="shared" si="8"/>
        <v>0.5991678224687933</v>
      </c>
      <c r="I171" s="1" t="s">
        <v>522</v>
      </c>
      <c r="J171" s="2">
        <v>557</v>
      </c>
      <c r="K171" s="2">
        <v>890</v>
      </c>
      <c r="L171" s="2">
        <v>1447</v>
      </c>
      <c r="M171" s="3">
        <v>0.38493434692467171</v>
      </c>
      <c r="N171" s="6">
        <v>1.59</v>
      </c>
    </row>
    <row r="172" spans="1:14" x14ac:dyDescent="0.2">
      <c r="A172" s="1" t="s">
        <v>53</v>
      </c>
      <c r="B172" s="1" t="s">
        <v>69</v>
      </c>
      <c r="C172" s="1" t="s">
        <v>275</v>
      </c>
      <c r="D172" s="2">
        <v>536</v>
      </c>
      <c r="E172" s="2">
        <v>672</v>
      </c>
      <c r="F172" s="2">
        <f t="shared" si="6"/>
        <v>1208</v>
      </c>
      <c r="G172" s="3">
        <f t="shared" si="7"/>
        <v>0.44370860927152317</v>
      </c>
      <c r="H172" s="3">
        <f t="shared" si="8"/>
        <v>0.55629139072847678</v>
      </c>
      <c r="I172" s="1" t="s">
        <v>522</v>
      </c>
      <c r="J172" s="2">
        <v>492</v>
      </c>
      <c r="K172" s="2">
        <v>675</v>
      </c>
      <c r="L172" s="2">
        <v>1167</v>
      </c>
      <c r="M172" s="3">
        <v>0.42159383033419018</v>
      </c>
      <c r="N172" s="6">
        <v>2.21</v>
      </c>
    </row>
    <row r="173" spans="1:14" x14ac:dyDescent="0.2">
      <c r="A173" s="1" t="s">
        <v>53</v>
      </c>
      <c r="B173" s="1" t="s">
        <v>70</v>
      </c>
      <c r="C173" s="1" t="s">
        <v>276</v>
      </c>
      <c r="D173" s="2">
        <v>690</v>
      </c>
      <c r="E173" s="2">
        <v>700</v>
      </c>
      <c r="F173" s="2">
        <f t="shared" si="6"/>
        <v>1390</v>
      </c>
      <c r="G173" s="3">
        <f t="shared" si="7"/>
        <v>0.49640287769784175</v>
      </c>
      <c r="H173" s="3">
        <f t="shared" si="8"/>
        <v>0.50359712230215825</v>
      </c>
      <c r="I173" s="1" t="s">
        <v>522</v>
      </c>
      <c r="J173" s="2">
        <v>668</v>
      </c>
      <c r="K173" s="2">
        <v>693</v>
      </c>
      <c r="L173" s="2">
        <v>1361</v>
      </c>
      <c r="M173" s="3">
        <v>0.49081557678177812</v>
      </c>
      <c r="N173" s="6">
        <v>0.56000000000000005</v>
      </c>
    </row>
    <row r="174" spans="1:14" x14ac:dyDescent="0.2">
      <c r="A174" s="1" t="s">
        <v>53</v>
      </c>
      <c r="B174" s="1" t="s">
        <v>70</v>
      </c>
      <c r="C174" s="1" t="s">
        <v>277</v>
      </c>
      <c r="D174" s="2">
        <v>814</v>
      </c>
      <c r="E174" s="2">
        <v>800</v>
      </c>
      <c r="F174" s="2">
        <f t="shared" si="6"/>
        <v>1614</v>
      </c>
      <c r="G174" s="3">
        <f t="shared" si="7"/>
        <v>0.50433705080545232</v>
      </c>
      <c r="H174" s="3">
        <f t="shared" si="8"/>
        <v>0.49566294919454773</v>
      </c>
      <c r="I174" s="1" t="s">
        <v>522</v>
      </c>
      <c r="J174" s="2">
        <v>803</v>
      </c>
      <c r="K174" s="2">
        <v>818</v>
      </c>
      <c r="L174" s="2">
        <v>1621</v>
      </c>
      <c r="M174" s="3">
        <v>0.49537322640345471</v>
      </c>
      <c r="N174" s="6">
        <v>0.9</v>
      </c>
    </row>
    <row r="175" spans="1:14" x14ac:dyDescent="0.2">
      <c r="A175" s="1" t="s">
        <v>53</v>
      </c>
      <c r="B175" s="1" t="s">
        <v>70</v>
      </c>
      <c r="C175" s="1" t="s">
        <v>278</v>
      </c>
      <c r="D175" s="2">
        <v>369</v>
      </c>
      <c r="E175" s="2">
        <v>348</v>
      </c>
      <c r="F175" s="2">
        <f t="shared" si="6"/>
        <v>717</v>
      </c>
      <c r="G175" s="3">
        <f t="shared" si="7"/>
        <v>0.5146443514644351</v>
      </c>
      <c r="H175" s="3">
        <f t="shared" si="8"/>
        <v>0.48535564853556484</v>
      </c>
      <c r="I175" s="1" t="s">
        <v>522</v>
      </c>
      <c r="J175" s="2">
        <v>342</v>
      </c>
      <c r="K175" s="2">
        <v>358</v>
      </c>
      <c r="L175" s="2">
        <v>700</v>
      </c>
      <c r="M175" s="3">
        <v>0.48857142857142849</v>
      </c>
      <c r="N175" s="6">
        <v>2.61</v>
      </c>
    </row>
    <row r="176" spans="1:14" x14ac:dyDescent="0.2">
      <c r="A176" s="1" t="s">
        <v>53</v>
      </c>
      <c r="B176" s="1" t="s">
        <v>70</v>
      </c>
      <c r="C176" s="1" t="s">
        <v>279</v>
      </c>
      <c r="D176" s="2">
        <v>427</v>
      </c>
      <c r="E176" s="2">
        <v>396</v>
      </c>
      <c r="F176" s="2">
        <f t="shared" si="6"/>
        <v>823</v>
      </c>
      <c r="G176" s="3">
        <f t="shared" si="7"/>
        <v>0.51883353584447145</v>
      </c>
      <c r="H176" s="3">
        <f t="shared" si="8"/>
        <v>0.48116646415552855</v>
      </c>
      <c r="I176" s="1" t="s">
        <v>522</v>
      </c>
      <c r="J176" s="2">
        <v>411</v>
      </c>
      <c r="K176" s="2">
        <v>417</v>
      </c>
      <c r="L176" s="2">
        <v>828</v>
      </c>
      <c r="M176" s="3">
        <v>0.49637681159420288</v>
      </c>
      <c r="N176" s="6">
        <v>2.25</v>
      </c>
    </row>
    <row r="177" spans="1:14" x14ac:dyDescent="0.2">
      <c r="A177" s="1" t="s">
        <v>53</v>
      </c>
      <c r="B177" s="1" t="s">
        <v>70</v>
      </c>
      <c r="C177" s="1" t="s">
        <v>280</v>
      </c>
      <c r="D177" s="2">
        <v>520</v>
      </c>
      <c r="E177" s="2">
        <v>566</v>
      </c>
      <c r="F177" s="2">
        <f t="shared" si="6"/>
        <v>1086</v>
      </c>
      <c r="G177" s="3">
        <f t="shared" si="7"/>
        <v>0.47882136279926335</v>
      </c>
      <c r="H177" s="3">
        <f t="shared" si="8"/>
        <v>0.52117863720073665</v>
      </c>
      <c r="I177" s="1" t="s">
        <v>522</v>
      </c>
      <c r="J177" s="2">
        <v>525</v>
      </c>
      <c r="K177" s="2">
        <v>552</v>
      </c>
      <c r="L177" s="2">
        <v>1077</v>
      </c>
      <c r="M177" s="3">
        <v>0.48746518105849579</v>
      </c>
      <c r="N177" s="6">
        <v>-0.86</v>
      </c>
    </row>
    <row r="178" spans="1:14" x14ac:dyDescent="0.2">
      <c r="A178" s="1" t="s">
        <v>53</v>
      </c>
      <c r="B178" s="1" t="s">
        <v>70</v>
      </c>
      <c r="C178" s="1" t="s">
        <v>281</v>
      </c>
      <c r="D178" s="2">
        <v>320</v>
      </c>
      <c r="E178" s="2">
        <v>358</v>
      </c>
      <c r="F178" s="2">
        <f t="shared" si="6"/>
        <v>678</v>
      </c>
      <c r="G178" s="3">
        <f t="shared" si="7"/>
        <v>0.471976401179941</v>
      </c>
      <c r="H178" s="3">
        <f t="shared" si="8"/>
        <v>0.528023598820059</v>
      </c>
      <c r="I178" s="1" t="s">
        <v>522</v>
      </c>
      <c r="J178" s="2">
        <v>313</v>
      </c>
      <c r="K178" s="2">
        <v>360</v>
      </c>
      <c r="L178" s="2">
        <v>673</v>
      </c>
      <c r="M178" s="3">
        <v>0.46508172362555722</v>
      </c>
      <c r="N178" s="6">
        <v>0.69</v>
      </c>
    </row>
    <row r="179" spans="1:14" x14ac:dyDescent="0.2">
      <c r="A179" s="1" t="s">
        <v>53</v>
      </c>
      <c r="B179" s="1" t="s">
        <v>70</v>
      </c>
      <c r="C179" s="1" t="s">
        <v>282</v>
      </c>
      <c r="D179" s="2">
        <v>418</v>
      </c>
      <c r="E179" s="2">
        <v>371</v>
      </c>
      <c r="F179" s="2">
        <f t="shared" si="6"/>
        <v>789</v>
      </c>
      <c r="G179" s="3">
        <f t="shared" si="7"/>
        <v>0.52978453738910014</v>
      </c>
      <c r="H179" s="3">
        <f t="shared" si="8"/>
        <v>0.47021546261089986</v>
      </c>
      <c r="I179" s="1" t="s">
        <v>522</v>
      </c>
      <c r="J179" s="2">
        <v>415</v>
      </c>
      <c r="K179" s="2">
        <v>371</v>
      </c>
      <c r="L179" s="2">
        <v>786</v>
      </c>
      <c r="M179" s="3">
        <v>0.52798982188295163</v>
      </c>
      <c r="N179" s="6">
        <v>0.18</v>
      </c>
    </row>
    <row r="180" spans="1:14" x14ac:dyDescent="0.2">
      <c r="A180" s="1" t="s">
        <v>53</v>
      </c>
      <c r="B180" s="1" t="s">
        <v>70</v>
      </c>
      <c r="C180" s="1" t="s">
        <v>283</v>
      </c>
      <c r="D180" s="2">
        <v>541</v>
      </c>
      <c r="E180" s="2">
        <v>528</v>
      </c>
      <c r="F180" s="2">
        <f t="shared" si="6"/>
        <v>1069</v>
      </c>
      <c r="G180" s="3">
        <f t="shared" si="7"/>
        <v>0.5060804490177736</v>
      </c>
      <c r="H180" s="3">
        <f t="shared" si="8"/>
        <v>0.4939195509822264</v>
      </c>
      <c r="I180" s="1" t="s">
        <v>522</v>
      </c>
      <c r="J180" s="2">
        <v>533</v>
      </c>
      <c r="K180" s="2">
        <v>535</v>
      </c>
      <c r="L180" s="2">
        <v>1068</v>
      </c>
      <c r="M180" s="3">
        <v>0.49906367041198502</v>
      </c>
      <c r="N180" s="6">
        <v>0.7</v>
      </c>
    </row>
    <row r="181" spans="1:14" x14ac:dyDescent="0.2">
      <c r="A181" s="1" t="s">
        <v>53</v>
      </c>
      <c r="B181" s="1" t="s">
        <v>71</v>
      </c>
      <c r="C181" s="1" t="s">
        <v>284</v>
      </c>
      <c r="D181" s="2">
        <v>283</v>
      </c>
      <c r="E181" s="2">
        <v>307</v>
      </c>
      <c r="F181" s="2">
        <f t="shared" si="6"/>
        <v>590</v>
      </c>
      <c r="G181" s="3">
        <f t="shared" si="7"/>
        <v>0.47966101694915253</v>
      </c>
      <c r="H181" s="3">
        <f t="shared" si="8"/>
        <v>0.52033898305084747</v>
      </c>
      <c r="I181" s="1" t="s">
        <v>522</v>
      </c>
      <c r="J181" s="2">
        <v>242</v>
      </c>
      <c r="K181" s="2">
        <v>337</v>
      </c>
      <c r="L181" s="2">
        <v>579</v>
      </c>
      <c r="M181" s="3">
        <v>0.41796200345423151</v>
      </c>
      <c r="N181" s="6">
        <v>6.17</v>
      </c>
    </row>
    <row r="182" spans="1:14" x14ac:dyDescent="0.2">
      <c r="A182" s="1" t="s">
        <v>53</v>
      </c>
      <c r="B182" s="1" t="s">
        <v>71</v>
      </c>
      <c r="C182" s="1" t="s">
        <v>285</v>
      </c>
      <c r="D182" s="2">
        <v>215</v>
      </c>
      <c r="E182" s="2">
        <v>268</v>
      </c>
      <c r="F182" s="2">
        <f t="shared" si="6"/>
        <v>483</v>
      </c>
      <c r="G182" s="3">
        <f t="shared" si="7"/>
        <v>0.4451345755693582</v>
      </c>
      <c r="H182" s="3">
        <f t="shared" si="8"/>
        <v>0.5548654244306418</v>
      </c>
      <c r="I182" s="1" t="s">
        <v>522</v>
      </c>
      <c r="J182" s="2">
        <v>187</v>
      </c>
      <c r="K182" s="2">
        <v>292</v>
      </c>
      <c r="L182" s="2">
        <v>479</v>
      </c>
      <c r="M182" s="3">
        <v>0.39039665970772441</v>
      </c>
      <c r="N182" s="6">
        <v>5.47</v>
      </c>
    </row>
    <row r="183" spans="1:14" x14ac:dyDescent="0.2">
      <c r="A183" s="1" t="s">
        <v>53</v>
      </c>
      <c r="B183" s="1" t="s">
        <v>71</v>
      </c>
      <c r="C183" s="1" t="s">
        <v>286</v>
      </c>
      <c r="D183" s="2">
        <v>410</v>
      </c>
      <c r="E183" s="2">
        <v>515</v>
      </c>
      <c r="F183" s="2">
        <f t="shared" si="6"/>
        <v>925</v>
      </c>
      <c r="G183" s="3">
        <f t="shared" si="7"/>
        <v>0.44324324324324327</v>
      </c>
      <c r="H183" s="3">
        <f t="shared" si="8"/>
        <v>0.55675675675675673</v>
      </c>
      <c r="I183" s="1" t="s">
        <v>522</v>
      </c>
      <c r="J183" s="2">
        <v>371</v>
      </c>
      <c r="K183" s="2">
        <v>527</v>
      </c>
      <c r="L183" s="2">
        <v>898</v>
      </c>
      <c r="M183" s="3">
        <v>0.4131403118040089</v>
      </c>
      <c r="N183" s="6">
        <v>3.01</v>
      </c>
    </row>
    <row r="184" spans="1:14" x14ac:dyDescent="0.2">
      <c r="A184" s="1" t="s">
        <v>53</v>
      </c>
      <c r="B184" s="1" t="s">
        <v>72</v>
      </c>
      <c r="C184" s="1" t="s">
        <v>287</v>
      </c>
      <c r="D184" s="2">
        <v>974</v>
      </c>
      <c r="E184" s="2">
        <v>903</v>
      </c>
      <c r="F184" s="2">
        <f t="shared" si="6"/>
        <v>1877</v>
      </c>
      <c r="G184" s="3">
        <f t="shared" si="7"/>
        <v>0.51891315929675008</v>
      </c>
      <c r="H184" s="3">
        <f t="shared" si="8"/>
        <v>0.48108684070324986</v>
      </c>
      <c r="I184" s="1" t="s">
        <v>522</v>
      </c>
      <c r="J184" s="2">
        <v>912</v>
      </c>
      <c r="K184" s="2">
        <v>964</v>
      </c>
      <c r="L184" s="2">
        <v>1876</v>
      </c>
      <c r="M184" s="3">
        <v>0.48614072494669508</v>
      </c>
      <c r="N184" s="6">
        <v>3.28</v>
      </c>
    </row>
    <row r="185" spans="1:14" x14ac:dyDescent="0.2">
      <c r="A185" s="1" t="s">
        <v>53</v>
      </c>
      <c r="B185" s="1" t="s">
        <v>72</v>
      </c>
      <c r="C185" s="1" t="s">
        <v>288</v>
      </c>
      <c r="D185" s="2">
        <v>484</v>
      </c>
      <c r="E185" s="2">
        <v>434</v>
      </c>
      <c r="F185" s="2">
        <f t="shared" si="6"/>
        <v>918</v>
      </c>
      <c r="G185" s="3">
        <f t="shared" si="7"/>
        <v>0.52723311546840956</v>
      </c>
      <c r="H185" s="3">
        <f t="shared" si="8"/>
        <v>0.47276688453159044</v>
      </c>
      <c r="I185" s="1" t="s">
        <v>522</v>
      </c>
      <c r="J185" s="2">
        <v>449</v>
      </c>
      <c r="K185" s="2">
        <v>448</v>
      </c>
      <c r="L185" s="2">
        <v>897</v>
      </c>
      <c r="M185" s="3">
        <v>0.5005574136008919</v>
      </c>
      <c r="N185" s="6">
        <v>2.67</v>
      </c>
    </row>
    <row r="186" spans="1:14" x14ac:dyDescent="0.2">
      <c r="A186" s="1" t="s">
        <v>53</v>
      </c>
      <c r="B186" s="1" t="s">
        <v>72</v>
      </c>
      <c r="C186" s="1" t="s">
        <v>289</v>
      </c>
      <c r="D186" s="2">
        <v>1224</v>
      </c>
      <c r="E186" s="2">
        <v>864</v>
      </c>
      <c r="F186" s="2">
        <f t="shared" si="6"/>
        <v>2088</v>
      </c>
      <c r="G186" s="3">
        <f t="shared" si="7"/>
        <v>0.58620689655172409</v>
      </c>
      <c r="H186" s="3">
        <f t="shared" si="8"/>
        <v>0.41379310344827586</v>
      </c>
      <c r="I186" s="1" t="s">
        <v>522</v>
      </c>
      <c r="J186" s="2">
        <v>1161</v>
      </c>
      <c r="K186" s="2">
        <v>915</v>
      </c>
      <c r="L186" s="2">
        <v>2076</v>
      </c>
      <c r="M186" s="3">
        <v>0.55924855491329484</v>
      </c>
      <c r="N186" s="6">
        <v>2.7</v>
      </c>
    </row>
    <row r="187" spans="1:14" x14ac:dyDescent="0.2">
      <c r="A187" s="1" t="s">
        <v>53</v>
      </c>
      <c r="B187" s="1" t="s">
        <v>72</v>
      </c>
      <c r="C187" s="1" t="s">
        <v>290</v>
      </c>
      <c r="D187" s="2">
        <v>524</v>
      </c>
      <c r="E187" s="2">
        <v>552</v>
      </c>
      <c r="F187" s="2">
        <f t="shared" si="6"/>
        <v>1076</v>
      </c>
      <c r="G187" s="3">
        <f t="shared" si="7"/>
        <v>0.48698884758364314</v>
      </c>
      <c r="H187" s="3">
        <f t="shared" si="8"/>
        <v>0.51301115241635686</v>
      </c>
      <c r="I187" s="1" t="s">
        <v>522</v>
      </c>
      <c r="J187" s="2">
        <v>534</v>
      </c>
      <c r="K187" s="2">
        <v>577</v>
      </c>
      <c r="L187" s="2">
        <v>1111</v>
      </c>
      <c r="M187" s="3">
        <v>0.48064806480648059</v>
      </c>
      <c r="N187" s="6">
        <v>0.63</v>
      </c>
    </row>
    <row r="188" spans="1:14" x14ac:dyDescent="0.2">
      <c r="A188" s="1" t="s">
        <v>53</v>
      </c>
      <c r="B188" s="1" t="s">
        <v>72</v>
      </c>
      <c r="C188" s="1" t="s">
        <v>291</v>
      </c>
      <c r="D188" s="2">
        <v>1149</v>
      </c>
      <c r="E188" s="2">
        <v>752</v>
      </c>
      <c r="F188" s="2">
        <f t="shared" si="6"/>
        <v>1901</v>
      </c>
      <c r="G188" s="3">
        <f t="shared" si="7"/>
        <v>0.60441872698579691</v>
      </c>
      <c r="H188" s="3">
        <f t="shared" si="8"/>
        <v>0.39558127301420304</v>
      </c>
      <c r="I188" s="1" t="s">
        <v>522</v>
      </c>
      <c r="J188" s="2">
        <v>1123</v>
      </c>
      <c r="K188" s="2">
        <v>741</v>
      </c>
      <c r="L188" s="2">
        <v>1864</v>
      </c>
      <c r="M188" s="3">
        <v>0.60246781115879833</v>
      </c>
      <c r="N188" s="6">
        <v>0.2</v>
      </c>
    </row>
    <row r="189" spans="1:14" x14ac:dyDescent="0.2">
      <c r="A189" s="1" t="s">
        <v>53</v>
      </c>
      <c r="B189" s="1" t="s">
        <v>72</v>
      </c>
      <c r="C189" s="1" t="s">
        <v>292</v>
      </c>
      <c r="D189" s="2">
        <v>1091</v>
      </c>
      <c r="E189" s="2">
        <v>684</v>
      </c>
      <c r="F189" s="2">
        <f t="shared" si="6"/>
        <v>1775</v>
      </c>
      <c r="G189" s="3">
        <f t="shared" si="7"/>
        <v>0.61464788732394371</v>
      </c>
      <c r="H189" s="3">
        <f t="shared" si="8"/>
        <v>0.38535211267605635</v>
      </c>
      <c r="I189" s="1" t="s">
        <v>522</v>
      </c>
      <c r="J189" s="2">
        <v>1054</v>
      </c>
      <c r="K189" s="2">
        <v>706</v>
      </c>
      <c r="L189" s="2">
        <v>1760</v>
      </c>
      <c r="M189" s="3">
        <v>0.59886363636363638</v>
      </c>
      <c r="N189" s="6">
        <v>1.58</v>
      </c>
    </row>
    <row r="190" spans="1:14" x14ac:dyDescent="0.2">
      <c r="A190" s="1" t="s">
        <v>53</v>
      </c>
      <c r="B190" s="1" t="s">
        <v>72</v>
      </c>
      <c r="C190" s="1" t="s">
        <v>293</v>
      </c>
      <c r="D190" s="2">
        <v>514</v>
      </c>
      <c r="E190" s="2">
        <v>427</v>
      </c>
      <c r="F190" s="2">
        <f t="shared" si="6"/>
        <v>941</v>
      </c>
      <c r="G190" s="3">
        <f t="shared" si="7"/>
        <v>0.54622741764080762</v>
      </c>
      <c r="H190" s="3">
        <f t="shared" si="8"/>
        <v>0.45377258235919232</v>
      </c>
      <c r="I190" s="1" t="s">
        <v>522</v>
      </c>
      <c r="J190" s="2">
        <v>469</v>
      </c>
      <c r="K190" s="2">
        <v>468</v>
      </c>
      <c r="L190" s="2">
        <v>937</v>
      </c>
      <c r="M190" s="3">
        <v>0.50053361792956241</v>
      </c>
      <c r="N190" s="6">
        <v>4.57</v>
      </c>
    </row>
    <row r="191" spans="1:14" x14ac:dyDescent="0.2">
      <c r="A191" s="1" t="s">
        <v>53</v>
      </c>
      <c r="B191" s="1" t="s">
        <v>72</v>
      </c>
      <c r="C191" s="1" t="s">
        <v>294</v>
      </c>
      <c r="D191" s="2">
        <v>1354</v>
      </c>
      <c r="E191" s="2">
        <v>1268</v>
      </c>
      <c r="F191" s="2">
        <f t="shared" si="6"/>
        <v>2622</v>
      </c>
      <c r="G191" s="3">
        <f t="shared" si="7"/>
        <v>0.51639969488939741</v>
      </c>
      <c r="H191" s="3">
        <f t="shared" si="8"/>
        <v>0.48360030511060259</v>
      </c>
      <c r="I191" s="1" t="s">
        <v>522</v>
      </c>
      <c r="J191" s="2">
        <v>1317</v>
      </c>
      <c r="K191" s="2">
        <v>1291</v>
      </c>
      <c r="L191" s="2">
        <v>2608</v>
      </c>
      <c r="M191" s="3">
        <v>0.50498466257668717</v>
      </c>
      <c r="N191" s="6">
        <v>1.1399999999999999</v>
      </c>
    </row>
    <row r="192" spans="1:14" x14ac:dyDescent="0.2">
      <c r="A192" s="1" t="s">
        <v>53</v>
      </c>
      <c r="B192" s="1" t="s">
        <v>73</v>
      </c>
      <c r="C192" s="1" t="s">
        <v>295</v>
      </c>
      <c r="D192" s="2">
        <v>1086</v>
      </c>
      <c r="E192" s="2">
        <v>969</v>
      </c>
      <c r="F192" s="2">
        <f t="shared" si="6"/>
        <v>2055</v>
      </c>
      <c r="G192" s="3">
        <f t="shared" si="7"/>
        <v>0.52846715328467153</v>
      </c>
      <c r="H192" s="3">
        <f t="shared" si="8"/>
        <v>0.47153284671532847</v>
      </c>
      <c r="I192" s="1" t="s">
        <v>522</v>
      </c>
      <c r="J192" s="2">
        <v>992</v>
      </c>
      <c r="K192" s="2">
        <v>983</v>
      </c>
      <c r="L192" s="2">
        <v>1975</v>
      </c>
      <c r="M192" s="3">
        <v>0.50227848101265826</v>
      </c>
      <c r="N192" s="6">
        <v>2.62</v>
      </c>
    </row>
    <row r="193" spans="1:14" x14ac:dyDescent="0.2">
      <c r="A193" s="1" t="s">
        <v>53</v>
      </c>
      <c r="B193" s="1" t="s">
        <v>73</v>
      </c>
      <c r="C193" s="1" t="s">
        <v>296</v>
      </c>
      <c r="D193" s="2">
        <v>1358</v>
      </c>
      <c r="E193" s="2">
        <v>1280</v>
      </c>
      <c r="F193" s="2">
        <f t="shared" si="6"/>
        <v>2638</v>
      </c>
      <c r="G193" s="3">
        <f t="shared" si="7"/>
        <v>0.51478392721758903</v>
      </c>
      <c r="H193" s="3">
        <f t="shared" si="8"/>
        <v>0.48521607278241091</v>
      </c>
      <c r="I193" s="1" t="s">
        <v>522</v>
      </c>
      <c r="J193" s="2">
        <v>1311</v>
      </c>
      <c r="K193" s="2">
        <v>1258</v>
      </c>
      <c r="L193" s="2">
        <v>2569</v>
      </c>
      <c r="M193" s="3">
        <v>0.51031529778123785</v>
      </c>
      <c r="N193" s="6">
        <v>0.45</v>
      </c>
    </row>
    <row r="194" spans="1:14" x14ac:dyDescent="0.2">
      <c r="A194" s="1" t="s">
        <v>53</v>
      </c>
      <c r="B194" s="1" t="s">
        <v>73</v>
      </c>
      <c r="C194" s="1" t="s">
        <v>297</v>
      </c>
      <c r="D194" s="2">
        <v>965</v>
      </c>
      <c r="E194" s="2">
        <v>1059</v>
      </c>
      <c r="F194" s="2">
        <f t="shared" si="6"/>
        <v>2024</v>
      </c>
      <c r="G194" s="3">
        <f t="shared" si="7"/>
        <v>0.47677865612648224</v>
      </c>
      <c r="H194" s="3">
        <f t="shared" si="8"/>
        <v>0.52322134387351782</v>
      </c>
      <c r="I194" s="1" t="s">
        <v>522</v>
      </c>
      <c r="J194" s="2">
        <v>914</v>
      </c>
      <c r="K194" s="2">
        <v>1075</v>
      </c>
      <c r="L194" s="2">
        <v>1989</v>
      </c>
      <c r="M194" s="3">
        <v>0.45952740070387132</v>
      </c>
      <c r="N194" s="6">
        <v>1.73</v>
      </c>
    </row>
    <row r="195" spans="1:14" x14ac:dyDescent="0.2">
      <c r="A195" s="1" t="s">
        <v>53</v>
      </c>
      <c r="B195" s="1" t="s">
        <v>73</v>
      </c>
      <c r="C195" s="1" t="s">
        <v>298</v>
      </c>
      <c r="D195" s="2">
        <v>757</v>
      </c>
      <c r="E195" s="2">
        <v>629</v>
      </c>
      <c r="F195" s="2">
        <f t="shared" si="6"/>
        <v>1386</v>
      </c>
      <c r="G195" s="3">
        <f t="shared" si="7"/>
        <v>0.5461760461760462</v>
      </c>
      <c r="H195" s="3">
        <f t="shared" si="8"/>
        <v>0.4538239538239538</v>
      </c>
      <c r="I195" s="1" t="s">
        <v>522</v>
      </c>
      <c r="J195" s="2">
        <v>735</v>
      </c>
      <c r="K195" s="2">
        <v>653</v>
      </c>
      <c r="L195" s="2">
        <v>1388</v>
      </c>
      <c r="M195" s="3">
        <v>0.52953890489913547</v>
      </c>
      <c r="N195" s="6">
        <v>1.66</v>
      </c>
    </row>
    <row r="196" spans="1:14" x14ac:dyDescent="0.2">
      <c r="A196" s="1" t="s">
        <v>53</v>
      </c>
      <c r="B196" s="1" t="s">
        <v>73</v>
      </c>
      <c r="C196" s="1" t="s">
        <v>299</v>
      </c>
      <c r="D196" s="2">
        <v>1975</v>
      </c>
      <c r="E196" s="2">
        <v>1679</v>
      </c>
      <c r="F196" s="2">
        <f t="shared" si="6"/>
        <v>3654</v>
      </c>
      <c r="G196" s="3">
        <f t="shared" si="7"/>
        <v>0.54050355774493708</v>
      </c>
      <c r="H196" s="3">
        <f t="shared" si="8"/>
        <v>0.45949644225506292</v>
      </c>
      <c r="I196" s="1" t="s">
        <v>522</v>
      </c>
      <c r="J196" s="2">
        <v>1929</v>
      </c>
      <c r="K196" s="2">
        <v>1679</v>
      </c>
      <c r="L196" s="2">
        <v>3608</v>
      </c>
      <c r="M196" s="3">
        <v>0.53464523281596454</v>
      </c>
      <c r="N196" s="6">
        <v>0.59</v>
      </c>
    </row>
    <row r="197" spans="1:14" x14ac:dyDescent="0.2">
      <c r="A197" s="1" t="s">
        <v>53</v>
      </c>
      <c r="B197" s="1" t="s">
        <v>73</v>
      </c>
      <c r="C197" s="1" t="s">
        <v>300</v>
      </c>
      <c r="D197" s="2">
        <v>703</v>
      </c>
      <c r="E197" s="2">
        <v>609</v>
      </c>
      <c r="F197" s="2">
        <f t="shared" si="6"/>
        <v>1312</v>
      </c>
      <c r="G197" s="3">
        <f t="shared" si="7"/>
        <v>0.53582317073170727</v>
      </c>
      <c r="H197" s="3">
        <f t="shared" si="8"/>
        <v>0.46417682926829268</v>
      </c>
      <c r="I197" s="1" t="s">
        <v>522</v>
      </c>
      <c r="J197" s="2">
        <v>696</v>
      </c>
      <c r="K197" s="2">
        <v>666</v>
      </c>
      <c r="L197" s="2">
        <v>1362</v>
      </c>
      <c r="M197" s="3">
        <v>0.51101321585903081</v>
      </c>
      <c r="N197" s="6">
        <v>2.48</v>
      </c>
    </row>
    <row r="198" spans="1:14" x14ac:dyDescent="0.2">
      <c r="A198" s="1" t="s">
        <v>53</v>
      </c>
      <c r="B198" s="1" t="s">
        <v>73</v>
      </c>
      <c r="C198" s="1" t="s">
        <v>301</v>
      </c>
      <c r="D198" s="2">
        <v>739</v>
      </c>
      <c r="E198" s="2">
        <v>627</v>
      </c>
      <c r="F198" s="2">
        <f t="shared" si="6"/>
        <v>1366</v>
      </c>
      <c r="G198" s="3">
        <f t="shared" si="7"/>
        <v>0.54099560761346999</v>
      </c>
      <c r="H198" s="3">
        <f t="shared" si="8"/>
        <v>0.45900439238653001</v>
      </c>
      <c r="I198" s="1" t="s">
        <v>522</v>
      </c>
      <c r="J198" s="2">
        <v>715</v>
      </c>
      <c r="K198" s="2">
        <v>601</v>
      </c>
      <c r="L198" s="2">
        <v>1316</v>
      </c>
      <c r="M198" s="3">
        <v>0.54331306990881456</v>
      </c>
      <c r="N198" s="6">
        <v>-0.23</v>
      </c>
    </row>
    <row r="199" spans="1:14" x14ac:dyDescent="0.2">
      <c r="A199" s="1" t="s">
        <v>53</v>
      </c>
      <c r="B199" s="1" t="s">
        <v>73</v>
      </c>
      <c r="C199" s="1" t="s">
        <v>302</v>
      </c>
      <c r="D199" s="2">
        <v>790</v>
      </c>
      <c r="E199" s="2">
        <v>735</v>
      </c>
      <c r="F199" s="2">
        <f t="shared" si="6"/>
        <v>1525</v>
      </c>
      <c r="G199" s="3">
        <f t="shared" si="7"/>
        <v>0.5180327868852459</v>
      </c>
      <c r="H199" s="3">
        <f t="shared" si="8"/>
        <v>0.4819672131147541</v>
      </c>
      <c r="I199" s="1" t="s">
        <v>522</v>
      </c>
      <c r="J199" s="2">
        <v>728</v>
      </c>
      <c r="K199" s="2">
        <v>692</v>
      </c>
      <c r="L199" s="2">
        <v>1420</v>
      </c>
      <c r="M199" s="3">
        <v>0.51267605633802815</v>
      </c>
      <c r="N199" s="6">
        <v>0.54</v>
      </c>
    </row>
    <row r="200" spans="1:14" x14ac:dyDescent="0.2">
      <c r="A200" s="1" t="s">
        <v>53</v>
      </c>
      <c r="B200" s="1" t="s">
        <v>74</v>
      </c>
      <c r="C200" s="1" t="s">
        <v>303</v>
      </c>
      <c r="D200" s="2">
        <v>1524</v>
      </c>
      <c r="E200" s="2">
        <v>1603</v>
      </c>
      <c r="F200" s="2">
        <f t="shared" si="6"/>
        <v>3127</v>
      </c>
      <c r="G200" s="3">
        <f t="shared" si="7"/>
        <v>0.48736808442596741</v>
      </c>
      <c r="H200" s="3">
        <f t="shared" si="8"/>
        <v>0.51263191557403265</v>
      </c>
      <c r="I200" s="1" t="s">
        <v>522</v>
      </c>
      <c r="J200" s="2">
        <v>1473</v>
      </c>
      <c r="K200" s="2">
        <v>1690</v>
      </c>
      <c r="L200" s="2">
        <v>3163</v>
      </c>
      <c r="M200" s="3">
        <v>0.46569712298450838</v>
      </c>
      <c r="N200" s="6">
        <v>2.17</v>
      </c>
    </row>
    <row r="201" spans="1:14" x14ac:dyDescent="0.2">
      <c r="A201" s="1" t="s">
        <v>53</v>
      </c>
      <c r="B201" s="1" t="s">
        <v>74</v>
      </c>
      <c r="C201" s="1" t="s">
        <v>304</v>
      </c>
      <c r="D201" s="2">
        <v>959</v>
      </c>
      <c r="E201" s="2">
        <v>1368</v>
      </c>
      <c r="F201" s="2">
        <f t="shared" si="6"/>
        <v>2327</v>
      </c>
      <c r="G201" s="3">
        <f t="shared" si="7"/>
        <v>0.41211860764933389</v>
      </c>
      <c r="H201" s="3">
        <f t="shared" si="8"/>
        <v>0.58788139235066605</v>
      </c>
      <c r="I201" s="1" t="s">
        <v>522</v>
      </c>
      <c r="J201" s="2">
        <v>907</v>
      </c>
      <c r="K201" s="2">
        <v>1445</v>
      </c>
      <c r="L201" s="2">
        <v>2352</v>
      </c>
      <c r="M201" s="3">
        <v>0.3856292517006803</v>
      </c>
      <c r="N201" s="6">
        <v>2.65</v>
      </c>
    </row>
    <row r="202" spans="1:14" x14ac:dyDescent="0.2">
      <c r="A202" s="1" t="s">
        <v>53</v>
      </c>
      <c r="B202" s="1" t="s">
        <v>75</v>
      </c>
      <c r="C202" s="1" t="s">
        <v>305</v>
      </c>
      <c r="D202" s="2">
        <v>1077</v>
      </c>
      <c r="E202" s="2">
        <v>1055</v>
      </c>
      <c r="F202" s="2">
        <f t="shared" si="6"/>
        <v>2132</v>
      </c>
      <c r="G202" s="3">
        <f t="shared" si="7"/>
        <v>0.50515947467166977</v>
      </c>
      <c r="H202" s="3">
        <f t="shared" si="8"/>
        <v>0.49484052532833023</v>
      </c>
      <c r="I202" s="1" t="s">
        <v>522</v>
      </c>
      <c r="J202" s="2">
        <v>1017</v>
      </c>
      <c r="K202" s="2">
        <v>1074</v>
      </c>
      <c r="L202" s="2">
        <v>2091</v>
      </c>
      <c r="M202" s="3">
        <v>0.48637015781922532</v>
      </c>
      <c r="N202" s="6">
        <v>1.88</v>
      </c>
    </row>
    <row r="203" spans="1:14" x14ac:dyDescent="0.2">
      <c r="A203" s="1" t="s">
        <v>53</v>
      </c>
      <c r="B203" s="1" t="s">
        <v>75</v>
      </c>
      <c r="C203" s="1" t="s">
        <v>306</v>
      </c>
      <c r="D203" s="2">
        <v>738</v>
      </c>
      <c r="E203" s="2">
        <v>813</v>
      </c>
      <c r="F203" s="2">
        <f t="shared" si="6"/>
        <v>1551</v>
      </c>
      <c r="G203" s="3">
        <f t="shared" si="7"/>
        <v>0.47582205029013541</v>
      </c>
      <c r="H203" s="3">
        <f t="shared" si="8"/>
        <v>0.52417794970986464</v>
      </c>
      <c r="I203" s="1" t="s">
        <v>522</v>
      </c>
      <c r="J203" s="2">
        <v>753</v>
      </c>
      <c r="K203" s="2">
        <v>851</v>
      </c>
      <c r="L203" s="2">
        <v>1604</v>
      </c>
      <c r="M203" s="3">
        <v>0.46945137157107231</v>
      </c>
      <c r="N203" s="6">
        <v>0.64</v>
      </c>
    </row>
    <row r="204" spans="1:14" x14ac:dyDescent="0.2">
      <c r="A204" s="1" t="s">
        <v>53</v>
      </c>
      <c r="B204" s="1" t="s">
        <v>75</v>
      </c>
      <c r="C204" s="1" t="s">
        <v>307</v>
      </c>
      <c r="D204" s="2">
        <v>662</v>
      </c>
      <c r="E204" s="2">
        <v>681</v>
      </c>
      <c r="F204" s="2">
        <f t="shared" ref="F204:F267" si="9">IF(COUNTA(D204:E204)=0,"",SUM(D204:E204))</f>
        <v>1343</v>
      </c>
      <c r="G204" s="3">
        <f t="shared" ref="G204:G267" si="10">IF(OR(F204="",F204=0),"",D204/F204)</f>
        <v>0.49292628443782577</v>
      </c>
      <c r="H204" s="3">
        <f t="shared" ref="H204:H267" si="11">IF(OR(F204="",F204=0),"",E204/F204)</f>
        <v>0.50707371556217429</v>
      </c>
      <c r="I204" s="1" t="s">
        <v>522</v>
      </c>
      <c r="J204" s="2">
        <v>713</v>
      </c>
      <c r="K204" s="2">
        <v>780</v>
      </c>
      <c r="L204" s="2">
        <v>1493</v>
      </c>
      <c r="M204" s="3">
        <v>0.47756195579370397</v>
      </c>
      <c r="N204" s="6">
        <v>1.54</v>
      </c>
    </row>
    <row r="205" spans="1:14" x14ac:dyDescent="0.2">
      <c r="A205" s="1" t="s">
        <v>53</v>
      </c>
      <c r="B205" s="1" t="s">
        <v>75</v>
      </c>
      <c r="C205" s="1" t="s">
        <v>308</v>
      </c>
      <c r="D205" s="2">
        <v>1703</v>
      </c>
      <c r="E205" s="2">
        <v>1804</v>
      </c>
      <c r="F205" s="2">
        <f t="shared" si="9"/>
        <v>3507</v>
      </c>
      <c r="G205" s="3">
        <f t="shared" si="10"/>
        <v>0.48560022811519815</v>
      </c>
      <c r="H205" s="3">
        <f t="shared" si="11"/>
        <v>0.51439977188480179</v>
      </c>
      <c r="I205" s="1" t="s">
        <v>522</v>
      </c>
      <c r="J205" s="2">
        <v>1648</v>
      </c>
      <c r="K205" s="2">
        <v>1789</v>
      </c>
      <c r="L205" s="2">
        <v>3437</v>
      </c>
      <c r="M205" s="3">
        <v>0.47948792551643882</v>
      </c>
      <c r="N205" s="6">
        <v>0.61</v>
      </c>
    </row>
    <row r="206" spans="1:14" x14ac:dyDescent="0.2">
      <c r="A206" s="1" t="s">
        <v>53</v>
      </c>
      <c r="B206" s="1" t="s">
        <v>75</v>
      </c>
      <c r="C206" s="1" t="s">
        <v>309</v>
      </c>
      <c r="D206" s="2">
        <v>700</v>
      </c>
      <c r="E206" s="2">
        <v>662</v>
      </c>
      <c r="F206" s="2">
        <f t="shared" si="9"/>
        <v>1362</v>
      </c>
      <c r="G206" s="3">
        <f t="shared" si="10"/>
        <v>0.51395007342143906</v>
      </c>
      <c r="H206" s="3">
        <f t="shared" si="11"/>
        <v>0.48604992657856094</v>
      </c>
      <c r="I206" s="1" t="s">
        <v>522</v>
      </c>
      <c r="J206" s="2">
        <v>683</v>
      </c>
      <c r="K206" s="2">
        <v>663</v>
      </c>
      <c r="L206" s="2">
        <v>1346</v>
      </c>
      <c r="M206" s="3">
        <v>0.50742942050520057</v>
      </c>
      <c r="N206" s="6">
        <v>0.65</v>
      </c>
    </row>
    <row r="207" spans="1:14" x14ac:dyDescent="0.2">
      <c r="A207" s="1" t="s">
        <v>53</v>
      </c>
      <c r="B207" s="1" t="s">
        <v>75</v>
      </c>
      <c r="C207" s="1" t="s">
        <v>310</v>
      </c>
      <c r="D207" s="2">
        <v>693</v>
      </c>
      <c r="E207" s="2">
        <v>598</v>
      </c>
      <c r="F207" s="2">
        <f t="shared" si="9"/>
        <v>1291</v>
      </c>
      <c r="G207" s="3">
        <f t="shared" si="10"/>
        <v>0.53679318357862127</v>
      </c>
      <c r="H207" s="3">
        <f t="shared" si="11"/>
        <v>0.46320681642137879</v>
      </c>
      <c r="I207" s="1" t="s">
        <v>522</v>
      </c>
      <c r="J207" s="2">
        <v>648</v>
      </c>
      <c r="K207" s="2">
        <v>583</v>
      </c>
      <c r="L207" s="2">
        <v>1231</v>
      </c>
      <c r="M207" s="3">
        <v>0.52640129975629568</v>
      </c>
      <c r="N207" s="6">
        <v>1.04</v>
      </c>
    </row>
    <row r="208" spans="1:14" x14ac:dyDescent="0.2">
      <c r="A208" s="1" t="s">
        <v>53</v>
      </c>
      <c r="B208" s="1" t="s">
        <v>76</v>
      </c>
      <c r="C208" s="1" t="s">
        <v>311</v>
      </c>
      <c r="D208" s="2">
        <v>236</v>
      </c>
      <c r="E208" s="2">
        <v>521</v>
      </c>
      <c r="F208" s="2">
        <f t="shared" si="9"/>
        <v>757</v>
      </c>
      <c r="G208" s="3">
        <f t="shared" si="10"/>
        <v>0.31175693527080584</v>
      </c>
      <c r="H208" s="3">
        <f t="shared" si="11"/>
        <v>0.68824306472919416</v>
      </c>
      <c r="I208" s="1" t="s">
        <v>522</v>
      </c>
      <c r="J208" s="2">
        <v>243</v>
      </c>
      <c r="K208" s="2">
        <v>532</v>
      </c>
      <c r="L208" s="2">
        <v>775</v>
      </c>
      <c r="M208" s="3">
        <v>0.31354838709677418</v>
      </c>
      <c r="N208" s="6">
        <v>-0.18</v>
      </c>
    </row>
    <row r="209" spans="1:14" x14ac:dyDescent="0.2">
      <c r="A209" s="1" t="s">
        <v>53</v>
      </c>
      <c r="B209" s="1" t="s">
        <v>76</v>
      </c>
      <c r="C209" s="1" t="s">
        <v>312</v>
      </c>
      <c r="D209" s="2">
        <v>877</v>
      </c>
      <c r="E209" s="2">
        <v>1641</v>
      </c>
      <c r="F209" s="2">
        <f t="shared" si="9"/>
        <v>2518</v>
      </c>
      <c r="G209" s="3">
        <f t="shared" si="10"/>
        <v>0.34829229547259732</v>
      </c>
      <c r="H209" s="3">
        <f t="shared" si="11"/>
        <v>0.65170770452740268</v>
      </c>
      <c r="I209" s="1" t="s">
        <v>522</v>
      </c>
      <c r="J209" s="2">
        <v>841</v>
      </c>
      <c r="K209" s="2">
        <v>1653</v>
      </c>
      <c r="L209" s="2">
        <v>2494</v>
      </c>
      <c r="M209" s="3">
        <v>0.33720930232558138</v>
      </c>
      <c r="N209" s="6">
        <v>1.1100000000000001</v>
      </c>
    </row>
    <row r="210" spans="1:14" x14ac:dyDescent="0.2">
      <c r="A210" s="1" t="s">
        <v>53</v>
      </c>
      <c r="B210" s="1" t="s">
        <v>76</v>
      </c>
      <c r="C210" s="1" t="s">
        <v>313</v>
      </c>
      <c r="D210" s="2">
        <v>210</v>
      </c>
      <c r="E210" s="2">
        <v>448</v>
      </c>
      <c r="F210" s="2">
        <f t="shared" si="9"/>
        <v>658</v>
      </c>
      <c r="G210" s="3">
        <f t="shared" si="10"/>
        <v>0.31914893617021278</v>
      </c>
      <c r="H210" s="3">
        <f t="shared" si="11"/>
        <v>0.68085106382978722</v>
      </c>
      <c r="I210" s="1" t="s">
        <v>522</v>
      </c>
      <c r="J210" s="2">
        <v>182</v>
      </c>
      <c r="K210" s="2">
        <v>484</v>
      </c>
      <c r="L210" s="2">
        <v>666</v>
      </c>
      <c r="M210" s="3">
        <v>0.27327327327327328</v>
      </c>
      <c r="N210" s="6">
        <v>4.59</v>
      </c>
    </row>
    <row r="211" spans="1:14" x14ac:dyDescent="0.2">
      <c r="A211" s="1" t="s">
        <v>53</v>
      </c>
      <c r="B211" s="1" t="s">
        <v>77</v>
      </c>
      <c r="C211" s="1" t="s">
        <v>77</v>
      </c>
      <c r="D211" s="2">
        <v>1179</v>
      </c>
      <c r="E211" s="2">
        <v>2199</v>
      </c>
      <c r="F211" s="2">
        <f t="shared" si="9"/>
        <v>3378</v>
      </c>
      <c r="G211" s="3">
        <f t="shared" si="10"/>
        <v>0.34902309058614567</v>
      </c>
      <c r="H211" s="3">
        <f t="shared" si="11"/>
        <v>0.65097690941385433</v>
      </c>
      <c r="I211" s="1" t="s">
        <v>522</v>
      </c>
      <c r="J211" s="2">
        <v>1172</v>
      </c>
      <c r="K211" s="2">
        <v>2201</v>
      </c>
      <c r="L211" s="2">
        <v>3373</v>
      </c>
      <c r="M211" s="3">
        <v>0.34746516454195081</v>
      </c>
      <c r="N211" s="6">
        <v>0.16</v>
      </c>
    </row>
    <row r="212" spans="1:14" x14ac:dyDescent="0.2">
      <c r="A212" s="1" t="s">
        <v>53</v>
      </c>
      <c r="B212" s="1" t="s">
        <v>78</v>
      </c>
      <c r="C212" s="1" t="s">
        <v>314</v>
      </c>
      <c r="D212" s="2">
        <v>790</v>
      </c>
      <c r="E212" s="2">
        <v>903</v>
      </c>
      <c r="F212" s="2">
        <f t="shared" si="9"/>
        <v>1693</v>
      </c>
      <c r="G212" s="3">
        <f t="shared" si="10"/>
        <v>0.4666272888363851</v>
      </c>
      <c r="H212" s="3">
        <f t="shared" si="11"/>
        <v>0.53337271116361484</v>
      </c>
      <c r="I212" s="1" t="s">
        <v>522</v>
      </c>
      <c r="J212" s="2">
        <v>811</v>
      </c>
      <c r="K212" s="2">
        <v>918</v>
      </c>
      <c r="L212" s="2">
        <v>1729</v>
      </c>
      <c r="M212" s="3">
        <v>0.46905725853094282</v>
      </c>
      <c r="N212" s="6">
        <v>-0.24</v>
      </c>
    </row>
    <row r="213" spans="1:14" x14ac:dyDescent="0.2">
      <c r="A213" s="1" t="s">
        <v>53</v>
      </c>
      <c r="B213" s="1" t="s">
        <v>78</v>
      </c>
      <c r="C213" s="1" t="s">
        <v>315</v>
      </c>
      <c r="D213" s="2">
        <v>606</v>
      </c>
      <c r="E213" s="2">
        <v>706</v>
      </c>
      <c r="F213" s="2">
        <f t="shared" si="9"/>
        <v>1312</v>
      </c>
      <c r="G213" s="3">
        <f t="shared" si="10"/>
        <v>0.46189024390243905</v>
      </c>
      <c r="H213" s="3">
        <f t="shared" si="11"/>
        <v>0.53810975609756095</v>
      </c>
      <c r="I213" s="1" t="s">
        <v>522</v>
      </c>
      <c r="J213" s="2">
        <v>606</v>
      </c>
      <c r="K213" s="2">
        <v>669</v>
      </c>
      <c r="L213" s="2">
        <v>1275</v>
      </c>
      <c r="M213" s="3">
        <v>0.47529411764705881</v>
      </c>
      <c r="N213" s="6">
        <v>-1.34</v>
      </c>
    </row>
    <row r="214" spans="1:14" x14ac:dyDescent="0.2">
      <c r="A214" s="1" t="s">
        <v>53</v>
      </c>
      <c r="B214" s="1" t="s">
        <v>78</v>
      </c>
      <c r="C214" s="1" t="s">
        <v>316</v>
      </c>
      <c r="D214" s="2">
        <v>802</v>
      </c>
      <c r="E214" s="2">
        <v>573</v>
      </c>
      <c r="F214" s="2">
        <f t="shared" si="9"/>
        <v>1375</v>
      </c>
      <c r="G214" s="3">
        <f t="shared" si="10"/>
        <v>0.58327272727272728</v>
      </c>
      <c r="H214" s="3">
        <f t="shared" si="11"/>
        <v>0.41672727272727272</v>
      </c>
      <c r="I214" s="1" t="s">
        <v>522</v>
      </c>
      <c r="J214" s="2">
        <v>732</v>
      </c>
      <c r="K214" s="2">
        <v>616</v>
      </c>
      <c r="L214" s="2">
        <v>1348</v>
      </c>
      <c r="M214" s="3">
        <v>0.54302670623145399</v>
      </c>
      <c r="N214" s="6">
        <v>4.0199999999999996</v>
      </c>
    </row>
    <row r="215" spans="1:14" x14ac:dyDescent="0.2">
      <c r="A215" s="1" t="s">
        <v>53</v>
      </c>
      <c r="B215" s="1" t="s">
        <v>78</v>
      </c>
      <c r="C215" s="1" t="s">
        <v>317</v>
      </c>
      <c r="D215" s="2">
        <v>889</v>
      </c>
      <c r="E215" s="2">
        <v>612</v>
      </c>
      <c r="F215" s="2">
        <f t="shared" si="9"/>
        <v>1501</v>
      </c>
      <c r="G215" s="3">
        <f t="shared" si="10"/>
        <v>0.59227181878747504</v>
      </c>
      <c r="H215" s="3">
        <f t="shared" si="11"/>
        <v>0.40772818121252496</v>
      </c>
      <c r="I215" s="1" t="s">
        <v>522</v>
      </c>
      <c r="J215" s="2">
        <v>871</v>
      </c>
      <c r="K215" s="2">
        <v>616</v>
      </c>
      <c r="L215" s="2">
        <v>1487</v>
      </c>
      <c r="M215" s="3">
        <v>0.58574310692669806</v>
      </c>
      <c r="N215" s="6">
        <v>0.65</v>
      </c>
    </row>
    <row r="216" spans="1:14" x14ac:dyDescent="0.2">
      <c r="A216" s="1" t="s">
        <v>53</v>
      </c>
      <c r="B216" s="1" t="s">
        <v>78</v>
      </c>
      <c r="C216" s="1" t="s">
        <v>318</v>
      </c>
      <c r="D216" s="2">
        <v>328</v>
      </c>
      <c r="E216" s="2">
        <v>262</v>
      </c>
      <c r="F216" s="2">
        <f t="shared" si="9"/>
        <v>590</v>
      </c>
      <c r="G216" s="3">
        <f t="shared" si="10"/>
        <v>0.55593220338983051</v>
      </c>
      <c r="H216" s="3">
        <f t="shared" si="11"/>
        <v>0.44406779661016949</v>
      </c>
      <c r="I216" s="1" t="s">
        <v>522</v>
      </c>
      <c r="J216" s="2">
        <v>305</v>
      </c>
      <c r="K216" s="2">
        <v>262</v>
      </c>
      <c r="L216" s="2">
        <v>567</v>
      </c>
      <c r="M216" s="3">
        <v>0.53791887125220461</v>
      </c>
      <c r="N216" s="6">
        <v>1.8</v>
      </c>
    </row>
    <row r="217" spans="1:14" x14ac:dyDescent="0.2">
      <c r="A217" s="1" t="s">
        <v>53</v>
      </c>
      <c r="B217" s="1" t="s">
        <v>78</v>
      </c>
      <c r="C217" s="1" t="s">
        <v>319</v>
      </c>
      <c r="D217" s="2">
        <v>623</v>
      </c>
      <c r="E217" s="2">
        <v>322</v>
      </c>
      <c r="F217" s="2">
        <f t="shared" si="9"/>
        <v>945</v>
      </c>
      <c r="G217" s="3">
        <f t="shared" si="10"/>
        <v>0.65925925925925921</v>
      </c>
      <c r="H217" s="3">
        <f t="shared" si="11"/>
        <v>0.34074074074074073</v>
      </c>
      <c r="I217" s="1" t="s">
        <v>522</v>
      </c>
      <c r="J217" s="2">
        <v>535</v>
      </c>
      <c r="K217" s="2">
        <v>364</v>
      </c>
      <c r="L217" s="2">
        <v>899</v>
      </c>
      <c r="M217" s="3">
        <v>0.59510567296996664</v>
      </c>
      <c r="N217" s="6">
        <v>6.42</v>
      </c>
    </row>
    <row r="218" spans="1:14" x14ac:dyDescent="0.2">
      <c r="A218" s="1" t="s">
        <v>53</v>
      </c>
      <c r="B218" s="1" t="s">
        <v>78</v>
      </c>
      <c r="C218" s="1" t="s">
        <v>320</v>
      </c>
      <c r="D218" s="2">
        <v>559</v>
      </c>
      <c r="E218" s="2">
        <v>447</v>
      </c>
      <c r="F218" s="2">
        <f t="shared" si="9"/>
        <v>1006</v>
      </c>
      <c r="G218" s="3">
        <f t="shared" si="10"/>
        <v>0.55566600397614319</v>
      </c>
      <c r="H218" s="3">
        <f t="shared" si="11"/>
        <v>0.44433399602385687</v>
      </c>
      <c r="I218" s="1" t="s">
        <v>522</v>
      </c>
      <c r="J218" s="2">
        <v>564</v>
      </c>
      <c r="K218" s="2">
        <v>451</v>
      </c>
      <c r="L218" s="2">
        <v>1015</v>
      </c>
      <c r="M218" s="3">
        <v>0.5556650246305419</v>
      </c>
      <c r="N218" s="6">
        <v>0</v>
      </c>
    </row>
    <row r="219" spans="1:14" x14ac:dyDescent="0.2">
      <c r="A219" s="1" t="s">
        <v>53</v>
      </c>
      <c r="B219" s="1" t="s">
        <v>78</v>
      </c>
      <c r="C219" s="1" t="s">
        <v>321</v>
      </c>
      <c r="D219" s="2">
        <v>284</v>
      </c>
      <c r="E219" s="2">
        <v>306</v>
      </c>
      <c r="F219" s="2">
        <f t="shared" si="9"/>
        <v>590</v>
      </c>
      <c r="G219" s="3">
        <f t="shared" si="10"/>
        <v>0.48135593220338985</v>
      </c>
      <c r="H219" s="3">
        <f t="shared" si="11"/>
        <v>0.51864406779661021</v>
      </c>
      <c r="I219" s="1" t="s">
        <v>522</v>
      </c>
      <c r="J219" s="2">
        <v>279</v>
      </c>
      <c r="K219" s="2">
        <v>318</v>
      </c>
      <c r="L219" s="2">
        <v>597</v>
      </c>
      <c r="M219" s="3">
        <v>0.46733668341708551</v>
      </c>
      <c r="N219" s="6">
        <v>1.4</v>
      </c>
    </row>
    <row r="220" spans="1:14" x14ac:dyDescent="0.2">
      <c r="A220" s="1" t="s">
        <v>53</v>
      </c>
      <c r="B220" s="1" t="s">
        <v>78</v>
      </c>
      <c r="C220" s="1" t="s">
        <v>322</v>
      </c>
      <c r="D220" s="2">
        <v>575</v>
      </c>
      <c r="E220" s="2">
        <v>501</v>
      </c>
      <c r="F220" s="2">
        <f t="shared" si="9"/>
        <v>1076</v>
      </c>
      <c r="G220" s="3">
        <f t="shared" si="10"/>
        <v>0.53438661710037172</v>
      </c>
      <c r="H220" s="3">
        <f t="shared" si="11"/>
        <v>0.46561338289962823</v>
      </c>
      <c r="I220" s="1" t="s">
        <v>522</v>
      </c>
      <c r="J220" s="2">
        <v>571</v>
      </c>
      <c r="K220" s="2">
        <v>544</v>
      </c>
      <c r="L220" s="2">
        <v>1115</v>
      </c>
      <c r="M220" s="3">
        <v>0.51210762331838566</v>
      </c>
      <c r="N220" s="6">
        <v>2.23</v>
      </c>
    </row>
    <row r="221" spans="1:14" x14ac:dyDescent="0.2">
      <c r="A221" s="1" t="s">
        <v>53</v>
      </c>
      <c r="B221" s="1" t="s">
        <v>78</v>
      </c>
      <c r="C221" s="1" t="s">
        <v>323</v>
      </c>
      <c r="D221" s="2">
        <v>860</v>
      </c>
      <c r="E221" s="2">
        <v>942</v>
      </c>
      <c r="F221" s="2">
        <f t="shared" si="9"/>
        <v>1802</v>
      </c>
      <c r="G221" s="3">
        <f t="shared" si="10"/>
        <v>0.4772475027746948</v>
      </c>
      <c r="H221" s="3">
        <f t="shared" si="11"/>
        <v>0.52275249722530526</v>
      </c>
      <c r="I221" s="1" t="s">
        <v>522</v>
      </c>
      <c r="J221" s="2">
        <v>829</v>
      </c>
      <c r="K221" s="2">
        <v>968</v>
      </c>
      <c r="L221" s="2">
        <v>1797</v>
      </c>
      <c r="M221" s="3">
        <v>0.46132442960489711</v>
      </c>
      <c r="N221" s="6">
        <v>1.59</v>
      </c>
    </row>
    <row r="222" spans="1:14" x14ac:dyDescent="0.2">
      <c r="A222" s="1" t="s">
        <v>53</v>
      </c>
      <c r="B222" s="1" t="s">
        <v>78</v>
      </c>
      <c r="C222" s="1" t="s">
        <v>324</v>
      </c>
      <c r="D222" s="2">
        <v>708</v>
      </c>
      <c r="E222" s="2">
        <v>725</v>
      </c>
      <c r="F222" s="2">
        <f t="shared" si="9"/>
        <v>1433</v>
      </c>
      <c r="G222" s="3">
        <f t="shared" si="10"/>
        <v>0.49406838799720865</v>
      </c>
      <c r="H222" s="3">
        <f t="shared" si="11"/>
        <v>0.50593161200279135</v>
      </c>
      <c r="I222" s="1" t="s">
        <v>522</v>
      </c>
      <c r="J222" s="2">
        <v>698</v>
      </c>
      <c r="K222" s="2">
        <v>748</v>
      </c>
      <c r="L222" s="2">
        <v>1446</v>
      </c>
      <c r="M222" s="3">
        <v>0.48271092669432919</v>
      </c>
      <c r="N222" s="6">
        <v>1.1399999999999999</v>
      </c>
    </row>
    <row r="223" spans="1:14" x14ac:dyDescent="0.2">
      <c r="A223" s="1" t="s">
        <v>53</v>
      </c>
      <c r="B223" s="1" t="s">
        <v>78</v>
      </c>
      <c r="C223" s="1" t="s">
        <v>325</v>
      </c>
      <c r="D223" s="2">
        <v>616</v>
      </c>
      <c r="E223" s="2">
        <v>541</v>
      </c>
      <c r="F223" s="2">
        <f t="shared" si="9"/>
        <v>1157</v>
      </c>
      <c r="G223" s="3">
        <f t="shared" si="10"/>
        <v>0.53241140881590321</v>
      </c>
      <c r="H223" s="3">
        <f t="shared" si="11"/>
        <v>0.46758859118409679</v>
      </c>
      <c r="I223" s="1" t="s">
        <v>522</v>
      </c>
      <c r="J223" s="2">
        <v>582</v>
      </c>
      <c r="K223" s="2">
        <v>562</v>
      </c>
      <c r="L223" s="2">
        <v>1144</v>
      </c>
      <c r="M223" s="3">
        <v>0.50874125874125875</v>
      </c>
      <c r="N223" s="6">
        <v>2.37</v>
      </c>
    </row>
    <row r="224" spans="1:14" x14ac:dyDescent="0.2">
      <c r="A224" s="1" t="s">
        <v>79</v>
      </c>
      <c r="B224" s="1" t="s">
        <v>81</v>
      </c>
      <c r="C224" s="1" t="s">
        <v>326</v>
      </c>
      <c r="D224" s="2">
        <v>451</v>
      </c>
      <c r="E224" s="2">
        <v>1092</v>
      </c>
      <c r="F224" s="2">
        <f t="shared" si="9"/>
        <v>1543</v>
      </c>
      <c r="G224" s="3">
        <f t="shared" si="10"/>
        <v>0.29228775113415423</v>
      </c>
      <c r="H224" s="3">
        <f t="shared" si="11"/>
        <v>0.70771224886584572</v>
      </c>
      <c r="I224" s="1" t="s">
        <v>522</v>
      </c>
      <c r="J224" s="2">
        <v>471</v>
      </c>
      <c r="K224" s="2">
        <v>1124</v>
      </c>
      <c r="L224" s="2">
        <v>1595</v>
      </c>
      <c r="M224" s="3">
        <v>0.29529780564263319</v>
      </c>
      <c r="N224" s="6">
        <v>-0.3</v>
      </c>
    </row>
    <row r="225" spans="1:14" x14ac:dyDescent="0.2">
      <c r="A225" s="1" t="s">
        <v>79</v>
      </c>
      <c r="B225" s="1" t="s">
        <v>80</v>
      </c>
      <c r="C225" s="1" t="s">
        <v>327</v>
      </c>
      <c r="D225" s="2">
        <v>1374</v>
      </c>
      <c r="E225" s="2">
        <v>2795</v>
      </c>
      <c r="F225" s="2">
        <f t="shared" si="9"/>
        <v>4169</v>
      </c>
      <c r="G225" s="3">
        <f t="shared" si="10"/>
        <v>0.32957543775485726</v>
      </c>
      <c r="H225" s="3">
        <f t="shared" si="11"/>
        <v>0.67042456224514269</v>
      </c>
      <c r="I225" s="1" t="s">
        <v>522</v>
      </c>
      <c r="J225" s="2">
        <v>1414</v>
      </c>
      <c r="K225" s="2">
        <v>2894</v>
      </c>
      <c r="L225" s="2">
        <v>4308</v>
      </c>
      <c r="M225" s="3">
        <v>0.32822655524605387</v>
      </c>
      <c r="N225" s="6">
        <v>0.13</v>
      </c>
    </row>
    <row r="226" spans="1:14" x14ac:dyDescent="0.2">
      <c r="A226" s="1" t="s">
        <v>79</v>
      </c>
      <c r="B226" s="1" t="s">
        <v>82</v>
      </c>
      <c r="C226" s="1" t="s">
        <v>328</v>
      </c>
      <c r="D226" s="2">
        <v>526</v>
      </c>
      <c r="E226" s="2">
        <v>1043</v>
      </c>
      <c r="F226" s="2">
        <f t="shared" si="9"/>
        <v>1569</v>
      </c>
      <c r="G226" s="3">
        <f t="shared" si="10"/>
        <v>0.33524537922243469</v>
      </c>
      <c r="H226" s="3">
        <f t="shared" si="11"/>
        <v>0.66475462077756531</v>
      </c>
      <c r="I226" s="1" t="s">
        <v>522</v>
      </c>
      <c r="J226" s="2">
        <v>521</v>
      </c>
      <c r="K226" s="2">
        <v>997</v>
      </c>
      <c r="L226" s="2">
        <v>1518</v>
      </c>
      <c r="M226" s="3">
        <v>0.3432147562582345</v>
      </c>
      <c r="N226" s="6">
        <v>-0.8</v>
      </c>
    </row>
    <row r="227" spans="1:14" x14ac:dyDescent="0.2">
      <c r="A227" s="1" t="s">
        <v>83</v>
      </c>
      <c r="B227" s="1" t="s">
        <v>84</v>
      </c>
      <c r="C227" s="1" t="s">
        <v>329</v>
      </c>
      <c r="D227" s="2">
        <v>688</v>
      </c>
      <c r="E227" s="2">
        <v>972</v>
      </c>
      <c r="F227" s="2">
        <f t="shared" si="9"/>
        <v>1660</v>
      </c>
      <c r="G227" s="3">
        <f t="shared" si="10"/>
        <v>0.41445783132530123</v>
      </c>
      <c r="H227" s="3">
        <f t="shared" si="11"/>
        <v>0.58554216867469877</v>
      </c>
      <c r="I227" s="1" t="s">
        <v>522</v>
      </c>
      <c r="J227" s="2">
        <v>687</v>
      </c>
      <c r="K227" s="2">
        <v>1009</v>
      </c>
      <c r="L227" s="2">
        <v>1696</v>
      </c>
      <c r="M227" s="3">
        <v>0.40507075471698112</v>
      </c>
      <c r="N227" s="6">
        <v>0.94</v>
      </c>
    </row>
    <row r="228" spans="1:14" x14ac:dyDescent="0.2">
      <c r="A228" s="1" t="s">
        <v>83</v>
      </c>
      <c r="B228" s="1" t="s">
        <v>84</v>
      </c>
      <c r="C228" s="1" t="s">
        <v>330</v>
      </c>
      <c r="D228" s="2">
        <v>883</v>
      </c>
      <c r="E228" s="2">
        <v>921</v>
      </c>
      <c r="F228" s="2">
        <f t="shared" si="9"/>
        <v>1804</v>
      </c>
      <c r="G228" s="3">
        <f t="shared" si="10"/>
        <v>0.48946784922394676</v>
      </c>
      <c r="H228" s="3">
        <f t="shared" si="11"/>
        <v>0.51053215077605318</v>
      </c>
      <c r="I228" s="1" t="s">
        <v>522</v>
      </c>
      <c r="J228" s="2">
        <v>824</v>
      </c>
      <c r="K228" s="2">
        <v>1009</v>
      </c>
      <c r="L228" s="2">
        <v>1833</v>
      </c>
      <c r="M228" s="3">
        <v>0.44953627932351342</v>
      </c>
      <c r="N228" s="6">
        <v>3.99</v>
      </c>
    </row>
    <row r="229" spans="1:14" x14ac:dyDescent="0.2">
      <c r="A229" s="1" t="s">
        <v>83</v>
      </c>
      <c r="B229" s="1" t="s">
        <v>85</v>
      </c>
      <c r="C229" s="1" t="s">
        <v>331</v>
      </c>
      <c r="D229" s="2">
        <v>523</v>
      </c>
      <c r="E229" s="2">
        <v>640</v>
      </c>
      <c r="F229" s="2">
        <f t="shared" si="9"/>
        <v>1163</v>
      </c>
      <c r="G229" s="3">
        <f t="shared" si="10"/>
        <v>0.44969905417024936</v>
      </c>
      <c r="H229" s="3">
        <f t="shared" si="11"/>
        <v>0.55030094582975064</v>
      </c>
      <c r="I229" s="1" t="s">
        <v>528</v>
      </c>
    </row>
    <row r="230" spans="1:14" x14ac:dyDescent="0.2">
      <c r="A230" s="1" t="s">
        <v>83</v>
      </c>
      <c r="B230" s="1" t="s">
        <v>85</v>
      </c>
      <c r="C230" s="1" t="s">
        <v>333</v>
      </c>
      <c r="D230" s="2">
        <v>527</v>
      </c>
      <c r="E230" s="2">
        <v>645</v>
      </c>
      <c r="F230" s="2">
        <f t="shared" si="9"/>
        <v>1172</v>
      </c>
      <c r="G230" s="3">
        <f t="shared" si="10"/>
        <v>0.44965870307167233</v>
      </c>
      <c r="H230" s="3">
        <f t="shared" si="11"/>
        <v>0.55034129692832767</v>
      </c>
      <c r="I230" s="1" t="s">
        <v>528</v>
      </c>
    </row>
    <row r="231" spans="1:14" x14ac:dyDescent="0.2">
      <c r="A231" s="1" t="s">
        <v>83</v>
      </c>
      <c r="B231" s="1" t="s">
        <v>86</v>
      </c>
      <c r="C231" s="1" t="s">
        <v>86</v>
      </c>
      <c r="D231" s="2">
        <v>642</v>
      </c>
      <c r="E231" s="2">
        <v>728</v>
      </c>
      <c r="F231" s="2">
        <f t="shared" si="9"/>
        <v>1370</v>
      </c>
      <c r="G231" s="3">
        <f t="shared" si="10"/>
        <v>0.46861313868613141</v>
      </c>
      <c r="H231" s="3">
        <f t="shared" si="11"/>
        <v>0.53138686131386859</v>
      </c>
      <c r="I231" s="1" t="s">
        <v>522</v>
      </c>
      <c r="J231" s="2">
        <v>623</v>
      </c>
      <c r="K231" s="2">
        <v>726</v>
      </c>
      <c r="L231" s="2">
        <v>1349</v>
      </c>
      <c r="M231" s="3">
        <v>0.46182357301704968</v>
      </c>
      <c r="N231" s="6">
        <v>0.68</v>
      </c>
    </row>
    <row r="232" spans="1:14" x14ac:dyDescent="0.2">
      <c r="A232" s="1" t="s">
        <v>83</v>
      </c>
      <c r="B232" s="1" t="s">
        <v>56</v>
      </c>
      <c r="C232" s="1" t="s">
        <v>334</v>
      </c>
      <c r="D232" s="2">
        <v>684</v>
      </c>
      <c r="E232" s="2">
        <v>409</v>
      </c>
      <c r="F232" s="2">
        <f t="shared" si="9"/>
        <v>1093</v>
      </c>
      <c r="G232" s="3">
        <f t="shared" si="10"/>
        <v>0.62580054894784998</v>
      </c>
      <c r="H232" s="3">
        <f t="shared" si="11"/>
        <v>0.37419945105215002</v>
      </c>
      <c r="I232" s="1" t="s">
        <v>522</v>
      </c>
      <c r="J232" s="2">
        <v>775</v>
      </c>
      <c r="K232" s="2">
        <v>447</v>
      </c>
      <c r="L232" s="2">
        <v>1222</v>
      </c>
      <c r="M232" s="3">
        <v>0.63420621931260224</v>
      </c>
      <c r="N232" s="6">
        <v>-0.84</v>
      </c>
    </row>
    <row r="233" spans="1:14" x14ac:dyDescent="0.2">
      <c r="A233" s="1" t="s">
        <v>83</v>
      </c>
      <c r="B233" s="1" t="s">
        <v>56</v>
      </c>
      <c r="C233" s="1" t="s">
        <v>335</v>
      </c>
      <c r="D233" s="2">
        <v>950</v>
      </c>
      <c r="E233" s="2">
        <v>635</v>
      </c>
      <c r="F233" s="2">
        <f t="shared" si="9"/>
        <v>1585</v>
      </c>
      <c r="G233" s="3">
        <f t="shared" si="10"/>
        <v>0.59936908517350163</v>
      </c>
      <c r="H233" s="3">
        <f t="shared" si="11"/>
        <v>0.40063091482649843</v>
      </c>
      <c r="I233" s="1" t="s">
        <v>522</v>
      </c>
      <c r="J233" s="2">
        <v>982</v>
      </c>
      <c r="K233" s="2">
        <v>684</v>
      </c>
      <c r="L233" s="2">
        <v>1666</v>
      </c>
      <c r="M233" s="3">
        <v>0.58943577430972394</v>
      </c>
      <c r="N233" s="6">
        <v>0.99</v>
      </c>
    </row>
    <row r="234" spans="1:14" x14ac:dyDescent="0.2">
      <c r="A234" s="1" t="s">
        <v>83</v>
      </c>
      <c r="B234" s="1" t="s">
        <v>56</v>
      </c>
      <c r="C234" s="1" t="s">
        <v>336</v>
      </c>
      <c r="D234" s="2">
        <v>729</v>
      </c>
      <c r="E234" s="2">
        <v>377</v>
      </c>
      <c r="F234" s="2">
        <f t="shared" si="9"/>
        <v>1106</v>
      </c>
      <c r="G234" s="3">
        <f t="shared" si="10"/>
        <v>0.65913200723327303</v>
      </c>
      <c r="H234" s="3">
        <f t="shared" si="11"/>
        <v>0.34086799276672697</v>
      </c>
      <c r="I234" s="1" t="s">
        <v>522</v>
      </c>
      <c r="J234" s="2">
        <v>750</v>
      </c>
      <c r="K234" s="2">
        <v>421</v>
      </c>
      <c r="L234" s="2">
        <v>1171</v>
      </c>
      <c r="M234" s="3">
        <v>0.64047822374039287</v>
      </c>
      <c r="N234" s="6">
        <v>1.87</v>
      </c>
    </row>
    <row r="235" spans="1:14" x14ac:dyDescent="0.2">
      <c r="A235" s="1" t="s">
        <v>83</v>
      </c>
      <c r="B235" s="1" t="s">
        <v>56</v>
      </c>
      <c r="C235" s="1" t="s">
        <v>337</v>
      </c>
      <c r="D235" s="2">
        <v>610</v>
      </c>
      <c r="E235" s="2">
        <v>337</v>
      </c>
      <c r="F235" s="2">
        <f t="shared" si="9"/>
        <v>947</v>
      </c>
      <c r="G235" s="3">
        <f t="shared" si="10"/>
        <v>0.64413938753959876</v>
      </c>
      <c r="H235" s="3">
        <f t="shared" si="11"/>
        <v>0.35586061246040129</v>
      </c>
      <c r="I235" s="1" t="s">
        <v>522</v>
      </c>
      <c r="J235" s="2">
        <v>592</v>
      </c>
      <c r="K235" s="2">
        <v>337</v>
      </c>
      <c r="L235" s="2">
        <v>929</v>
      </c>
      <c r="M235" s="3">
        <v>0.63724434876210978</v>
      </c>
      <c r="N235" s="6">
        <v>0.69</v>
      </c>
    </row>
    <row r="236" spans="1:14" x14ac:dyDescent="0.2">
      <c r="A236" s="1" t="s">
        <v>83</v>
      </c>
      <c r="B236" s="1" t="s">
        <v>56</v>
      </c>
      <c r="C236" s="1" t="s">
        <v>338</v>
      </c>
      <c r="D236" s="2">
        <v>771</v>
      </c>
      <c r="E236" s="2">
        <v>507</v>
      </c>
      <c r="F236" s="2">
        <f t="shared" si="9"/>
        <v>1278</v>
      </c>
      <c r="G236" s="3">
        <f t="shared" si="10"/>
        <v>0.60328638497652587</v>
      </c>
      <c r="H236" s="3">
        <f t="shared" si="11"/>
        <v>0.39671361502347419</v>
      </c>
      <c r="I236" s="1" t="s">
        <v>522</v>
      </c>
      <c r="J236" s="2">
        <v>740</v>
      </c>
      <c r="K236" s="2">
        <v>506</v>
      </c>
      <c r="L236" s="2">
        <v>1246</v>
      </c>
      <c r="M236" s="3">
        <v>0.593900481540931</v>
      </c>
      <c r="N236" s="6">
        <v>0.94</v>
      </c>
    </row>
    <row r="237" spans="1:14" x14ac:dyDescent="0.2">
      <c r="A237" s="1" t="s">
        <v>83</v>
      </c>
      <c r="B237" s="1" t="s">
        <v>56</v>
      </c>
      <c r="C237" s="1" t="s">
        <v>339</v>
      </c>
      <c r="D237" s="2">
        <v>1046</v>
      </c>
      <c r="E237" s="2">
        <v>575</v>
      </c>
      <c r="F237" s="2">
        <f t="shared" si="9"/>
        <v>1621</v>
      </c>
      <c r="G237" s="3">
        <f t="shared" si="10"/>
        <v>0.64528069093152374</v>
      </c>
      <c r="H237" s="3">
        <f t="shared" si="11"/>
        <v>0.35471930906847626</v>
      </c>
      <c r="I237" s="1" t="s">
        <v>522</v>
      </c>
      <c r="J237" s="2">
        <v>1037</v>
      </c>
      <c r="K237" s="2">
        <v>623</v>
      </c>
      <c r="L237" s="2">
        <v>1660</v>
      </c>
      <c r="M237" s="3">
        <v>0.62469879518072291</v>
      </c>
      <c r="N237" s="6">
        <v>2.06</v>
      </c>
    </row>
    <row r="238" spans="1:14" x14ac:dyDescent="0.2">
      <c r="A238" s="1" t="s">
        <v>83</v>
      </c>
      <c r="B238" s="1" t="s">
        <v>56</v>
      </c>
      <c r="C238" s="1" t="s">
        <v>340</v>
      </c>
      <c r="D238" s="2">
        <v>701</v>
      </c>
      <c r="E238" s="2">
        <v>487</v>
      </c>
      <c r="F238" s="2">
        <f t="shared" si="9"/>
        <v>1188</v>
      </c>
      <c r="G238" s="3">
        <f t="shared" si="10"/>
        <v>0.59006734006734007</v>
      </c>
      <c r="H238" s="3">
        <f t="shared" si="11"/>
        <v>0.40993265993265993</v>
      </c>
      <c r="I238" s="1" t="s">
        <v>522</v>
      </c>
      <c r="J238" s="2">
        <v>681</v>
      </c>
      <c r="K238" s="2">
        <v>513</v>
      </c>
      <c r="L238" s="2">
        <v>1194</v>
      </c>
      <c r="M238" s="3">
        <v>0.57035175879396982</v>
      </c>
      <c r="N238" s="6">
        <v>1.97</v>
      </c>
    </row>
    <row r="239" spans="1:14" x14ac:dyDescent="0.2">
      <c r="A239" s="1" t="s">
        <v>83</v>
      </c>
      <c r="B239" s="1" t="s">
        <v>56</v>
      </c>
      <c r="C239" s="1" t="s">
        <v>341</v>
      </c>
      <c r="D239" s="2">
        <v>523</v>
      </c>
      <c r="E239" s="2">
        <v>292</v>
      </c>
      <c r="F239" s="2">
        <f t="shared" si="9"/>
        <v>815</v>
      </c>
      <c r="G239" s="3">
        <f t="shared" si="10"/>
        <v>0.6417177914110429</v>
      </c>
      <c r="H239" s="3">
        <f t="shared" si="11"/>
        <v>0.35828220858895704</v>
      </c>
      <c r="I239" s="1" t="s">
        <v>522</v>
      </c>
      <c r="J239" s="2">
        <v>529</v>
      </c>
      <c r="K239" s="2">
        <v>293</v>
      </c>
      <c r="L239" s="2">
        <v>822</v>
      </c>
      <c r="M239" s="3">
        <v>0.64355231143552316</v>
      </c>
      <c r="N239" s="6">
        <v>-0.18</v>
      </c>
    </row>
    <row r="240" spans="1:14" x14ac:dyDescent="0.2">
      <c r="A240" s="1" t="s">
        <v>83</v>
      </c>
      <c r="B240" s="1" t="s">
        <v>56</v>
      </c>
      <c r="C240" s="1" t="s">
        <v>342</v>
      </c>
      <c r="D240" s="2">
        <v>714</v>
      </c>
      <c r="E240" s="2">
        <v>340</v>
      </c>
      <c r="F240" s="2">
        <f t="shared" si="9"/>
        <v>1054</v>
      </c>
      <c r="G240" s="3">
        <f t="shared" si="10"/>
        <v>0.67741935483870963</v>
      </c>
      <c r="H240" s="3">
        <f t="shared" si="11"/>
        <v>0.32258064516129031</v>
      </c>
      <c r="I240" s="1" t="s">
        <v>522</v>
      </c>
      <c r="J240" s="2">
        <v>767</v>
      </c>
      <c r="K240" s="2">
        <v>384</v>
      </c>
      <c r="L240" s="2">
        <v>1151</v>
      </c>
      <c r="M240" s="3">
        <v>0.66637706342311032</v>
      </c>
      <c r="N240" s="6">
        <v>1.1000000000000001</v>
      </c>
    </row>
    <row r="241" spans="1:14" x14ac:dyDescent="0.2">
      <c r="A241" s="1" t="s">
        <v>83</v>
      </c>
      <c r="B241" s="1" t="s">
        <v>56</v>
      </c>
      <c r="C241" s="1" t="s">
        <v>343</v>
      </c>
      <c r="D241" s="2">
        <v>935</v>
      </c>
      <c r="E241" s="2">
        <v>557</v>
      </c>
      <c r="F241" s="2">
        <f t="shared" si="9"/>
        <v>1492</v>
      </c>
      <c r="G241" s="3">
        <f t="shared" si="10"/>
        <v>0.62667560321715821</v>
      </c>
      <c r="H241" s="3">
        <f t="shared" si="11"/>
        <v>0.37332439678284185</v>
      </c>
      <c r="I241" s="1" t="s">
        <v>522</v>
      </c>
      <c r="J241" s="2">
        <v>906</v>
      </c>
      <c r="K241" s="2">
        <v>586</v>
      </c>
      <c r="L241" s="2">
        <v>1492</v>
      </c>
      <c r="M241" s="3">
        <v>0.60723860589812328</v>
      </c>
      <c r="N241" s="6">
        <v>1.94</v>
      </c>
    </row>
    <row r="242" spans="1:14" x14ac:dyDescent="0.2">
      <c r="A242" s="1" t="s">
        <v>83</v>
      </c>
      <c r="B242" s="1" t="s">
        <v>56</v>
      </c>
      <c r="C242" s="1" t="s">
        <v>344</v>
      </c>
      <c r="D242" s="2">
        <v>973</v>
      </c>
      <c r="E242" s="2">
        <v>457</v>
      </c>
      <c r="F242" s="2">
        <f t="shared" si="9"/>
        <v>1430</v>
      </c>
      <c r="G242" s="3">
        <f t="shared" si="10"/>
        <v>0.68041958041958039</v>
      </c>
      <c r="H242" s="3">
        <f t="shared" si="11"/>
        <v>0.31958041958041961</v>
      </c>
      <c r="I242" s="1" t="s">
        <v>522</v>
      </c>
      <c r="J242" s="2">
        <v>954</v>
      </c>
      <c r="K242" s="2">
        <v>416</v>
      </c>
      <c r="L242" s="2">
        <v>1370</v>
      </c>
      <c r="M242" s="3">
        <v>0.69635036496350367</v>
      </c>
      <c r="N242" s="6">
        <v>-1.59</v>
      </c>
    </row>
    <row r="243" spans="1:14" x14ac:dyDescent="0.2">
      <c r="A243" s="1" t="s">
        <v>83</v>
      </c>
      <c r="B243" s="1" t="s">
        <v>56</v>
      </c>
      <c r="C243" s="1" t="s">
        <v>345</v>
      </c>
      <c r="D243" s="2">
        <v>719</v>
      </c>
      <c r="E243" s="2">
        <v>419</v>
      </c>
      <c r="F243" s="2">
        <f t="shared" si="9"/>
        <v>1138</v>
      </c>
      <c r="G243" s="3">
        <f t="shared" si="10"/>
        <v>0.63181019332161692</v>
      </c>
      <c r="H243" s="3">
        <f t="shared" si="11"/>
        <v>0.36818980667838314</v>
      </c>
      <c r="I243" s="1" t="s">
        <v>522</v>
      </c>
      <c r="J243" s="2">
        <v>821</v>
      </c>
      <c r="K243" s="2">
        <v>474</v>
      </c>
      <c r="L243" s="2">
        <v>1295</v>
      </c>
      <c r="M243" s="3">
        <v>0.63397683397683402</v>
      </c>
      <c r="N243" s="6">
        <v>-0.22</v>
      </c>
    </row>
    <row r="244" spans="1:14" x14ac:dyDescent="0.2">
      <c r="A244" s="1" t="s">
        <v>83</v>
      </c>
      <c r="B244" s="1" t="s">
        <v>56</v>
      </c>
      <c r="C244" s="1" t="s">
        <v>346</v>
      </c>
      <c r="D244" s="2">
        <v>312</v>
      </c>
      <c r="E244" s="2">
        <v>120</v>
      </c>
      <c r="F244" s="2">
        <f t="shared" si="9"/>
        <v>432</v>
      </c>
      <c r="G244" s="3">
        <f t="shared" si="10"/>
        <v>0.72222222222222221</v>
      </c>
      <c r="H244" s="3">
        <f t="shared" si="11"/>
        <v>0.27777777777777779</v>
      </c>
      <c r="I244" s="1" t="s">
        <v>522</v>
      </c>
      <c r="J244" s="2">
        <v>283</v>
      </c>
      <c r="K244" s="2">
        <v>110</v>
      </c>
      <c r="L244" s="2">
        <v>393</v>
      </c>
      <c r="M244" s="3">
        <v>0.72010178117048351</v>
      </c>
      <c r="N244" s="6">
        <v>0.21</v>
      </c>
    </row>
    <row r="245" spans="1:14" x14ac:dyDescent="0.2">
      <c r="A245" s="1" t="s">
        <v>83</v>
      </c>
      <c r="B245" s="1" t="s">
        <v>56</v>
      </c>
      <c r="C245" s="1" t="s">
        <v>347</v>
      </c>
      <c r="D245" s="2">
        <v>475</v>
      </c>
      <c r="E245" s="2">
        <v>140</v>
      </c>
      <c r="F245" s="2">
        <f t="shared" si="9"/>
        <v>615</v>
      </c>
      <c r="G245" s="3">
        <f t="shared" si="10"/>
        <v>0.77235772357723576</v>
      </c>
      <c r="H245" s="3">
        <f t="shared" si="11"/>
        <v>0.22764227642276422</v>
      </c>
      <c r="I245" s="1" t="s">
        <v>522</v>
      </c>
      <c r="J245" s="2">
        <v>450</v>
      </c>
      <c r="K245" s="2">
        <v>179</v>
      </c>
      <c r="L245" s="2">
        <v>629</v>
      </c>
      <c r="M245" s="3">
        <v>0.71542130365659773</v>
      </c>
      <c r="N245" s="6">
        <v>5.69</v>
      </c>
    </row>
    <row r="246" spans="1:14" x14ac:dyDescent="0.2">
      <c r="A246" s="1" t="s">
        <v>83</v>
      </c>
      <c r="B246" s="1" t="s">
        <v>56</v>
      </c>
      <c r="C246" s="1" t="s">
        <v>348</v>
      </c>
      <c r="D246" s="2">
        <v>485</v>
      </c>
      <c r="E246" s="2">
        <v>179</v>
      </c>
      <c r="F246" s="2">
        <f t="shared" si="9"/>
        <v>664</v>
      </c>
      <c r="G246" s="3">
        <f t="shared" si="10"/>
        <v>0.73042168674698793</v>
      </c>
      <c r="H246" s="3">
        <f t="shared" si="11"/>
        <v>0.26957831325301207</v>
      </c>
      <c r="I246" s="1" t="s">
        <v>522</v>
      </c>
      <c r="J246" s="2">
        <v>442</v>
      </c>
      <c r="K246" s="2">
        <v>161</v>
      </c>
      <c r="L246" s="2">
        <v>603</v>
      </c>
      <c r="M246" s="3">
        <v>0.7330016583747927</v>
      </c>
      <c r="N246" s="6">
        <v>-0.26</v>
      </c>
    </row>
    <row r="247" spans="1:14" x14ac:dyDescent="0.2">
      <c r="A247" s="1" t="s">
        <v>83</v>
      </c>
      <c r="B247" s="1" t="s">
        <v>56</v>
      </c>
      <c r="C247" s="1" t="s">
        <v>349</v>
      </c>
      <c r="D247" s="2">
        <v>711</v>
      </c>
      <c r="E247" s="2">
        <v>203</v>
      </c>
      <c r="F247" s="2">
        <f t="shared" si="9"/>
        <v>914</v>
      </c>
      <c r="G247" s="3">
        <f t="shared" si="10"/>
        <v>0.77789934354485779</v>
      </c>
      <c r="H247" s="3">
        <f t="shared" si="11"/>
        <v>0.22210065645514224</v>
      </c>
      <c r="I247" s="1" t="s">
        <v>522</v>
      </c>
      <c r="J247" s="2">
        <v>599</v>
      </c>
      <c r="K247" s="2">
        <v>203</v>
      </c>
      <c r="L247" s="2">
        <v>802</v>
      </c>
      <c r="M247" s="3">
        <v>0.74688279301745641</v>
      </c>
      <c r="N247" s="6">
        <v>3.1</v>
      </c>
    </row>
    <row r="248" spans="1:14" x14ac:dyDescent="0.2">
      <c r="A248" s="1" t="s">
        <v>83</v>
      </c>
      <c r="B248" s="1" t="s">
        <v>56</v>
      </c>
      <c r="C248" s="1" t="s">
        <v>350</v>
      </c>
      <c r="D248" s="2">
        <v>1497</v>
      </c>
      <c r="E248" s="2">
        <v>293</v>
      </c>
      <c r="F248" s="2">
        <f t="shared" si="9"/>
        <v>1790</v>
      </c>
      <c r="G248" s="3">
        <f t="shared" si="10"/>
        <v>0.83631284916201121</v>
      </c>
      <c r="H248" s="3">
        <f t="shared" si="11"/>
        <v>0.16368715083798882</v>
      </c>
      <c r="I248" s="1" t="s">
        <v>522</v>
      </c>
      <c r="J248" s="2">
        <v>1506</v>
      </c>
      <c r="K248" s="2">
        <v>338</v>
      </c>
      <c r="L248" s="2">
        <v>1844</v>
      </c>
      <c r="M248" s="3">
        <v>0.81670281995661609</v>
      </c>
      <c r="N248" s="6">
        <v>1.96</v>
      </c>
    </row>
    <row r="249" spans="1:14" x14ac:dyDescent="0.2">
      <c r="A249" s="1" t="s">
        <v>83</v>
      </c>
      <c r="B249" s="1" t="s">
        <v>56</v>
      </c>
      <c r="C249" s="1" t="s">
        <v>351</v>
      </c>
      <c r="D249" s="2">
        <v>802</v>
      </c>
      <c r="E249" s="2">
        <v>238</v>
      </c>
      <c r="F249" s="2">
        <f t="shared" si="9"/>
        <v>1040</v>
      </c>
      <c r="G249" s="3">
        <f t="shared" si="10"/>
        <v>0.77115384615384619</v>
      </c>
      <c r="H249" s="3">
        <f t="shared" si="11"/>
        <v>0.22884615384615384</v>
      </c>
      <c r="I249" s="1" t="s">
        <v>522</v>
      </c>
      <c r="J249" s="2">
        <v>645</v>
      </c>
      <c r="K249" s="2">
        <v>243</v>
      </c>
      <c r="L249" s="2">
        <v>888</v>
      </c>
      <c r="M249" s="3">
        <v>0.72635135135135132</v>
      </c>
      <c r="N249" s="6">
        <v>4.4800000000000004</v>
      </c>
    </row>
    <row r="250" spans="1:14" x14ac:dyDescent="0.2">
      <c r="A250" s="1" t="s">
        <v>83</v>
      </c>
      <c r="B250" s="1" t="s">
        <v>56</v>
      </c>
      <c r="C250" s="1" t="s">
        <v>352</v>
      </c>
      <c r="D250" s="2">
        <v>718</v>
      </c>
      <c r="E250" s="2">
        <v>247</v>
      </c>
      <c r="F250" s="2">
        <f t="shared" si="9"/>
        <v>965</v>
      </c>
      <c r="G250" s="3">
        <f t="shared" si="10"/>
        <v>0.74404145077720207</v>
      </c>
      <c r="H250" s="3">
        <f t="shared" si="11"/>
        <v>0.25595854922279793</v>
      </c>
      <c r="I250" s="1" t="s">
        <v>522</v>
      </c>
      <c r="J250" s="2">
        <v>628</v>
      </c>
      <c r="K250" s="2">
        <v>267</v>
      </c>
      <c r="L250" s="2">
        <v>895</v>
      </c>
      <c r="M250" s="3">
        <v>0.70167597765363132</v>
      </c>
      <c r="N250" s="6">
        <v>4.24</v>
      </c>
    </row>
    <row r="251" spans="1:14" x14ac:dyDescent="0.2">
      <c r="A251" s="1" t="s">
        <v>83</v>
      </c>
      <c r="B251" s="1" t="s">
        <v>56</v>
      </c>
      <c r="C251" s="1" t="s">
        <v>353</v>
      </c>
      <c r="D251" s="2">
        <v>377</v>
      </c>
      <c r="E251" s="2">
        <v>151</v>
      </c>
      <c r="F251" s="2">
        <f t="shared" si="9"/>
        <v>528</v>
      </c>
      <c r="G251" s="3">
        <f t="shared" si="10"/>
        <v>0.71401515151515149</v>
      </c>
      <c r="H251" s="3">
        <f t="shared" si="11"/>
        <v>0.28598484848484851</v>
      </c>
      <c r="I251" s="1" t="s">
        <v>522</v>
      </c>
      <c r="J251" s="2">
        <v>473</v>
      </c>
      <c r="K251" s="2">
        <v>153</v>
      </c>
      <c r="L251" s="2">
        <v>626</v>
      </c>
      <c r="M251" s="3">
        <v>0.75559105431309903</v>
      </c>
      <c r="N251" s="6">
        <v>-4.16</v>
      </c>
    </row>
    <row r="252" spans="1:14" x14ac:dyDescent="0.2">
      <c r="A252" s="1" t="s">
        <v>83</v>
      </c>
      <c r="B252" s="1" t="s">
        <v>56</v>
      </c>
      <c r="C252" s="1" t="s">
        <v>354</v>
      </c>
      <c r="D252" s="2">
        <v>678</v>
      </c>
      <c r="E252" s="2">
        <v>257</v>
      </c>
      <c r="F252" s="2">
        <f t="shared" si="9"/>
        <v>935</v>
      </c>
      <c r="G252" s="3">
        <f t="shared" si="10"/>
        <v>0.72513368983957216</v>
      </c>
      <c r="H252" s="3">
        <f t="shared" si="11"/>
        <v>0.27486631016042778</v>
      </c>
      <c r="I252" s="1" t="s">
        <v>522</v>
      </c>
      <c r="J252" s="2">
        <v>745</v>
      </c>
      <c r="K252" s="2">
        <v>301</v>
      </c>
      <c r="L252" s="2">
        <v>1046</v>
      </c>
      <c r="M252" s="3">
        <v>0.71223709369024857</v>
      </c>
      <c r="N252" s="6">
        <v>1.29</v>
      </c>
    </row>
    <row r="253" spans="1:14" x14ac:dyDescent="0.2">
      <c r="A253" s="1" t="s">
        <v>83</v>
      </c>
      <c r="B253" s="1" t="s">
        <v>56</v>
      </c>
      <c r="C253" s="1" t="s">
        <v>355</v>
      </c>
      <c r="D253" s="2">
        <v>676</v>
      </c>
      <c r="E253" s="2">
        <v>280</v>
      </c>
      <c r="F253" s="2">
        <f t="shared" si="9"/>
        <v>956</v>
      </c>
      <c r="G253" s="3">
        <f t="shared" si="10"/>
        <v>0.70711297071129708</v>
      </c>
      <c r="H253" s="3">
        <f t="shared" si="11"/>
        <v>0.29288702928870292</v>
      </c>
      <c r="I253" s="1" t="s">
        <v>522</v>
      </c>
      <c r="J253" s="2">
        <v>682</v>
      </c>
      <c r="K253" s="2">
        <v>313</v>
      </c>
      <c r="L253" s="2">
        <v>995</v>
      </c>
      <c r="M253" s="3">
        <v>0.68542713567839197</v>
      </c>
      <c r="N253" s="6">
        <v>2.17</v>
      </c>
    </row>
    <row r="254" spans="1:14" x14ac:dyDescent="0.2">
      <c r="A254" s="1" t="s">
        <v>83</v>
      </c>
      <c r="B254" s="1" t="s">
        <v>56</v>
      </c>
      <c r="C254" s="1" t="s">
        <v>356</v>
      </c>
      <c r="D254" s="2">
        <v>699</v>
      </c>
      <c r="E254" s="2">
        <v>300</v>
      </c>
      <c r="F254" s="2">
        <f t="shared" si="9"/>
        <v>999</v>
      </c>
      <c r="G254" s="3">
        <f t="shared" si="10"/>
        <v>0.6996996996996997</v>
      </c>
      <c r="H254" s="3">
        <f t="shared" si="11"/>
        <v>0.3003003003003003</v>
      </c>
      <c r="I254" s="1" t="s">
        <v>522</v>
      </c>
      <c r="J254" s="2">
        <v>711</v>
      </c>
      <c r="K254" s="2">
        <v>341</v>
      </c>
      <c r="L254" s="2">
        <v>1052</v>
      </c>
      <c r="M254" s="3">
        <v>0.67585551330798477</v>
      </c>
      <c r="N254" s="6">
        <v>2.38</v>
      </c>
    </row>
    <row r="255" spans="1:14" x14ac:dyDescent="0.2">
      <c r="A255" s="1" t="s">
        <v>83</v>
      </c>
      <c r="B255" s="1" t="s">
        <v>56</v>
      </c>
      <c r="C255" s="1" t="s">
        <v>357</v>
      </c>
      <c r="D255" s="2">
        <v>705</v>
      </c>
      <c r="E255" s="2">
        <v>291</v>
      </c>
      <c r="F255" s="2">
        <f t="shared" si="9"/>
        <v>996</v>
      </c>
      <c r="G255" s="3">
        <f t="shared" si="10"/>
        <v>0.70783132530120485</v>
      </c>
      <c r="H255" s="3">
        <f t="shared" si="11"/>
        <v>0.29216867469879521</v>
      </c>
      <c r="I255" s="1" t="s">
        <v>522</v>
      </c>
      <c r="J255" s="2">
        <v>718</v>
      </c>
      <c r="K255" s="2">
        <v>347</v>
      </c>
      <c r="L255" s="2">
        <v>1065</v>
      </c>
      <c r="M255" s="3">
        <v>0.67417840375586857</v>
      </c>
      <c r="N255" s="6">
        <v>3.37</v>
      </c>
    </row>
    <row r="256" spans="1:14" x14ac:dyDescent="0.2">
      <c r="A256" s="1" t="s">
        <v>83</v>
      </c>
      <c r="B256" s="1" t="s">
        <v>87</v>
      </c>
      <c r="C256" s="1" t="s">
        <v>358</v>
      </c>
      <c r="D256" s="2">
        <v>449</v>
      </c>
      <c r="E256" s="2">
        <v>414</v>
      </c>
      <c r="F256" s="2">
        <f t="shared" si="9"/>
        <v>863</v>
      </c>
      <c r="G256" s="3">
        <f t="shared" si="10"/>
        <v>0.52027809965237548</v>
      </c>
      <c r="H256" s="3">
        <f t="shared" si="11"/>
        <v>0.47972190034762457</v>
      </c>
      <c r="I256" s="1" t="s">
        <v>522</v>
      </c>
      <c r="J256" s="2">
        <v>466</v>
      </c>
      <c r="K256" s="2">
        <v>405</v>
      </c>
      <c r="L256" s="2">
        <v>871</v>
      </c>
      <c r="M256" s="3">
        <v>0.5350172215843858</v>
      </c>
      <c r="N256" s="6">
        <v>-1.47</v>
      </c>
    </row>
    <row r="257" spans="1:14" x14ac:dyDescent="0.2">
      <c r="A257" s="1" t="s">
        <v>83</v>
      </c>
      <c r="B257" s="1" t="s">
        <v>87</v>
      </c>
      <c r="C257" s="1" t="s">
        <v>359</v>
      </c>
      <c r="D257" s="2">
        <v>573</v>
      </c>
      <c r="E257" s="2">
        <v>509</v>
      </c>
      <c r="F257" s="2">
        <f t="shared" si="9"/>
        <v>1082</v>
      </c>
      <c r="G257" s="3">
        <f t="shared" si="10"/>
        <v>0.52957486136783738</v>
      </c>
      <c r="H257" s="3">
        <f t="shared" si="11"/>
        <v>0.47042513863216268</v>
      </c>
      <c r="I257" s="1" t="s">
        <v>522</v>
      </c>
      <c r="J257" s="2">
        <v>552</v>
      </c>
      <c r="K257" s="2">
        <v>506</v>
      </c>
      <c r="L257" s="2">
        <v>1058</v>
      </c>
      <c r="M257" s="3">
        <v>0.52173913043478259</v>
      </c>
      <c r="N257" s="6">
        <v>0.78</v>
      </c>
    </row>
    <row r="258" spans="1:14" x14ac:dyDescent="0.2">
      <c r="A258" s="1" t="s">
        <v>83</v>
      </c>
      <c r="B258" s="1" t="s">
        <v>87</v>
      </c>
      <c r="C258" s="1" t="s">
        <v>360</v>
      </c>
      <c r="D258" s="2">
        <v>674</v>
      </c>
      <c r="E258" s="2">
        <v>544</v>
      </c>
      <c r="F258" s="2">
        <f t="shared" si="9"/>
        <v>1218</v>
      </c>
      <c r="G258" s="3">
        <f t="shared" si="10"/>
        <v>0.55336617405582922</v>
      </c>
      <c r="H258" s="3">
        <f t="shared" si="11"/>
        <v>0.44663382594417078</v>
      </c>
      <c r="I258" s="1" t="s">
        <v>522</v>
      </c>
      <c r="J258" s="2">
        <v>722</v>
      </c>
      <c r="K258" s="2">
        <v>596</v>
      </c>
      <c r="L258" s="2">
        <v>1318</v>
      </c>
      <c r="M258" s="3">
        <v>0.54779969650986338</v>
      </c>
      <c r="N258" s="6">
        <v>0.56000000000000005</v>
      </c>
    </row>
    <row r="259" spans="1:14" x14ac:dyDescent="0.2">
      <c r="A259" s="1" t="s">
        <v>83</v>
      </c>
      <c r="B259" s="1" t="s">
        <v>87</v>
      </c>
      <c r="C259" s="1" t="s">
        <v>361</v>
      </c>
      <c r="D259" s="2">
        <v>335</v>
      </c>
      <c r="E259" s="2">
        <v>367</v>
      </c>
      <c r="F259" s="2">
        <f t="shared" si="9"/>
        <v>702</v>
      </c>
      <c r="G259" s="3">
        <f t="shared" si="10"/>
        <v>0.4772079772079772</v>
      </c>
      <c r="H259" s="3">
        <f t="shared" si="11"/>
        <v>0.52279202279202275</v>
      </c>
      <c r="I259" s="1" t="s">
        <v>522</v>
      </c>
      <c r="J259" s="2">
        <v>339</v>
      </c>
      <c r="K259" s="2">
        <v>338</v>
      </c>
      <c r="L259" s="2">
        <v>677</v>
      </c>
      <c r="M259" s="3">
        <v>0.50073855243722309</v>
      </c>
      <c r="N259" s="6">
        <v>-2.35</v>
      </c>
    </row>
    <row r="260" spans="1:14" x14ac:dyDescent="0.2">
      <c r="A260" s="1" t="s">
        <v>83</v>
      </c>
      <c r="B260" s="1" t="s">
        <v>87</v>
      </c>
      <c r="C260" s="1" t="s">
        <v>362</v>
      </c>
      <c r="D260" s="2">
        <v>590</v>
      </c>
      <c r="E260" s="2">
        <v>465</v>
      </c>
      <c r="F260" s="2">
        <f t="shared" si="9"/>
        <v>1055</v>
      </c>
      <c r="G260" s="3">
        <f t="shared" si="10"/>
        <v>0.55924170616113744</v>
      </c>
      <c r="H260" s="3">
        <f t="shared" si="11"/>
        <v>0.44075829383886256</v>
      </c>
      <c r="I260" s="1" t="s">
        <v>522</v>
      </c>
      <c r="J260" s="2">
        <v>579</v>
      </c>
      <c r="K260" s="2">
        <v>482</v>
      </c>
      <c r="L260" s="2">
        <v>1061</v>
      </c>
      <c r="M260" s="3">
        <v>0.54571159283694626</v>
      </c>
      <c r="N260" s="6">
        <v>1.35</v>
      </c>
    </row>
    <row r="261" spans="1:14" x14ac:dyDescent="0.2">
      <c r="A261" s="1" t="s">
        <v>83</v>
      </c>
      <c r="B261" s="1" t="s">
        <v>87</v>
      </c>
      <c r="C261" s="1" t="s">
        <v>363</v>
      </c>
      <c r="D261" s="2">
        <v>564</v>
      </c>
      <c r="E261" s="2">
        <v>498</v>
      </c>
      <c r="F261" s="2">
        <f t="shared" si="9"/>
        <v>1062</v>
      </c>
      <c r="G261" s="3">
        <f t="shared" si="10"/>
        <v>0.53107344632768361</v>
      </c>
      <c r="H261" s="3">
        <f t="shared" si="11"/>
        <v>0.46892655367231639</v>
      </c>
      <c r="I261" s="1" t="s">
        <v>522</v>
      </c>
      <c r="J261" s="2">
        <v>562</v>
      </c>
      <c r="K261" s="2">
        <v>525</v>
      </c>
      <c r="L261" s="2">
        <v>1087</v>
      </c>
      <c r="M261" s="3">
        <v>0.51701931922723088</v>
      </c>
      <c r="N261" s="6">
        <v>1.41</v>
      </c>
    </row>
    <row r="262" spans="1:14" x14ac:dyDescent="0.2">
      <c r="A262" s="1" t="s">
        <v>83</v>
      </c>
      <c r="B262" s="1" t="s">
        <v>87</v>
      </c>
      <c r="C262" s="1" t="s">
        <v>364</v>
      </c>
      <c r="D262" s="2">
        <v>350</v>
      </c>
      <c r="E262" s="2">
        <v>286</v>
      </c>
      <c r="F262" s="2">
        <f t="shared" si="9"/>
        <v>636</v>
      </c>
      <c r="G262" s="3">
        <f t="shared" si="10"/>
        <v>0.55031446540880502</v>
      </c>
      <c r="H262" s="3">
        <f t="shared" si="11"/>
        <v>0.44968553459119498</v>
      </c>
      <c r="I262" s="1" t="s">
        <v>522</v>
      </c>
      <c r="J262" s="2">
        <v>337</v>
      </c>
      <c r="K262" s="2">
        <v>296</v>
      </c>
      <c r="L262" s="2">
        <v>633</v>
      </c>
      <c r="M262" s="3">
        <v>0.53238546603475512</v>
      </c>
      <c r="N262" s="6">
        <v>1.79</v>
      </c>
    </row>
    <row r="263" spans="1:14" x14ac:dyDescent="0.2">
      <c r="A263" s="1" t="s">
        <v>83</v>
      </c>
      <c r="B263" s="1" t="s">
        <v>87</v>
      </c>
      <c r="C263" s="1" t="s">
        <v>365</v>
      </c>
      <c r="D263" s="2">
        <v>497</v>
      </c>
      <c r="E263" s="2">
        <v>357</v>
      </c>
      <c r="F263" s="2">
        <f t="shared" si="9"/>
        <v>854</v>
      </c>
      <c r="G263" s="3">
        <f t="shared" si="10"/>
        <v>0.58196721311475408</v>
      </c>
      <c r="H263" s="3">
        <f t="shared" si="11"/>
        <v>0.41803278688524592</v>
      </c>
      <c r="I263" s="1" t="s">
        <v>522</v>
      </c>
      <c r="J263" s="2">
        <v>517</v>
      </c>
      <c r="K263" s="2">
        <v>388</v>
      </c>
      <c r="L263" s="2">
        <v>905</v>
      </c>
      <c r="M263" s="3">
        <v>0.57127071823204423</v>
      </c>
      <c r="N263" s="6">
        <v>1.07</v>
      </c>
    </row>
    <row r="264" spans="1:14" x14ac:dyDescent="0.2">
      <c r="A264" s="1" t="s">
        <v>83</v>
      </c>
      <c r="B264" s="1" t="s">
        <v>87</v>
      </c>
      <c r="C264" s="1" t="s">
        <v>366</v>
      </c>
      <c r="D264" s="2">
        <v>321</v>
      </c>
      <c r="E264" s="2">
        <v>228</v>
      </c>
      <c r="F264" s="2">
        <f t="shared" si="9"/>
        <v>549</v>
      </c>
      <c r="G264" s="3">
        <f t="shared" si="10"/>
        <v>0.58469945355191255</v>
      </c>
      <c r="H264" s="3">
        <f t="shared" si="11"/>
        <v>0.41530054644808745</v>
      </c>
      <c r="I264" s="1" t="s">
        <v>522</v>
      </c>
      <c r="J264" s="2">
        <v>329</v>
      </c>
      <c r="K264" s="2">
        <v>217</v>
      </c>
      <c r="L264" s="2">
        <v>546</v>
      </c>
      <c r="M264" s="3">
        <v>0.60256410256410253</v>
      </c>
      <c r="N264" s="6">
        <v>-1.79</v>
      </c>
    </row>
    <row r="265" spans="1:14" x14ac:dyDescent="0.2">
      <c r="A265" s="1" t="s">
        <v>83</v>
      </c>
      <c r="B265" s="1" t="s">
        <v>87</v>
      </c>
      <c r="C265" s="1" t="s">
        <v>367</v>
      </c>
      <c r="D265" s="2">
        <v>327</v>
      </c>
      <c r="E265" s="2">
        <v>336</v>
      </c>
      <c r="F265" s="2">
        <f t="shared" si="9"/>
        <v>663</v>
      </c>
      <c r="G265" s="3">
        <f t="shared" si="10"/>
        <v>0.49321266968325794</v>
      </c>
      <c r="H265" s="3">
        <f t="shared" si="11"/>
        <v>0.50678733031674206</v>
      </c>
      <c r="I265" s="1" t="s">
        <v>522</v>
      </c>
      <c r="J265" s="2">
        <v>352</v>
      </c>
      <c r="K265" s="2">
        <v>326</v>
      </c>
      <c r="L265" s="2">
        <v>678</v>
      </c>
      <c r="M265" s="3">
        <v>0.5191740412979351</v>
      </c>
      <c r="N265" s="6">
        <v>-2.6</v>
      </c>
    </row>
    <row r="266" spans="1:14" x14ac:dyDescent="0.2">
      <c r="A266" s="1" t="s">
        <v>83</v>
      </c>
      <c r="B266" s="1" t="s">
        <v>87</v>
      </c>
      <c r="C266" s="1" t="s">
        <v>368</v>
      </c>
      <c r="D266" s="2">
        <v>435</v>
      </c>
      <c r="E266" s="2">
        <v>376</v>
      </c>
      <c r="F266" s="2">
        <f t="shared" si="9"/>
        <v>811</v>
      </c>
      <c r="G266" s="3">
        <f t="shared" si="10"/>
        <v>0.53637484586929718</v>
      </c>
      <c r="H266" s="3">
        <f t="shared" si="11"/>
        <v>0.46362515413070282</v>
      </c>
      <c r="I266" s="1" t="s">
        <v>522</v>
      </c>
      <c r="J266" s="2">
        <v>420</v>
      </c>
      <c r="K266" s="2">
        <v>378</v>
      </c>
      <c r="L266" s="2">
        <v>798</v>
      </c>
      <c r="M266" s="3">
        <v>0.52631578947368418</v>
      </c>
      <c r="N266" s="6">
        <v>1.01</v>
      </c>
    </row>
    <row r="267" spans="1:14" x14ac:dyDescent="0.2">
      <c r="A267" s="1" t="s">
        <v>83</v>
      </c>
      <c r="B267" s="1" t="s">
        <v>87</v>
      </c>
      <c r="C267" s="1" t="s">
        <v>369</v>
      </c>
      <c r="D267" s="2">
        <v>520</v>
      </c>
      <c r="E267" s="2">
        <v>422</v>
      </c>
      <c r="F267" s="2">
        <f t="shared" si="9"/>
        <v>942</v>
      </c>
      <c r="G267" s="3">
        <f t="shared" si="10"/>
        <v>0.55201698513800423</v>
      </c>
      <c r="H267" s="3">
        <f t="shared" si="11"/>
        <v>0.44798301486199577</v>
      </c>
      <c r="I267" s="1" t="s">
        <v>522</v>
      </c>
      <c r="J267" s="2">
        <v>522</v>
      </c>
      <c r="K267" s="2">
        <v>400</v>
      </c>
      <c r="L267" s="2">
        <v>922</v>
      </c>
      <c r="M267" s="3">
        <v>0.56616052060737532</v>
      </c>
      <c r="N267" s="6">
        <v>-1.41</v>
      </c>
    </row>
    <row r="268" spans="1:14" x14ac:dyDescent="0.2">
      <c r="A268" s="1" t="s">
        <v>83</v>
      </c>
      <c r="B268" s="1" t="s">
        <v>87</v>
      </c>
      <c r="C268" s="1" t="s">
        <v>370</v>
      </c>
      <c r="D268" s="2">
        <v>464</v>
      </c>
      <c r="E268" s="2">
        <v>444</v>
      </c>
      <c r="F268" s="2">
        <f t="shared" ref="F268:F331" si="12">IF(COUNTA(D268:E268)=0,"",SUM(D268:E268))</f>
        <v>908</v>
      </c>
      <c r="G268" s="3">
        <f t="shared" ref="G268:G331" si="13">IF(OR(F268="",F268=0),"",D268/F268)</f>
        <v>0.51101321585903081</v>
      </c>
      <c r="H268" s="3">
        <f t="shared" ref="H268:H331" si="14">IF(OR(F268="",F268=0),"",E268/F268)</f>
        <v>0.48898678414096919</v>
      </c>
      <c r="I268" s="1" t="s">
        <v>522</v>
      </c>
      <c r="J268" s="2">
        <v>436</v>
      </c>
      <c r="K268" s="2">
        <v>423</v>
      </c>
      <c r="L268" s="2">
        <v>859</v>
      </c>
      <c r="M268" s="3">
        <v>0.50756693830034927</v>
      </c>
      <c r="N268" s="6">
        <v>0.34</v>
      </c>
    </row>
    <row r="269" spans="1:14" x14ac:dyDescent="0.2">
      <c r="A269" s="1" t="s">
        <v>83</v>
      </c>
      <c r="B269" s="1" t="s">
        <v>87</v>
      </c>
      <c r="C269" s="1" t="s">
        <v>371</v>
      </c>
      <c r="D269" s="2">
        <v>858</v>
      </c>
      <c r="E269" s="2">
        <v>690</v>
      </c>
      <c r="F269" s="2">
        <f t="shared" si="12"/>
        <v>1548</v>
      </c>
      <c r="G269" s="3">
        <f t="shared" si="13"/>
        <v>0.55426356589147285</v>
      </c>
      <c r="H269" s="3">
        <f t="shared" si="14"/>
        <v>0.44573643410852715</v>
      </c>
      <c r="I269" s="1" t="s">
        <v>522</v>
      </c>
      <c r="J269" s="2">
        <v>925</v>
      </c>
      <c r="K269" s="2">
        <v>710</v>
      </c>
      <c r="L269" s="2">
        <v>1635</v>
      </c>
      <c r="M269" s="3">
        <v>0.56574923547400613</v>
      </c>
      <c r="N269" s="6">
        <v>-1.1499999999999999</v>
      </c>
    </row>
    <row r="270" spans="1:14" x14ac:dyDescent="0.2">
      <c r="A270" s="1" t="s">
        <v>83</v>
      </c>
      <c r="B270" s="1" t="s">
        <v>87</v>
      </c>
      <c r="C270" s="1" t="s">
        <v>372</v>
      </c>
      <c r="D270" s="2">
        <v>521</v>
      </c>
      <c r="E270" s="2">
        <v>531</v>
      </c>
      <c r="F270" s="2">
        <f t="shared" si="12"/>
        <v>1052</v>
      </c>
      <c r="G270" s="3">
        <f t="shared" si="13"/>
        <v>0.49524714828897337</v>
      </c>
      <c r="H270" s="3">
        <f t="shared" si="14"/>
        <v>0.50475285171102657</v>
      </c>
      <c r="I270" s="1" t="s">
        <v>522</v>
      </c>
      <c r="J270" s="2">
        <v>535</v>
      </c>
      <c r="K270" s="2">
        <v>514</v>
      </c>
      <c r="L270" s="2">
        <v>1049</v>
      </c>
      <c r="M270" s="3">
        <v>0.51000953288846518</v>
      </c>
      <c r="N270" s="6">
        <v>-1.48</v>
      </c>
    </row>
    <row r="271" spans="1:14" x14ac:dyDescent="0.2">
      <c r="A271" s="1" t="s">
        <v>83</v>
      </c>
      <c r="B271" s="1" t="s">
        <v>87</v>
      </c>
      <c r="C271" s="1" t="s">
        <v>373</v>
      </c>
      <c r="D271" s="2">
        <v>493</v>
      </c>
      <c r="E271" s="2">
        <v>496</v>
      </c>
      <c r="F271" s="2">
        <f t="shared" si="12"/>
        <v>989</v>
      </c>
      <c r="G271" s="3">
        <f t="shared" si="13"/>
        <v>0.49848331648129424</v>
      </c>
      <c r="H271" s="3">
        <f t="shared" si="14"/>
        <v>0.50151668351870571</v>
      </c>
      <c r="I271" s="1" t="s">
        <v>522</v>
      </c>
      <c r="J271" s="2">
        <v>499</v>
      </c>
      <c r="K271" s="2">
        <v>468</v>
      </c>
      <c r="L271" s="2">
        <v>967</v>
      </c>
      <c r="M271" s="3">
        <v>0.516028955532575</v>
      </c>
      <c r="N271" s="6">
        <v>-1.75</v>
      </c>
    </row>
    <row r="272" spans="1:14" x14ac:dyDescent="0.2">
      <c r="A272" s="1" t="s">
        <v>83</v>
      </c>
      <c r="B272" s="1" t="s">
        <v>87</v>
      </c>
      <c r="C272" s="1" t="s">
        <v>374</v>
      </c>
      <c r="D272" s="2">
        <v>529</v>
      </c>
      <c r="E272" s="2">
        <v>470</v>
      </c>
      <c r="F272" s="2">
        <f t="shared" si="12"/>
        <v>999</v>
      </c>
      <c r="G272" s="3">
        <f t="shared" si="13"/>
        <v>0.52952952952952947</v>
      </c>
      <c r="H272" s="3">
        <f t="shared" si="14"/>
        <v>0.47047047047047047</v>
      </c>
      <c r="I272" s="1" t="s">
        <v>522</v>
      </c>
      <c r="J272" s="2">
        <v>503</v>
      </c>
      <c r="K272" s="2">
        <v>468</v>
      </c>
      <c r="L272" s="2">
        <v>971</v>
      </c>
      <c r="M272" s="3">
        <v>0.51802265705458295</v>
      </c>
      <c r="N272" s="6">
        <v>1.1499999999999999</v>
      </c>
    </row>
    <row r="273" spans="1:14" x14ac:dyDescent="0.2">
      <c r="A273" s="1" t="s">
        <v>83</v>
      </c>
      <c r="B273" s="1" t="s">
        <v>88</v>
      </c>
      <c r="C273" s="1" t="s">
        <v>375</v>
      </c>
      <c r="D273" s="2">
        <v>930</v>
      </c>
      <c r="E273" s="2">
        <v>1465</v>
      </c>
      <c r="F273" s="2">
        <f t="shared" si="12"/>
        <v>2395</v>
      </c>
      <c r="G273" s="3">
        <f t="shared" si="13"/>
        <v>0.38830897703549061</v>
      </c>
      <c r="H273" s="3">
        <f t="shared" si="14"/>
        <v>0.61169102296450939</v>
      </c>
      <c r="I273" s="1" t="s">
        <v>522</v>
      </c>
      <c r="J273" s="2">
        <v>939</v>
      </c>
      <c r="K273" s="2">
        <v>1452</v>
      </c>
      <c r="L273" s="2">
        <v>2391</v>
      </c>
      <c r="M273" s="3">
        <v>0.39272271016311172</v>
      </c>
      <c r="N273" s="6">
        <v>-0.44</v>
      </c>
    </row>
    <row r="274" spans="1:14" x14ac:dyDescent="0.2">
      <c r="A274" s="1" t="s">
        <v>83</v>
      </c>
      <c r="B274" s="1" t="s">
        <v>88</v>
      </c>
      <c r="C274" s="1" t="s">
        <v>376</v>
      </c>
      <c r="D274" s="2">
        <v>849</v>
      </c>
      <c r="E274" s="2">
        <v>1161</v>
      </c>
      <c r="F274" s="2">
        <f t="shared" si="12"/>
        <v>2010</v>
      </c>
      <c r="G274" s="3">
        <f t="shared" si="13"/>
        <v>0.42238805970149251</v>
      </c>
      <c r="H274" s="3">
        <f t="shared" si="14"/>
        <v>0.57761194029850749</v>
      </c>
      <c r="I274" s="1" t="s">
        <v>522</v>
      </c>
      <c r="J274" s="2">
        <v>820</v>
      </c>
      <c r="K274" s="2">
        <v>1185</v>
      </c>
      <c r="L274" s="2">
        <v>2005</v>
      </c>
      <c r="M274" s="3">
        <v>0.40897755610972569</v>
      </c>
      <c r="N274" s="6">
        <v>1.34</v>
      </c>
    </row>
    <row r="275" spans="1:14" x14ac:dyDescent="0.2">
      <c r="A275" s="1" t="s">
        <v>83</v>
      </c>
      <c r="B275" s="1" t="s">
        <v>88</v>
      </c>
      <c r="C275" s="1" t="s">
        <v>377</v>
      </c>
      <c r="D275" s="2">
        <v>412</v>
      </c>
      <c r="E275" s="2">
        <v>799</v>
      </c>
      <c r="F275" s="2">
        <f t="shared" si="12"/>
        <v>1211</v>
      </c>
      <c r="G275" s="3">
        <f t="shared" si="13"/>
        <v>0.34021469859620146</v>
      </c>
      <c r="H275" s="3">
        <f t="shared" si="14"/>
        <v>0.65978530140379854</v>
      </c>
      <c r="I275" s="1" t="s">
        <v>522</v>
      </c>
      <c r="J275" s="2">
        <v>410</v>
      </c>
      <c r="K275" s="2">
        <v>822</v>
      </c>
      <c r="L275" s="2">
        <v>1232</v>
      </c>
      <c r="M275" s="3">
        <v>0.33279220779220781</v>
      </c>
      <c r="N275" s="6">
        <v>0.74</v>
      </c>
    </row>
    <row r="276" spans="1:14" x14ac:dyDescent="0.2">
      <c r="A276" s="1" t="s">
        <v>83</v>
      </c>
      <c r="B276" s="1" t="s">
        <v>89</v>
      </c>
      <c r="C276" s="1" t="s">
        <v>89</v>
      </c>
      <c r="D276" s="2">
        <v>42</v>
      </c>
      <c r="E276" s="2">
        <v>79</v>
      </c>
      <c r="F276" s="2">
        <f t="shared" si="12"/>
        <v>121</v>
      </c>
      <c r="G276" s="3">
        <f t="shared" si="13"/>
        <v>0.34710743801652894</v>
      </c>
      <c r="H276" s="3">
        <f t="shared" si="14"/>
        <v>0.65289256198347112</v>
      </c>
      <c r="I276" s="1" t="s">
        <v>522</v>
      </c>
      <c r="J276" s="2">
        <v>40</v>
      </c>
      <c r="K276" s="2">
        <v>83</v>
      </c>
      <c r="L276" s="2">
        <v>123</v>
      </c>
      <c r="M276" s="3">
        <v>0.32520325203252032</v>
      </c>
      <c r="N276" s="6">
        <v>2.19</v>
      </c>
    </row>
    <row r="277" spans="1:14" x14ac:dyDescent="0.2">
      <c r="A277" s="1" t="s">
        <v>83</v>
      </c>
      <c r="B277" s="1" t="s">
        <v>90</v>
      </c>
      <c r="C277" s="1" t="s">
        <v>378</v>
      </c>
      <c r="D277" s="2">
        <v>728</v>
      </c>
      <c r="E277" s="2">
        <v>988</v>
      </c>
      <c r="F277" s="2">
        <f t="shared" si="12"/>
        <v>1716</v>
      </c>
      <c r="G277" s="3">
        <f t="shared" si="13"/>
        <v>0.42424242424242425</v>
      </c>
      <c r="H277" s="3">
        <f t="shared" si="14"/>
        <v>0.5757575757575758</v>
      </c>
      <c r="I277" s="1" t="s">
        <v>522</v>
      </c>
      <c r="J277" s="2">
        <v>774</v>
      </c>
      <c r="K277" s="2">
        <v>1032</v>
      </c>
      <c r="L277" s="2">
        <v>1806</v>
      </c>
      <c r="M277" s="3">
        <v>0.42857142857142849</v>
      </c>
      <c r="N277" s="6">
        <v>-0.43</v>
      </c>
    </row>
    <row r="278" spans="1:14" x14ac:dyDescent="0.2">
      <c r="A278" s="1" t="s">
        <v>83</v>
      </c>
      <c r="B278" s="1" t="s">
        <v>90</v>
      </c>
      <c r="C278" s="1" t="s">
        <v>379</v>
      </c>
      <c r="D278" s="2">
        <v>751</v>
      </c>
      <c r="E278" s="2">
        <v>902</v>
      </c>
      <c r="F278" s="2">
        <f t="shared" si="12"/>
        <v>1653</v>
      </c>
      <c r="G278" s="3">
        <f t="shared" si="13"/>
        <v>0.45432546884452513</v>
      </c>
      <c r="H278" s="3">
        <f t="shared" si="14"/>
        <v>0.54567453115547493</v>
      </c>
      <c r="I278" s="1" t="s">
        <v>522</v>
      </c>
      <c r="J278" s="2">
        <v>710</v>
      </c>
      <c r="K278" s="2">
        <v>927</v>
      </c>
      <c r="L278" s="2">
        <v>1637</v>
      </c>
      <c r="M278" s="3">
        <v>0.43372021991447768</v>
      </c>
      <c r="N278" s="6">
        <v>2.06</v>
      </c>
    </row>
    <row r="279" spans="1:14" x14ac:dyDescent="0.2">
      <c r="A279" s="1" t="s">
        <v>83</v>
      </c>
      <c r="B279" s="1" t="s">
        <v>91</v>
      </c>
      <c r="C279" s="1" t="s">
        <v>91</v>
      </c>
      <c r="D279" s="2">
        <v>199</v>
      </c>
      <c r="E279" s="2">
        <v>312</v>
      </c>
      <c r="F279" s="2">
        <f t="shared" si="12"/>
        <v>511</v>
      </c>
      <c r="G279" s="3">
        <f t="shared" si="13"/>
        <v>0.38943248532289626</v>
      </c>
      <c r="H279" s="3">
        <f t="shared" si="14"/>
        <v>0.61056751467710368</v>
      </c>
      <c r="I279" s="1" t="s">
        <v>522</v>
      </c>
      <c r="J279" s="2">
        <v>217</v>
      </c>
      <c r="K279" s="2">
        <v>309</v>
      </c>
      <c r="L279" s="2">
        <v>526</v>
      </c>
      <c r="M279" s="3">
        <v>0.41254752851711018</v>
      </c>
      <c r="N279" s="6">
        <v>-2.31</v>
      </c>
    </row>
    <row r="280" spans="1:14" x14ac:dyDescent="0.2">
      <c r="A280" s="1" t="s">
        <v>83</v>
      </c>
      <c r="B280" s="1" t="s">
        <v>92</v>
      </c>
      <c r="C280" s="1" t="s">
        <v>380</v>
      </c>
      <c r="D280" s="2">
        <v>702</v>
      </c>
      <c r="E280" s="2">
        <v>328</v>
      </c>
      <c r="F280" s="2">
        <f t="shared" si="12"/>
        <v>1030</v>
      </c>
      <c r="G280" s="3">
        <f t="shared" si="13"/>
        <v>0.68155339805825244</v>
      </c>
      <c r="H280" s="3">
        <f t="shared" si="14"/>
        <v>0.31844660194174756</v>
      </c>
      <c r="I280" s="1" t="s">
        <v>522</v>
      </c>
      <c r="J280" s="2">
        <v>738</v>
      </c>
      <c r="K280" s="2">
        <v>384</v>
      </c>
      <c r="L280" s="2">
        <v>1122</v>
      </c>
      <c r="M280" s="3">
        <v>0.65775401069518713</v>
      </c>
      <c r="N280" s="6">
        <v>2.38</v>
      </c>
    </row>
    <row r="281" spans="1:14" x14ac:dyDescent="0.2">
      <c r="A281" s="1" t="s">
        <v>83</v>
      </c>
      <c r="B281" s="1" t="s">
        <v>92</v>
      </c>
      <c r="C281" s="1" t="s">
        <v>381</v>
      </c>
      <c r="D281" s="2">
        <v>808</v>
      </c>
      <c r="E281" s="2">
        <v>330</v>
      </c>
      <c r="F281" s="2">
        <f t="shared" si="12"/>
        <v>1138</v>
      </c>
      <c r="G281" s="3">
        <f t="shared" si="13"/>
        <v>0.71001757469244287</v>
      </c>
      <c r="H281" s="3">
        <f t="shared" si="14"/>
        <v>0.28998242530755713</v>
      </c>
      <c r="I281" s="1" t="s">
        <v>522</v>
      </c>
      <c r="J281" s="2">
        <v>757</v>
      </c>
      <c r="K281" s="2">
        <v>343</v>
      </c>
      <c r="L281" s="2">
        <v>1100</v>
      </c>
      <c r="M281" s="3">
        <v>0.68818181818181823</v>
      </c>
      <c r="N281" s="6">
        <v>2.1800000000000002</v>
      </c>
    </row>
    <row r="282" spans="1:14" x14ac:dyDescent="0.2">
      <c r="A282" s="1" t="s">
        <v>83</v>
      </c>
      <c r="B282" s="1" t="s">
        <v>92</v>
      </c>
      <c r="C282" s="1" t="s">
        <v>382</v>
      </c>
      <c r="D282" s="2">
        <v>494</v>
      </c>
      <c r="E282" s="2">
        <v>167</v>
      </c>
      <c r="F282" s="2">
        <f t="shared" si="12"/>
        <v>661</v>
      </c>
      <c r="G282" s="3">
        <f t="shared" si="13"/>
        <v>0.74735249621785171</v>
      </c>
      <c r="H282" s="3">
        <f t="shared" si="14"/>
        <v>0.25264750378214829</v>
      </c>
      <c r="I282" s="1" t="s">
        <v>522</v>
      </c>
      <c r="J282" s="2">
        <v>492</v>
      </c>
      <c r="K282" s="2">
        <v>197</v>
      </c>
      <c r="L282" s="2">
        <v>689</v>
      </c>
      <c r="M282" s="3">
        <v>0.71407837445573297</v>
      </c>
      <c r="N282" s="6">
        <v>3.33</v>
      </c>
    </row>
    <row r="283" spans="1:14" x14ac:dyDescent="0.2">
      <c r="A283" s="1" t="s">
        <v>83</v>
      </c>
      <c r="B283" s="1" t="s">
        <v>92</v>
      </c>
      <c r="C283" s="1" t="s">
        <v>383</v>
      </c>
      <c r="D283" s="2">
        <v>725</v>
      </c>
      <c r="E283" s="2">
        <v>235</v>
      </c>
      <c r="F283" s="2">
        <f t="shared" si="12"/>
        <v>960</v>
      </c>
      <c r="G283" s="3">
        <f t="shared" si="13"/>
        <v>0.75520833333333337</v>
      </c>
      <c r="H283" s="3">
        <f t="shared" si="14"/>
        <v>0.24479166666666666</v>
      </c>
      <c r="I283" s="1" t="s">
        <v>522</v>
      </c>
      <c r="J283" s="2">
        <v>743</v>
      </c>
      <c r="K283" s="2">
        <v>265</v>
      </c>
      <c r="L283" s="2">
        <v>1008</v>
      </c>
      <c r="M283" s="3">
        <v>0.73710317460317465</v>
      </c>
      <c r="N283" s="6">
        <v>1.81</v>
      </c>
    </row>
    <row r="284" spans="1:14" x14ac:dyDescent="0.2">
      <c r="A284" s="1" t="s">
        <v>83</v>
      </c>
      <c r="B284" s="1" t="s">
        <v>92</v>
      </c>
      <c r="C284" s="1" t="s">
        <v>384</v>
      </c>
      <c r="D284" s="2">
        <v>1022</v>
      </c>
      <c r="E284" s="2">
        <v>220</v>
      </c>
      <c r="F284" s="2">
        <f t="shared" si="12"/>
        <v>1242</v>
      </c>
      <c r="G284" s="3">
        <f t="shared" si="13"/>
        <v>0.82286634460547503</v>
      </c>
      <c r="H284" s="3">
        <f t="shared" si="14"/>
        <v>0.17713365539452497</v>
      </c>
      <c r="I284" s="1" t="s">
        <v>522</v>
      </c>
      <c r="J284" s="2">
        <v>1109</v>
      </c>
      <c r="K284" s="2">
        <v>290</v>
      </c>
      <c r="L284" s="2">
        <v>1399</v>
      </c>
      <c r="M284" s="3">
        <v>0.79270907791279488</v>
      </c>
      <c r="N284" s="6">
        <v>3.02</v>
      </c>
    </row>
    <row r="285" spans="1:14" x14ac:dyDescent="0.2">
      <c r="A285" s="1" t="s">
        <v>83</v>
      </c>
      <c r="B285" s="1" t="s">
        <v>92</v>
      </c>
      <c r="C285" s="1" t="s">
        <v>385</v>
      </c>
      <c r="D285" s="2">
        <v>551</v>
      </c>
      <c r="E285" s="2">
        <v>201</v>
      </c>
      <c r="F285" s="2">
        <f t="shared" si="12"/>
        <v>752</v>
      </c>
      <c r="G285" s="3">
        <f t="shared" si="13"/>
        <v>0.73271276595744683</v>
      </c>
      <c r="H285" s="3">
        <f t="shared" si="14"/>
        <v>0.26728723404255317</v>
      </c>
      <c r="I285" s="1" t="s">
        <v>522</v>
      </c>
      <c r="J285" s="2">
        <v>566</v>
      </c>
      <c r="K285" s="2">
        <v>257</v>
      </c>
      <c r="L285" s="2">
        <v>823</v>
      </c>
      <c r="M285" s="3">
        <v>0.68772782503037666</v>
      </c>
      <c r="N285" s="6">
        <v>4.5</v>
      </c>
    </row>
    <row r="286" spans="1:14" x14ac:dyDescent="0.2">
      <c r="A286" s="1" t="s">
        <v>83</v>
      </c>
      <c r="B286" s="1" t="s">
        <v>92</v>
      </c>
      <c r="C286" s="1" t="s">
        <v>386</v>
      </c>
      <c r="D286" s="2">
        <v>554</v>
      </c>
      <c r="E286" s="2">
        <v>246</v>
      </c>
      <c r="F286" s="2">
        <f t="shared" si="12"/>
        <v>800</v>
      </c>
      <c r="G286" s="3">
        <f t="shared" si="13"/>
        <v>0.6925</v>
      </c>
      <c r="H286" s="3">
        <f t="shared" si="14"/>
        <v>0.3075</v>
      </c>
      <c r="I286" s="1" t="s">
        <v>522</v>
      </c>
      <c r="J286" s="2">
        <v>517</v>
      </c>
      <c r="K286" s="2">
        <v>265</v>
      </c>
      <c r="L286" s="2">
        <v>782</v>
      </c>
      <c r="M286" s="3">
        <v>0.66112531969309463</v>
      </c>
      <c r="N286" s="6">
        <v>3.14</v>
      </c>
    </row>
    <row r="287" spans="1:14" x14ac:dyDescent="0.2">
      <c r="A287" s="1" t="s">
        <v>83</v>
      </c>
      <c r="B287" s="1" t="s">
        <v>92</v>
      </c>
      <c r="C287" s="1" t="s">
        <v>387</v>
      </c>
      <c r="D287" s="2">
        <v>199</v>
      </c>
      <c r="E287" s="2">
        <v>78</v>
      </c>
      <c r="F287" s="2">
        <f t="shared" si="12"/>
        <v>277</v>
      </c>
      <c r="G287" s="3">
        <f t="shared" si="13"/>
        <v>0.71841155234657039</v>
      </c>
      <c r="H287" s="3">
        <f t="shared" si="14"/>
        <v>0.28158844765342961</v>
      </c>
      <c r="I287" s="1" t="s">
        <v>522</v>
      </c>
      <c r="J287" s="2">
        <v>233</v>
      </c>
      <c r="K287" s="2">
        <v>84</v>
      </c>
      <c r="L287" s="2">
        <v>317</v>
      </c>
      <c r="M287" s="3">
        <v>0.73501577287066244</v>
      </c>
      <c r="N287" s="6">
        <v>-1.66</v>
      </c>
    </row>
    <row r="288" spans="1:14" x14ac:dyDescent="0.2">
      <c r="A288" s="1" t="s">
        <v>83</v>
      </c>
      <c r="B288" s="1" t="s">
        <v>92</v>
      </c>
      <c r="C288" s="1" t="s">
        <v>388</v>
      </c>
      <c r="D288" s="2">
        <v>396</v>
      </c>
      <c r="E288" s="2">
        <v>134</v>
      </c>
      <c r="F288" s="2">
        <f t="shared" si="12"/>
        <v>530</v>
      </c>
      <c r="G288" s="3">
        <f t="shared" si="13"/>
        <v>0.74716981132075466</v>
      </c>
      <c r="H288" s="3">
        <f t="shared" si="14"/>
        <v>0.25283018867924528</v>
      </c>
      <c r="I288" s="1" t="s">
        <v>522</v>
      </c>
      <c r="J288" s="2">
        <v>391</v>
      </c>
      <c r="K288" s="2">
        <v>126</v>
      </c>
      <c r="L288" s="2">
        <v>517</v>
      </c>
      <c r="M288" s="3">
        <v>0.7562862669245648</v>
      </c>
      <c r="N288" s="6">
        <v>-0.91</v>
      </c>
    </row>
    <row r="289" spans="1:14" x14ac:dyDescent="0.2">
      <c r="A289" s="1" t="s">
        <v>83</v>
      </c>
      <c r="B289" s="1" t="s">
        <v>92</v>
      </c>
      <c r="C289" s="1" t="s">
        <v>389</v>
      </c>
      <c r="D289" s="2">
        <v>451</v>
      </c>
      <c r="E289" s="2">
        <v>147</v>
      </c>
      <c r="F289" s="2">
        <f t="shared" si="12"/>
        <v>598</v>
      </c>
      <c r="G289" s="3">
        <f t="shared" si="13"/>
        <v>0.75418060200668902</v>
      </c>
      <c r="H289" s="3">
        <f t="shared" si="14"/>
        <v>0.24581939799331104</v>
      </c>
      <c r="I289" s="1" t="s">
        <v>522</v>
      </c>
      <c r="J289" s="2">
        <v>381</v>
      </c>
      <c r="K289" s="2">
        <v>184</v>
      </c>
      <c r="L289" s="2">
        <v>565</v>
      </c>
      <c r="M289" s="3">
        <v>0.67433628318584071</v>
      </c>
      <c r="N289" s="6">
        <v>7.98</v>
      </c>
    </row>
    <row r="290" spans="1:14" x14ac:dyDescent="0.2">
      <c r="A290" s="1" t="s">
        <v>83</v>
      </c>
      <c r="B290" s="1" t="s">
        <v>92</v>
      </c>
      <c r="C290" s="1" t="s">
        <v>390</v>
      </c>
      <c r="D290" s="2">
        <v>791</v>
      </c>
      <c r="E290" s="2">
        <v>408</v>
      </c>
      <c r="F290" s="2">
        <f t="shared" si="12"/>
        <v>1199</v>
      </c>
      <c r="G290" s="3">
        <f t="shared" si="13"/>
        <v>0.65971643035863214</v>
      </c>
      <c r="H290" s="3">
        <f t="shared" si="14"/>
        <v>0.3402835696413678</v>
      </c>
      <c r="I290" s="1" t="s">
        <v>522</v>
      </c>
      <c r="J290" s="2">
        <v>765</v>
      </c>
      <c r="K290" s="2">
        <v>463</v>
      </c>
      <c r="L290" s="2">
        <v>1228</v>
      </c>
      <c r="M290" s="3">
        <v>0.62296416938110755</v>
      </c>
      <c r="N290" s="6">
        <v>3.68</v>
      </c>
    </row>
    <row r="291" spans="1:14" x14ac:dyDescent="0.2">
      <c r="A291" s="1" t="s">
        <v>83</v>
      </c>
      <c r="B291" s="1" t="s">
        <v>92</v>
      </c>
      <c r="C291" s="1" t="s">
        <v>391</v>
      </c>
      <c r="D291" s="2">
        <v>951</v>
      </c>
      <c r="E291" s="2">
        <v>392</v>
      </c>
      <c r="F291" s="2">
        <f t="shared" si="12"/>
        <v>1343</v>
      </c>
      <c r="G291" s="3">
        <f t="shared" si="13"/>
        <v>0.70811615785554727</v>
      </c>
      <c r="H291" s="3">
        <f t="shared" si="14"/>
        <v>0.29188384214445273</v>
      </c>
      <c r="I291" s="1" t="s">
        <v>522</v>
      </c>
      <c r="J291" s="2">
        <v>912</v>
      </c>
      <c r="K291" s="2">
        <v>445</v>
      </c>
      <c r="L291" s="2">
        <v>1357</v>
      </c>
      <c r="M291" s="3">
        <v>0.67207074428887248</v>
      </c>
      <c r="N291" s="6">
        <v>3.6</v>
      </c>
    </row>
    <row r="292" spans="1:14" x14ac:dyDescent="0.2">
      <c r="A292" s="1" t="s">
        <v>83</v>
      </c>
      <c r="B292" s="1" t="s">
        <v>93</v>
      </c>
      <c r="C292" s="1" t="s">
        <v>392</v>
      </c>
      <c r="D292" s="2">
        <v>890</v>
      </c>
      <c r="E292" s="2">
        <v>802</v>
      </c>
      <c r="F292" s="2">
        <f t="shared" si="12"/>
        <v>1692</v>
      </c>
      <c r="G292" s="3">
        <f t="shared" si="13"/>
        <v>0.52600472813238774</v>
      </c>
      <c r="H292" s="3">
        <f t="shared" si="14"/>
        <v>0.47399527186761231</v>
      </c>
      <c r="I292" s="1" t="s">
        <v>528</v>
      </c>
    </row>
    <row r="293" spans="1:14" x14ac:dyDescent="0.2">
      <c r="A293" s="1" t="s">
        <v>83</v>
      </c>
      <c r="B293" s="1" t="s">
        <v>93</v>
      </c>
      <c r="C293" s="1" t="s">
        <v>393</v>
      </c>
      <c r="D293" s="2">
        <v>693</v>
      </c>
      <c r="E293" s="2">
        <v>624</v>
      </c>
      <c r="F293" s="2">
        <f t="shared" si="12"/>
        <v>1317</v>
      </c>
      <c r="G293" s="3">
        <f t="shared" si="13"/>
        <v>0.5261958997722096</v>
      </c>
      <c r="H293" s="3">
        <f t="shared" si="14"/>
        <v>0.47380410022779046</v>
      </c>
      <c r="I293" s="1" t="s">
        <v>528</v>
      </c>
    </row>
    <row r="294" spans="1:14" x14ac:dyDescent="0.2">
      <c r="A294" s="1" t="s">
        <v>83</v>
      </c>
      <c r="B294" s="1" t="s">
        <v>93</v>
      </c>
      <c r="C294" s="1" t="s">
        <v>394</v>
      </c>
      <c r="D294" s="2">
        <v>810</v>
      </c>
      <c r="E294" s="2">
        <v>730</v>
      </c>
      <c r="F294" s="2">
        <f t="shared" si="12"/>
        <v>1540</v>
      </c>
      <c r="G294" s="3">
        <f t="shared" si="13"/>
        <v>0.52597402597402598</v>
      </c>
      <c r="H294" s="3">
        <f t="shared" si="14"/>
        <v>0.47402597402597402</v>
      </c>
      <c r="I294" s="1" t="s">
        <v>528</v>
      </c>
    </row>
    <row r="295" spans="1:14" x14ac:dyDescent="0.2">
      <c r="A295" s="1" t="s">
        <v>83</v>
      </c>
      <c r="B295" s="1" t="s">
        <v>93</v>
      </c>
      <c r="C295" s="1" t="s">
        <v>395</v>
      </c>
      <c r="D295" s="2">
        <v>774</v>
      </c>
      <c r="E295" s="2">
        <v>698</v>
      </c>
      <c r="F295" s="2">
        <f t="shared" si="12"/>
        <v>1472</v>
      </c>
      <c r="G295" s="3">
        <f t="shared" si="13"/>
        <v>0.52581521739130432</v>
      </c>
      <c r="H295" s="3">
        <f t="shared" si="14"/>
        <v>0.47418478260869568</v>
      </c>
      <c r="I295" s="1" t="s">
        <v>528</v>
      </c>
    </row>
    <row r="296" spans="1:14" x14ac:dyDescent="0.2">
      <c r="A296" s="1" t="s">
        <v>83</v>
      </c>
      <c r="B296" s="1" t="s">
        <v>93</v>
      </c>
      <c r="C296" s="1" t="s">
        <v>396</v>
      </c>
      <c r="D296" s="2">
        <v>685</v>
      </c>
      <c r="E296" s="2">
        <v>617</v>
      </c>
      <c r="F296" s="2">
        <f t="shared" si="12"/>
        <v>1302</v>
      </c>
      <c r="G296" s="3">
        <f t="shared" si="13"/>
        <v>0.52611367127496156</v>
      </c>
      <c r="H296" s="3">
        <f t="shared" si="14"/>
        <v>0.47388632872503839</v>
      </c>
      <c r="I296" s="1" t="s">
        <v>528</v>
      </c>
    </row>
    <row r="297" spans="1:14" x14ac:dyDescent="0.2">
      <c r="A297" s="1" t="s">
        <v>83</v>
      </c>
      <c r="B297" s="1" t="s">
        <v>93</v>
      </c>
      <c r="C297" s="1" t="s">
        <v>397</v>
      </c>
      <c r="D297" s="2">
        <v>806</v>
      </c>
      <c r="E297" s="2">
        <v>727</v>
      </c>
      <c r="F297" s="2">
        <f t="shared" si="12"/>
        <v>1533</v>
      </c>
      <c r="G297" s="3">
        <f t="shared" si="13"/>
        <v>0.52576647097195039</v>
      </c>
      <c r="H297" s="3">
        <f t="shared" si="14"/>
        <v>0.47423352902804955</v>
      </c>
      <c r="I297" s="1" t="s">
        <v>528</v>
      </c>
    </row>
    <row r="298" spans="1:14" x14ac:dyDescent="0.2">
      <c r="A298" s="1" t="s">
        <v>83</v>
      </c>
      <c r="B298" s="1" t="s">
        <v>93</v>
      </c>
      <c r="C298" s="1" t="s">
        <v>398</v>
      </c>
      <c r="D298" s="2">
        <v>748</v>
      </c>
      <c r="E298" s="2">
        <v>674</v>
      </c>
      <c r="F298" s="2">
        <f t="shared" si="12"/>
        <v>1422</v>
      </c>
      <c r="G298" s="3">
        <f t="shared" si="13"/>
        <v>0.52601969057665265</v>
      </c>
      <c r="H298" s="3">
        <f t="shared" si="14"/>
        <v>0.4739803094233474</v>
      </c>
      <c r="I298" s="1" t="s">
        <v>528</v>
      </c>
    </row>
    <row r="299" spans="1:14" x14ac:dyDescent="0.2">
      <c r="A299" s="1" t="s">
        <v>83</v>
      </c>
      <c r="B299" s="1" t="s">
        <v>94</v>
      </c>
      <c r="C299" s="1" t="s">
        <v>94</v>
      </c>
      <c r="D299" s="2">
        <v>730</v>
      </c>
      <c r="E299" s="2">
        <v>534</v>
      </c>
      <c r="F299" s="2">
        <f t="shared" si="12"/>
        <v>1264</v>
      </c>
      <c r="G299" s="3">
        <f t="shared" si="13"/>
        <v>0.57753164556962022</v>
      </c>
      <c r="H299" s="3">
        <f t="shared" si="14"/>
        <v>0.42246835443037972</v>
      </c>
      <c r="I299" s="1" t="s">
        <v>522</v>
      </c>
      <c r="J299" s="2">
        <v>714</v>
      </c>
      <c r="K299" s="2">
        <v>484</v>
      </c>
      <c r="L299" s="2">
        <v>1198</v>
      </c>
      <c r="M299" s="3">
        <v>0.59599332220367274</v>
      </c>
      <c r="N299" s="6">
        <v>-1.85</v>
      </c>
    </row>
    <row r="300" spans="1:14" x14ac:dyDescent="0.2">
      <c r="A300" s="1" t="s">
        <v>83</v>
      </c>
      <c r="B300" s="1" t="s">
        <v>95</v>
      </c>
      <c r="C300" s="1" t="s">
        <v>95</v>
      </c>
      <c r="D300" s="2">
        <v>104</v>
      </c>
      <c r="E300" s="2">
        <v>101</v>
      </c>
      <c r="F300" s="2">
        <f t="shared" si="12"/>
        <v>205</v>
      </c>
      <c r="G300" s="3">
        <f t="shared" si="13"/>
        <v>0.50731707317073171</v>
      </c>
      <c r="H300" s="3">
        <f t="shared" si="14"/>
        <v>0.49268292682926829</v>
      </c>
      <c r="I300" s="1" t="s">
        <v>522</v>
      </c>
      <c r="J300" s="2">
        <v>109</v>
      </c>
      <c r="K300" s="2">
        <v>97</v>
      </c>
      <c r="L300" s="2">
        <v>206</v>
      </c>
      <c r="M300" s="3">
        <v>0.529126213592233</v>
      </c>
      <c r="N300" s="6">
        <v>-2.1800000000000002</v>
      </c>
    </row>
    <row r="301" spans="1:14" x14ac:dyDescent="0.2">
      <c r="A301" s="1" t="s">
        <v>83</v>
      </c>
      <c r="B301" s="1" t="s">
        <v>62</v>
      </c>
      <c r="C301" s="1" t="s">
        <v>399</v>
      </c>
      <c r="D301" s="2">
        <v>936</v>
      </c>
      <c r="E301" s="2">
        <v>699</v>
      </c>
      <c r="F301" s="2">
        <f t="shared" si="12"/>
        <v>1635</v>
      </c>
      <c r="G301" s="3">
        <f t="shared" si="13"/>
        <v>0.57247706422018352</v>
      </c>
      <c r="H301" s="3">
        <f t="shared" si="14"/>
        <v>0.42752293577981654</v>
      </c>
      <c r="I301" s="1" t="s">
        <v>522</v>
      </c>
      <c r="J301" s="2">
        <v>955</v>
      </c>
      <c r="K301" s="2">
        <v>692</v>
      </c>
      <c r="L301" s="2">
        <v>1647</v>
      </c>
      <c r="M301" s="3">
        <v>0.57984213721918643</v>
      </c>
      <c r="N301" s="6">
        <v>-0.74</v>
      </c>
    </row>
    <row r="302" spans="1:14" x14ac:dyDescent="0.2">
      <c r="A302" s="1" t="s">
        <v>83</v>
      </c>
      <c r="B302" s="1" t="s">
        <v>62</v>
      </c>
      <c r="C302" s="1" t="s">
        <v>400</v>
      </c>
      <c r="D302" s="2">
        <v>927</v>
      </c>
      <c r="E302" s="2">
        <v>791</v>
      </c>
      <c r="F302" s="2">
        <f t="shared" si="12"/>
        <v>1718</v>
      </c>
      <c r="G302" s="3">
        <f t="shared" si="13"/>
        <v>0.53958090803259606</v>
      </c>
      <c r="H302" s="3">
        <f t="shared" si="14"/>
        <v>0.46041909196740394</v>
      </c>
      <c r="I302" s="1" t="s">
        <v>522</v>
      </c>
      <c r="J302" s="2">
        <v>910</v>
      </c>
      <c r="K302" s="2">
        <v>742</v>
      </c>
      <c r="L302" s="2">
        <v>1652</v>
      </c>
      <c r="M302" s="3">
        <v>0.55084745762711862</v>
      </c>
      <c r="N302" s="6">
        <v>-1.1299999999999999</v>
      </c>
    </row>
    <row r="303" spans="1:14" x14ac:dyDescent="0.2">
      <c r="A303" s="1" t="s">
        <v>83</v>
      </c>
      <c r="B303" s="1" t="s">
        <v>62</v>
      </c>
      <c r="C303" s="1" t="s">
        <v>401</v>
      </c>
      <c r="D303" s="2">
        <v>445</v>
      </c>
      <c r="E303" s="2">
        <v>396</v>
      </c>
      <c r="F303" s="2">
        <f t="shared" si="12"/>
        <v>841</v>
      </c>
      <c r="G303" s="3">
        <f t="shared" si="13"/>
        <v>0.52913198573127229</v>
      </c>
      <c r="H303" s="3">
        <f t="shared" si="14"/>
        <v>0.47086801426872771</v>
      </c>
      <c r="I303" s="1" t="s">
        <v>522</v>
      </c>
      <c r="J303" s="2">
        <v>446</v>
      </c>
      <c r="K303" s="2">
        <v>410</v>
      </c>
      <c r="L303" s="2">
        <v>856</v>
      </c>
      <c r="M303" s="3">
        <v>0.5210280373831776</v>
      </c>
      <c r="N303" s="6">
        <v>0.81</v>
      </c>
    </row>
    <row r="304" spans="1:14" x14ac:dyDescent="0.2">
      <c r="A304" s="1" t="s">
        <v>83</v>
      </c>
      <c r="B304" s="1" t="s">
        <v>62</v>
      </c>
      <c r="C304" s="1" t="s">
        <v>402</v>
      </c>
      <c r="D304" s="2">
        <v>749</v>
      </c>
      <c r="E304" s="2">
        <v>686</v>
      </c>
      <c r="F304" s="2">
        <f t="shared" si="12"/>
        <v>1435</v>
      </c>
      <c r="G304" s="3">
        <f t="shared" si="13"/>
        <v>0.52195121951219514</v>
      </c>
      <c r="H304" s="3">
        <f t="shared" si="14"/>
        <v>0.47804878048780486</v>
      </c>
      <c r="I304" s="1" t="s">
        <v>522</v>
      </c>
      <c r="J304" s="2">
        <v>744</v>
      </c>
      <c r="K304" s="2">
        <v>678</v>
      </c>
      <c r="L304" s="2">
        <v>1422</v>
      </c>
      <c r="M304" s="3">
        <v>0.52320675105485237</v>
      </c>
      <c r="N304" s="6">
        <v>-0.13</v>
      </c>
    </row>
    <row r="305" spans="1:14" x14ac:dyDescent="0.2">
      <c r="A305" s="1" t="s">
        <v>83</v>
      </c>
      <c r="B305" s="1" t="s">
        <v>62</v>
      </c>
      <c r="C305" s="1" t="s">
        <v>403</v>
      </c>
      <c r="D305" s="2">
        <v>792</v>
      </c>
      <c r="E305" s="2">
        <v>632</v>
      </c>
      <c r="F305" s="2">
        <f t="shared" si="12"/>
        <v>1424</v>
      </c>
      <c r="G305" s="3">
        <f t="shared" si="13"/>
        <v>0.5561797752808989</v>
      </c>
      <c r="H305" s="3">
        <f t="shared" si="14"/>
        <v>0.4438202247191011</v>
      </c>
      <c r="I305" s="1" t="s">
        <v>522</v>
      </c>
      <c r="J305" s="2">
        <v>775</v>
      </c>
      <c r="K305" s="2">
        <v>645</v>
      </c>
      <c r="L305" s="2">
        <v>1420</v>
      </c>
      <c r="M305" s="3">
        <v>0.54577464788732399</v>
      </c>
      <c r="N305" s="6">
        <v>1.04</v>
      </c>
    </row>
    <row r="306" spans="1:14" x14ac:dyDescent="0.2">
      <c r="A306" s="1" t="s">
        <v>83</v>
      </c>
      <c r="B306" s="1" t="s">
        <v>62</v>
      </c>
      <c r="C306" s="1" t="s">
        <v>404</v>
      </c>
      <c r="D306" s="2">
        <v>484</v>
      </c>
      <c r="E306" s="2">
        <v>413</v>
      </c>
      <c r="F306" s="2">
        <f t="shared" si="12"/>
        <v>897</v>
      </c>
      <c r="G306" s="3">
        <f t="shared" si="13"/>
        <v>0.53957636566332223</v>
      </c>
      <c r="H306" s="3">
        <f t="shared" si="14"/>
        <v>0.46042363433667782</v>
      </c>
      <c r="I306" s="1" t="s">
        <v>522</v>
      </c>
      <c r="J306" s="2">
        <v>511</v>
      </c>
      <c r="K306" s="2">
        <v>453</v>
      </c>
      <c r="L306" s="2">
        <v>964</v>
      </c>
      <c r="M306" s="3">
        <v>0.53008298755186722</v>
      </c>
      <c r="N306" s="6">
        <v>0.95</v>
      </c>
    </row>
    <row r="307" spans="1:14" x14ac:dyDescent="0.2">
      <c r="A307" s="1" t="s">
        <v>83</v>
      </c>
      <c r="B307" s="1" t="s">
        <v>96</v>
      </c>
      <c r="C307" s="1" t="s">
        <v>405</v>
      </c>
      <c r="D307" s="2">
        <v>547</v>
      </c>
      <c r="E307" s="2">
        <v>580</v>
      </c>
      <c r="F307" s="2">
        <f t="shared" si="12"/>
        <v>1127</v>
      </c>
      <c r="G307" s="3">
        <f t="shared" si="13"/>
        <v>0.48535936113575867</v>
      </c>
      <c r="H307" s="3">
        <f t="shared" si="14"/>
        <v>0.51464063886424138</v>
      </c>
      <c r="I307" s="1" t="s">
        <v>522</v>
      </c>
      <c r="J307" s="2">
        <v>553</v>
      </c>
      <c r="K307" s="2">
        <v>581</v>
      </c>
      <c r="L307" s="2">
        <v>1134</v>
      </c>
      <c r="M307" s="3">
        <v>0.48765432098765432</v>
      </c>
      <c r="N307" s="6">
        <v>-0.23</v>
      </c>
    </row>
    <row r="308" spans="1:14" x14ac:dyDescent="0.2">
      <c r="A308" s="1" t="s">
        <v>83</v>
      </c>
      <c r="B308" s="1" t="s">
        <v>96</v>
      </c>
      <c r="C308" s="1" t="s">
        <v>406</v>
      </c>
      <c r="D308" s="2">
        <v>488</v>
      </c>
      <c r="E308" s="2">
        <v>433</v>
      </c>
      <c r="F308" s="2">
        <f t="shared" si="12"/>
        <v>921</v>
      </c>
      <c r="G308" s="3">
        <f t="shared" si="13"/>
        <v>0.52985884907709013</v>
      </c>
      <c r="H308" s="3">
        <f t="shared" si="14"/>
        <v>0.47014115092290987</v>
      </c>
      <c r="I308" s="1" t="s">
        <v>522</v>
      </c>
      <c r="J308" s="2">
        <v>473</v>
      </c>
      <c r="K308" s="2">
        <v>465</v>
      </c>
      <c r="L308" s="2">
        <v>938</v>
      </c>
      <c r="M308" s="3">
        <v>0.50426439232409381</v>
      </c>
      <c r="N308" s="6">
        <v>2.56</v>
      </c>
    </row>
    <row r="309" spans="1:14" x14ac:dyDescent="0.2">
      <c r="A309" s="1" t="s">
        <v>83</v>
      </c>
      <c r="B309" s="1" t="s">
        <v>96</v>
      </c>
      <c r="C309" s="1" t="s">
        <v>407</v>
      </c>
      <c r="D309" s="2">
        <v>727</v>
      </c>
      <c r="E309" s="2">
        <v>583</v>
      </c>
      <c r="F309" s="2">
        <f t="shared" si="12"/>
        <v>1310</v>
      </c>
      <c r="G309" s="3">
        <f t="shared" si="13"/>
        <v>0.55496183206106875</v>
      </c>
      <c r="H309" s="3">
        <f t="shared" si="14"/>
        <v>0.44503816793893131</v>
      </c>
      <c r="I309" s="1" t="s">
        <v>522</v>
      </c>
      <c r="J309" s="2">
        <v>700</v>
      </c>
      <c r="K309" s="2">
        <v>639</v>
      </c>
      <c r="L309" s="2">
        <v>1339</v>
      </c>
      <c r="M309" s="3">
        <v>0.52277819268110526</v>
      </c>
      <c r="N309" s="6">
        <v>3.22</v>
      </c>
    </row>
    <row r="310" spans="1:14" x14ac:dyDescent="0.2">
      <c r="A310" s="1" t="s">
        <v>83</v>
      </c>
      <c r="B310" s="1" t="s">
        <v>97</v>
      </c>
      <c r="C310" s="1" t="s">
        <v>408</v>
      </c>
      <c r="D310" s="2">
        <v>560</v>
      </c>
      <c r="E310" s="2">
        <v>1084</v>
      </c>
      <c r="F310" s="2">
        <f t="shared" si="12"/>
        <v>1644</v>
      </c>
      <c r="G310" s="3">
        <f t="shared" si="13"/>
        <v>0.34063260340632601</v>
      </c>
      <c r="H310" s="3">
        <f t="shared" si="14"/>
        <v>0.65936739659367394</v>
      </c>
      <c r="I310" s="1" t="s">
        <v>522</v>
      </c>
      <c r="J310" s="2">
        <v>546</v>
      </c>
      <c r="K310" s="2">
        <v>1089</v>
      </c>
      <c r="L310" s="2">
        <v>1635</v>
      </c>
      <c r="M310" s="3">
        <v>0.33394495412844039</v>
      </c>
      <c r="N310" s="6">
        <v>0.67</v>
      </c>
    </row>
    <row r="311" spans="1:14" x14ac:dyDescent="0.2">
      <c r="A311" s="1" t="s">
        <v>83</v>
      </c>
      <c r="B311" s="1" t="s">
        <v>97</v>
      </c>
      <c r="C311" s="1" t="s">
        <v>409</v>
      </c>
      <c r="D311" s="2">
        <v>659</v>
      </c>
      <c r="E311" s="2">
        <v>1225</v>
      </c>
      <c r="F311" s="2">
        <f t="shared" si="12"/>
        <v>1884</v>
      </c>
      <c r="G311" s="3">
        <f t="shared" si="13"/>
        <v>0.3497876857749469</v>
      </c>
      <c r="H311" s="3">
        <f t="shared" si="14"/>
        <v>0.6502123142250531</v>
      </c>
      <c r="I311" s="1" t="s">
        <v>522</v>
      </c>
      <c r="J311" s="2">
        <v>636</v>
      </c>
      <c r="K311" s="2">
        <v>1262</v>
      </c>
      <c r="L311" s="2">
        <v>1898</v>
      </c>
      <c r="M311" s="3">
        <v>0.33508956796628031</v>
      </c>
      <c r="N311" s="6">
        <v>1.47</v>
      </c>
    </row>
    <row r="312" spans="1:14" x14ac:dyDescent="0.2">
      <c r="A312" s="1" t="s">
        <v>83</v>
      </c>
      <c r="B312" s="1" t="s">
        <v>97</v>
      </c>
      <c r="C312" s="1" t="s">
        <v>410</v>
      </c>
      <c r="D312" s="2">
        <v>193</v>
      </c>
      <c r="E312" s="2">
        <v>485</v>
      </c>
      <c r="F312" s="2">
        <f t="shared" si="12"/>
        <v>678</v>
      </c>
      <c r="G312" s="3">
        <f t="shared" si="13"/>
        <v>0.28466076696165193</v>
      </c>
      <c r="H312" s="3">
        <f t="shared" si="14"/>
        <v>0.71533923303834812</v>
      </c>
      <c r="I312" s="1" t="s">
        <v>522</v>
      </c>
      <c r="J312" s="2">
        <v>224</v>
      </c>
      <c r="K312" s="2">
        <v>495</v>
      </c>
      <c r="L312" s="2">
        <v>719</v>
      </c>
      <c r="M312" s="3">
        <v>0.31154381084840049</v>
      </c>
      <c r="N312" s="6">
        <v>-2.69</v>
      </c>
    </row>
    <row r="313" spans="1:14" x14ac:dyDescent="0.2">
      <c r="A313" s="1" t="s">
        <v>83</v>
      </c>
      <c r="B313" s="1" t="s">
        <v>97</v>
      </c>
      <c r="C313" s="1" t="s">
        <v>411</v>
      </c>
      <c r="D313" s="2">
        <v>493</v>
      </c>
      <c r="E313" s="2">
        <v>943</v>
      </c>
      <c r="F313" s="2">
        <f t="shared" si="12"/>
        <v>1436</v>
      </c>
      <c r="G313" s="3">
        <f t="shared" si="13"/>
        <v>0.34331476323119775</v>
      </c>
      <c r="H313" s="3">
        <f t="shared" si="14"/>
        <v>0.65668523676880219</v>
      </c>
      <c r="I313" s="1" t="s">
        <v>522</v>
      </c>
      <c r="J313" s="2">
        <v>478</v>
      </c>
      <c r="K313" s="2">
        <v>948</v>
      </c>
      <c r="L313" s="2">
        <v>1426</v>
      </c>
      <c r="M313" s="3">
        <v>0.33520336605890599</v>
      </c>
      <c r="N313" s="6">
        <v>0.81</v>
      </c>
    </row>
    <row r="314" spans="1:14" x14ac:dyDescent="0.2">
      <c r="A314" s="1" t="s">
        <v>83</v>
      </c>
      <c r="B314" s="1" t="s">
        <v>97</v>
      </c>
      <c r="C314" s="1" t="s">
        <v>412</v>
      </c>
      <c r="D314" s="2">
        <v>352</v>
      </c>
      <c r="E314" s="2">
        <v>655</v>
      </c>
      <c r="F314" s="2">
        <f t="shared" si="12"/>
        <v>1007</v>
      </c>
      <c r="G314" s="3">
        <f t="shared" si="13"/>
        <v>0.34955312810327704</v>
      </c>
      <c r="H314" s="3">
        <f t="shared" si="14"/>
        <v>0.6504468718967229</v>
      </c>
      <c r="I314" s="1" t="s">
        <v>522</v>
      </c>
      <c r="J314" s="2">
        <v>360</v>
      </c>
      <c r="K314" s="2">
        <v>645</v>
      </c>
      <c r="L314" s="2">
        <v>1005</v>
      </c>
      <c r="M314" s="3">
        <v>0.35820895522388058</v>
      </c>
      <c r="N314" s="6">
        <v>-0.87</v>
      </c>
    </row>
    <row r="315" spans="1:14" x14ac:dyDescent="0.2">
      <c r="A315" s="1" t="s">
        <v>83</v>
      </c>
      <c r="B315" s="1" t="s">
        <v>98</v>
      </c>
      <c r="C315" s="1" t="s">
        <v>413</v>
      </c>
      <c r="D315" s="2">
        <v>252</v>
      </c>
      <c r="E315" s="2">
        <v>428</v>
      </c>
      <c r="F315" s="2">
        <f t="shared" si="12"/>
        <v>680</v>
      </c>
      <c r="G315" s="3">
        <f t="shared" si="13"/>
        <v>0.37058823529411766</v>
      </c>
      <c r="H315" s="3">
        <f t="shared" si="14"/>
        <v>0.62941176470588234</v>
      </c>
      <c r="I315" s="1" t="s">
        <v>522</v>
      </c>
      <c r="J315" s="2">
        <v>264</v>
      </c>
      <c r="K315" s="2">
        <v>439</v>
      </c>
      <c r="L315" s="2">
        <v>703</v>
      </c>
      <c r="M315" s="3">
        <v>0.37553342816500712</v>
      </c>
      <c r="N315" s="6">
        <v>-0.49</v>
      </c>
    </row>
    <row r="316" spans="1:14" x14ac:dyDescent="0.2">
      <c r="A316" s="1" t="s">
        <v>83</v>
      </c>
      <c r="B316" s="1" t="s">
        <v>98</v>
      </c>
      <c r="C316" s="1" t="s">
        <v>414</v>
      </c>
      <c r="D316" s="2">
        <v>381</v>
      </c>
      <c r="E316" s="2">
        <v>730</v>
      </c>
      <c r="F316" s="2">
        <f t="shared" si="12"/>
        <v>1111</v>
      </c>
      <c r="G316" s="3">
        <f t="shared" si="13"/>
        <v>0.34293429342934295</v>
      </c>
      <c r="H316" s="3">
        <f t="shared" si="14"/>
        <v>0.6570657065706571</v>
      </c>
      <c r="I316" s="1" t="s">
        <v>522</v>
      </c>
      <c r="J316" s="2">
        <v>361</v>
      </c>
      <c r="K316" s="2">
        <v>775</v>
      </c>
      <c r="L316" s="2">
        <v>1136</v>
      </c>
      <c r="M316" s="3">
        <v>0.31778169014084512</v>
      </c>
      <c r="N316" s="6">
        <v>2.52</v>
      </c>
    </row>
    <row r="317" spans="1:14" x14ac:dyDescent="0.2">
      <c r="A317" s="1" t="s">
        <v>83</v>
      </c>
      <c r="B317" s="1" t="s">
        <v>99</v>
      </c>
      <c r="C317" s="1" t="s">
        <v>415</v>
      </c>
      <c r="D317" s="2">
        <v>261</v>
      </c>
      <c r="E317" s="2">
        <v>325</v>
      </c>
      <c r="F317" s="2">
        <f t="shared" si="12"/>
        <v>586</v>
      </c>
      <c r="G317" s="3">
        <f t="shared" si="13"/>
        <v>0.44539249146757681</v>
      </c>
      <c r="H317" s="3">
        <f t="shared" si="14"/>
        <v>0.55460750853242324</v>
      </c>
      <c r="I317" s="1" t="s">
        <v>528</v>
      </c>
    </row>
    <row r="318" spans="1:14" x14ac:dyDescent="0.2">
      <c r="A318" s="1" t="s">
        <v>83</v>
      </c>
      <c r="B318" s="1" t="s">
        <v>99</v>
      </c>
      <c r="C318" s="1" t="s">
        <v>416</v>
      </c>
      <c r="D318" s="2">
        <v>624</v>
      </c>
      <c r="E318" s="2">
        <v>775</v>
      </c>
      <c r="F318" s="2">
        <f t="shared" si="12"/>
        <v>1399</v>
      </c>
      <c r="G318" s="3">
        <f t="shared" si="13"/>
        <v>0.44603288062902074</v>
      </c>
      <c r="H318" s="3">
        <f t="shared" si="14"/>
        <v>0.55396711937097931</v>
      </c>
      <c r="I318" s="1" t="s">
        <v>528</v>
      </c>
    </row>
    <row r="319" spans="1:14" x14ac:dyDescent="0.2">
      <c r="A319" s="1" t="s">
        <v>83</v>
      </c>
      <c r="B319" s="1" t="s">
        <v>99</v>
      </c>
      <c r="C319" s="1" t="s">
        <v>417</v>
      </c>
      <c r="D319" s="2">
        <v>546</v>
      </c>
      <c r="E319" s="2">
        <v>678</v>
      </c>
      <c r="F319" s="2">
        <f t="shared" si="12"/>
        <v>1224</v>
      </c>
      <c r="G319" s="3">
        <f t="shared" si="13"/>
        <v>0.44607843137254904</v>
      </c>
      <c r="H319" s="3">
        <f t="shared" si="14"/>
        <v>0.55392156862745101</v>
      </c>
      <c r="I319" s="1" t="s">
        <v>528</v>
      </c>
    </row>
    <row r="320" spans="1:14" x14ac:dyDescent="0.2">
      <c r="A320" s="1" t="s">
        <v>83</v>
      </c>
      <c r="B320" s="1" t="s">
        <v>99</v>
      </c>
      <c r="C320" s="1" t="s">
        <v>418</v>
      </c>
      <c r="D320" s="2">
        <v>600</v>
      </c>
      <c r="E320" s="2">
        <v>745</v>
      </c>
      <c r="F320" s="2">
        <f t="shared" si="12"/>
        <v>1345</v>
      </c>
      <c r="G320" s="3">
        <f t="shared" si="13"/>
        <v>0.44609665427509293</v>
      </c>
      <c r="H320" s="3">
        <f t="shared" si="14"/>
        <v>0.55390334572490707</v>
      </c>
      <c r="I320" s="1" t="s">
        <v>528</v>
      </c>
    </row>
    <row r="321" spans="1:14" x14ac:dyDescent="0.2">
      <c r="A321" s="1" t="s">
        <v>83</v>
      </c>
      <c r="B321" s="1" t="s">
        <v>100</v>
      </c>
      <c r="C321" s="1" t="s">
        <v>419</v>
      </c>
      <c r="D321" s="2">
        <v>600</v>
      </c>
      <c r="E321" s="2">
        <v>523</v>
      </c>
      <c r="F321" s="2">
        <f t="shared" si="12"/>
        <v>1123</v>
      </c>
      <c r="G321" s="3">
        <f t="shared" si="13"/>
        <v>0.53428317008014248</v>
      </c>
      <c r="H321" s="3">
        <f t="shared" si="14"/>
        <v>0.46571682991985752</v>
      </c>
      <c r="I321" s="1" t="s">
        <v>522</v>
      </c>
      <c r="J321" s="2">
        <v>585</v>
      </c>
      <c r="K321" s="2">
        <v>527</v>
      </c>
      <c r="L321" s="2">
        <v>1112</v>
      </c>
      <c r="M321" s="3">
        <v>0.52607913669064743</v>
      </c>
      <c r="N321" s="6">
        <v>0.82</v>
      </c>
    </row>
    <row r="322" spans="1:14" x14ac:dyDescent="0.2">
      <c r="A322" s="1" t="s">
        <v>83</v>
      </c>
      <c r="B322" s="1" t="s">
        <v>100</v>
      </c>
      <c r="C322" s="1" t="s">
        <v>420</v>
      </c>
      <c r="D322" s="2">
        <v>676</v>
      </c>
      <c r="E322" s="2">
        <v>853</v>
      </c>
      <c r="F322" s="2">
        <f t="shared" si="12"/>
        <v>1529</v>
      </c>
      <c r="G322" s="3">
        <f t="shared" si="13"/>
        <v>0.44211903204708958</v>
      </c>
      <c r="H322" s="3">
        <f t="shared" si="14"/>
        <v>0.55788096795291042</v>
      </c>
      <c r="I322" s="1" t="s">
        <v>522</v>
      </c>
      <c r="J322" s="2">
        <v>639</v>
      </c>
      <c r="K322" s="2">
        <v>886</v>
      </c>
      <c r="L322" s="2">
        <v>1525</v>
      </c>
      <c r="M322" s="3">
        <v>0.41901639344262293</v>
      </c>
      <c r="N322" s="6">
        <v>2.31</v>
      </c>
    </row>
    <row r="323" spans="1:14" x14ac:dyDescent="0.2">
      <c r="A323" s="1" t="s">
        <v>83</v>
      </c>
      <c r="B323" s="1" t="s">
        <v>100</v>
      </c>
      <c r="C323" s="1" t="s">
        <v>421</v>
      </c>
      <c r="D323" s="2">
        <v>426</v>
      </c>
      <c r="E323" s="2">
        <v>549</v>
      </c>
      <c r="F323" s="2">
        <f t="shared" si="12"/>
        <v>975</v>
      </c>
      <c r="G323" s="3">
        <f t="shared" si="13"/>
        <v>0.43692307692307691</v>
      </c>
      <c r="H323" s="3">
        <f t="shared" si="14"/>
        <v>0.56307692307692303</v>
      </c>
      <c r="I323" s="1" t="s">
        <v>522</v>
      </c>
      <c r="J323" s="2">
        <v>405</v>
      </c>
      <c r="K323" s="2">
        <v>562</v>
      </c>
      <c r="L323" s="2">
        <v>967</v>
      </c>
      <c r="M323" s="3">
        <v>0.4188210961737332</v>
      </c>
      <c r="N323" s="6">
        <v>1.81</v>
      </c>
    </row>
    <row r="324" spans="1:14" x14ac:dyDescent="0.2">
      <c r="A324" s="1" t="s">
        <v>83</v>
      </c>
      <c r="B324" s="1" t="s">
        <v>100</v>
      </c>
      <c r="C324" s="1" t="s">
        <v>422</v>
      </c>
      <c r="D324" s="2">
        <v>477</v>
      </c>
      <c r="E324" s="2">
        <v>439</v>
      </c>
      <c r="F324" s="2">
        <f t="shared" si="12"/>
        <v>916</v>
      </c>
      <c r="G324" s="3">
        <f t="shared" si="13"/>
        <v>0.52074235807860259</v>
      </c>
      <c r="H324" s="3">
        <f t="shared" si="14"/>
        <v>0.47925764192139736</v>
      </c>
      <c r="I324" s="1" t="s">
        <v>522</v>
      </c>
      <c r="J324" s="2">
        <v>496</v>
      </c>
      <c r="K324" s="2">
        <v>458</v>
      </c>
      <c r="L324" s="2">
        <v>954</v>
      </c>
      <c r="M324" s="3">
        <v>0.51991614255765195</v>
      </c>
      <c r="N324" s="6">
        <v>0.08</v>
      </c>
    </row>
    <row r="325" spans="1:14" x14ac:dyDescent="0.2">
      <c r="A325" s="1" t="s">
        <v>83</v>
      </c>
      <c r="B325" s="1" t="s">
        <v>100</v>
      </c>
      <c r="C325" s="1" t="s">
        <v>423</v>
      </c>
      <c r="D325" s="2">
        <v>427</v>
      </c>
      <c r="E325" s="2">
        <v>583</v>
      </c>
      <c r="F325" s="2">
        <f t="shared" si="12"/>
        <v>1010</v>
      </c>
      <c r="G325" s="3">
        <f t="shared" si="13"/>
        <v>0.42277227722772276</v>
      </c>
      <c r="H325" s="3">
        <f t="shared" si="14"/>
        <v>0.57722772277227719</v>
      </c>
      <c r="I325" s="1" t="s">
        <v>522</v>
      </c>
      <c r="J325" s="2">
        <v>423</v>
      </c>
      <c r="K325" s="2">
        <v>592</v>
      </c>
      <c r="L325" s="2">
        <v>1015</v>
      </c>
      <c r="M325" s="3">
        <v>0.41674876847290637</v>
      </c>
      <c r="N325" s="6">
        <v>0.6</v>
      </c>
    </row>
    <row r="326" spans="1:14" x14ac:dyDescent="0.2">
      <c r="A326" s="1" t="s">
        <v>83</v>
      </c>
      <c r="B326" s="1" t="s">
        <v>100</v>
      </c>
      <c r="C326" s="1" t="s">
        <v>424</v>
      </c>
      <c r="D326" s="2">
        <v>911</v>
      </c>
      <c r="E326" s="2">
        <v>759</v>
      </c>
      <c r="F326" s="2">
        <f t="shared" si="12"/>
        <v>1670</v>
      </c>
      <c r="G326" s="3">
        <f t="shared" si="13"/>
        <v>0.54550898203592812</v>
      </c>
      <c r="H326" s="3">
        <f t="shared" si="14"/>
        <v>0.45449101796407188</v>
      </c>
      <c r="I326" s="1" t="s">
        <v>522</v>
      </c>
      <c r="J326" s="2">
        <v>909</v>
      </c>
      <c r="K326" s="2">
        <v>780</v>
      </c>
      <c r="L326" s="2">
        <v>1689</v>
      </c>
      <c r="M326" s="3">
        <v>0.53818827708703376</v>
      </c>
      <c r="N326" s="6">
        <v>0.73</v>
      </c>
    </row>
    <row r="327" spans="1:14" x14ac:dyDescent="0.2">
      <c r="A327" s="1" t="s">
        <v>83</v>
      </c>
      <c r="B327" s="1" t="s">
        <v>101</v>
      </c>
      <c r="C327" s="1" t="s">
        <v>425</v>
      </c>
      <c r="D327" s="2">
        <v>393</v>
      </c>
      <c r="E327" s="2">
        <v>770</v>
      </c>
      <c r="F327" s="2">
        <f t="shared" si="12"/>
        <v>1163</v>
      </c>
      <c r="G327" s="3">
        <f t="shared" si="13"/>
        <v>0.33791917454858128</v>
      </c>
      <c r="H327" s="3">
        <f t="shared" si="14"/>
        <v>0.66208082545141878</v>
      </c>
      <c r="I327" s="1" t="s">
        <v>522</v>
      </c>
      <c r="J327" s="2">
        <v>409</v>
      </c>
      <c r="K327" s="2">
        <v>764</v>
      </c>
      <c r="L327" s="2">
        <v>1173</v>
      </c>
      <c r="M327" s="3">
        <v>0.34867860187553279</v>
      </c>
      <c r="N327" s="6">
        <v>-1.08</v>
      </c>
    </row>
    <row r="328" spans="1:14" x14ac:dyDescent="0.2">
      <c r="A328" s="1" t="s">
        <v>83</v>
      </c>
      <c r="B328" s="1" t="s">
        <v>101</v>
      </c>
      <c r="C328" s="1" t="s">
        <v>426</v>
      </c>
      <c r="D328" s="2">
        <v>798</v>
      </c>
      <c r="E328" s="2">
        <v>1522</v>
      </c>
      <c r="F328" s="2">
        <f t="shared" si="12"/>
        <v>2320</v>
      </c>
      <c r="G328" s="3">
        <f t="shared" si="13"/>
        <v>0.3439655172413793</v>
      </c>
      <c r="H328" s="3">
        <f t="shared" si="14"/>
        <v>0.65603448275862064</v>
      </c>
      <c r="I328" s="1" t="s">
        <v>522</v>
      </c>
      <c r="J328" s="2">
        <v>805</v>
      </c>
      <c r="K328" s="2">
        <v>1577</v>
      </c>
      <c r="L328" s="2">
        <v>2382</v>
      </c>
      <c r="M328" s="3">
        <v>0.33795130142737201</v>
      </c>
      <c r="N328" s="6">
        <v>0.6</v>
      </c>
    </row>
    <row r="329" spans="1:14" x14ac:dyDescent="0.2">
      <c r="A329" s="1" t="s">
        <v>83</v>
      </c>
      <c r="B329" s="1" t="s">
        <v>101</v>
      </c>
      <c r="C329" s="1" t="s">
        <v>427</v>
      </c>
      <c r="D329" s="2">
        <v>556</v>
      </c>
      <c r="E329" s="2">
        <v>1142</v>
      </c>
      <c r="F329" s="2">
        <f t="shared" si="12"/>
        <v>1698</v>
      </c>
      <c r="G329" s="3">
        <f t="shared" si="13"/>
        <v>0.32744405182567726</v>
      </c>
      <c r="H329" s="3">
        <f t="shared" si="14"/>
        <v>0.67255594817432274</v>
      </c>
      <c r="I329" s="1" t="s">
        <v>522</v>
      </c>
      <c r="J329" s="2">
        <v>547</v>
      </c>
      <c r="K329" s="2">
        <v>1179</v>
      </c>
      <c r="L329" s="2">
        <v>1726</v>
      </c>
      <c r="M329" s="3">
        <v>0.31691772885283892</v>
      </c>
      <c r="N329" s="6">
        <v>1.05</v>
      </c>
    </row>
    <row r="330" spans="1:14" x14ac:dyDescent="0.2">
      <c r="A330" s="1" t="s">
        <v>83</v>
      </c>
      <c r="B330" s="1" t="s">
        <v>101</v>
      </c>
      <c r="C330" s="1" t="s">
        <v>428</v>
      </c>
      <c r="D330" s="2">
        <v>268</v>
      </c>
      <c r="E330" s="2">
        <v>499</v>
      </c>
      <c r="F330" s="2">
        <f t="shared" si="12"/>
        <v>767</v>
      </c>
      <c r="G330" s="3">
        <f t="shared" si="13"/>
        <v>0.34941329856584091</v>
      </c>
      <c r="H330" s="3">
        <f t="shared" si="14"/>
        <v>0.65058670143415909</v>
      </c>
      <c r="I330" s="1" t="s">
        <v>522</v>
      </c>
      <c r="J330" s="2">
        <v>245</v>
      </c>
      <c r="K330" s="2">
        <v>537</v>
      </c>
      <c r="L330" s="2">
        <v>782</v>
      </c>
      <c r="M330" s="3">
        <v>0.3132992327365729</v>
      </c>
      <c r="N330" s="6">
        <v>3.61</v>
      </c>
    </row>
    <row r="331" spans="1:14" x14ac:dyDescent="0.2">
      <c r="A331" s="1" t="s">
        <v>83</v>
      </c>
      <c r="B331" s="1" t="s">
        <v>102</v>
      </c>
      <c r="C331" s="1" t="s">
        <v>429</v>
      </c>
      <c r="D331" s="2">
        <v>582</v>
      </c>
      <c r="E331" s="2">
        <v>589</v>
      </c>
      <c r="F331" s="2">
        <f t="shared" si="12"/>
        <v>1171</v>
      </c>
      <c r="G331" s="3">
        <f t="shared" si="13"/>
        <v>0.49701110162254486</v>
      </c>
      <c r="H331" s="3">
        <f t="shared" si="14"/>
        <v>0.5029888983774552</v>
      </c>
      <c r="I331" s="1" t="s">
        <v>522</v>
      </c>
      <c r="J331" s="2">
        <v>601</v>
      </c>
      <c r="K331" s="2">
        <v>605</v>
      </c>
      <c r="L331" s="2">
        <v>1206</v>
      </c>
      <c r="M331" s="3">
        <v>0.49834162520729691</v>
      </c>
      <c r="N331" s="6">
        <v>-0.13</v>
      </c>
    </row>
    <row r="332" spans="1:14" x14ac:dyDescent="0.2">
      <c r="A332" s="1" t="s">
        <v>83</v>
      </c>
      <c r="B332" s="1" t="s">
        <v>102</v>
      </c>
      <c r="C332" s="1" t="s">
        <v>430</v>
      </c>
      <c r="D332" s="2">
        <v>544</v>
      </c>
      <c r="E332" s="2">
        <v>468</v>
      </c>
      <c r="F332" s="2">
        <f t="shared" ref="F332:F395" si="15">IF(COUNTA(D332:E332)=0,"",SUM(D332:E332))</f>
        <v>1012</v>
      </c>
      <c r="G332" s="3">
        <f t="shared" ref="G332:G395" si="16">IF(OR(F332="",F332=0),"",D332/F332)</f>
        <v>0.53754940711462451</v>
      </c>
      <c r="H332" s="3">
        <f t="shared" ref="H332:H381" si="17">IF(OR(F332="",F332=0),"",E332/F332)</f>
        <v>0.46245059288537549</v>
      </c>
      <c r="I332" s="1" t="s">
        <v>522</v>
      </c>
      <c r="J332" s="2">
        <v>523</v>
      </c>
      <c r="K332" s="2">
        <v>542</v>
      </c>
      <c r="L332" s="2">
        <v>1065</v>
      </c>
      <c r="M332" s="3">
        <v>0.49107981220657282</v>
      </c>
      <c r="N332" s="6">
        <v>4.6500000000000004</v>
      </c>
    </row>
    <row r="333" spans="1:14" x14ac:dyDescent="0.2">
      <c r="A333" s="1" t="s">
        <v>83</v>
      </c>
      <c r="B333" s="1" t="s">
        <v>102</v>
      </c>
      <c r="C333" s="1" t="s">
        <v>431</v>
      </c>
      <c r="D333" s="2">
        <v>490</v>
      </c>
      <c r="E333" s="2">
        <v>493</v>
      </c>
      <c r="F333" s="2">
        <f t="shared" si="15"/>
        <v>983</v>
      </c>
      <c r="G333" s="3">
        <f t="shared" si="16"/>
        <v>0.49847405900305186</v>
      </c>
      <c r="H333" s="3">
        <f t="shared" si="17"/>
        <v>0.50152594099694814</v>
      </c>
      <c r="I333" s="1" t="s">
        <v>522</v>
      </c>
      <c r="J333" s="2">
        <v>472</v>
      </c>
      <c r="K333" s="2">
        <v>517</v>
      </c>
      <c r="L333" s="2">
        <v>989</v>
      </c>
      <c r="M333" s="3">
        <v>0.47724974721941349</v>
      </c>
      <c r="N333" s="6">
        <v>2.12</v>
      </c>
    </row>
    <row r="334" spans="1:14" x14ac:dyDescent="0.2">
      <c r="A334" s="1" t="s">
        <v>83</v>
      </c>
      <c r="B334" s="1" t="s">
        <v>103</v>
      </c>
      <c r="C334" s="1" t="s">
        <v>432</v>
      </c>
      <c r="D334" s="2">
        <v>238</v>
      </c>
      <c r="E334" s="2">
        <v>271</v>
      </c>
      <c r="F334" s="2">
        <f t="shared" si="15"/>
        <v>509</v>
      </c>
      <c r="G334" s="3">
        <f t="shared" si="16"/>
        <v>0.46758349705304519</v>
      </c>
      <c r="H334" s="3">
        <f t="shared" si="17"/>
        <v>0.53241650294695486</v>
      </c>
      <c r="I334" s="1" t="s">
        <v>522</v>
      </c>
      <c r="J334" s="2">
        <v>222</v>
      </c>
      <c r="K334" s="2">
        <v>276</v>
      </c>
      <c r="L334" s="2">
        <v>498</v>
      </c>
      <c r="M334" s="3">
        <v>0.44578313253012047</v>
      </c>
      <c r="N334" s="6">
        <v>2.1800000000000002</v>
      </c>
    </row>
    <row r="335" spans="1:14" x14ac:dyDescent="0.2">
      <c r="A335" s="1" t="s">
        <v>83</v>
      </c>
      <c r="B335" s="1" t="s">
        <v>103</v>
      </c>
      <c r="C335" s="1" t="s">
        <v>433</v>
      </c>
      <c r="D335" s="2">
        <v>655</v>
      </c>
      <c r="E335" s="2">
        <v>611</v>
      </c>
      <c r="F335" s="2">
        <f t="shared" si="15"/>
        <v>1266</v>
      </c>
      <c r="G335" s="3">
        <f t="shared" si="16"/>
        <v>0.51737756714060035</v>
      </c>
      <c r="H335" s="3">
        <f t="shared" si="17"/>
        <v>0.48262243285939971</v>
      </c>
      <c r="I335" s="1" t="s">
        <v>522</v>
      </c>
      <c r="J335" s="2">
        <v>625</v>
      </c>
      <c r="K335" s="2">
        <v>613</v>
      </c>
      <c r="L335" s="2">
        <v>1238</v>
      </c>
      <c r="M335" s="3">
        <v>0.50484652665589658</v>
      </c>
      <c r="N335" s="6">
        <v>1.25</v>
      </c>
    </row>
    <row r="336" spans="1:14" x14ac:dyDescent="0.2">
      <c r="A336" s="1" t="s">
        <v>83</v>
      </c>
      <c r="B336" s="1" t="s">
        <v>104</v>
      </c>
      <c r="C336" s="1" t="s">
        <v>434</v>
      </c>
      <c r="D336" s="2">
        <v>702</v>
      </c>
      <c r="E336" s="2">
        <v>718</v>
      </c>
      <c r="F336" s="2">
        <f t="shared" si="15"/>
        <v>1420</v>
      </c>
      <c r="G336" s="3">
        <f t="shared" si="16"/>
        <v>0.4943661971830986</v>
      </c>
      <c r="H336" s="3">
        <f t="shared" si="17"/>
        <v>0.5056338028169014</v>
      </c>
      <c r="I336" s="1" t="s">
        <v>522</v>
      </c>
      <c r="J336" s="2">
        <v>628</v>
      </c>
      <c r="K336" s="2">
        <v>719</v>
      </c>
      <c r="L336" s="2">
        <v>1347</v>
      </c>
      <c r="M336" s="3">
        <v>0.46622123236822571</v>
      </c>
      <c r="N336" s="6">
        <v>2.81</v>
      </c>
    </row>
    <row r="337" spans="1:14" x14ac:dyDescent="0.2">
      <c r="A337" s="1" t="s">
        <v>83</v>
      </c>
      <c r="B337" s="1" t="s">
        <v>104</v>
      </c>
      <c r="C337" s="1" t="s">
        <v>435</v>
      </c>
      <c r="D337" s="2">
        <v>620</v>
      </c>
      <c r="E337" s="2">
        <v>596</v>
      </c>
      <c r="F337" s="2">
        <f t="shared" si="15"/>
        <v>1216</v>
      </c>
      <c r="G337" s="3">
        <f t="shared" si="16"/>
        <v>0.50986842105263153</v>
      </c>
      <c r="H337" s="3">
        <f t="shared" si="17"/>
        <v>0.49013157894736842</v>
      </c>
      <c r="I337" s="1" t="s">
        <v>522</v>
      </c>
      <c r="J337" s="2">
        <v>588</v>
      </c>
      <c r="K337" s="2">
        <v>628</v>
      </c>
      <c r="L337" s="2">
        <v>1216</v>
      </c>
      <c r="M337" s="3">
        <v>0.48355263157894729</v>
      </c>
      <c r="N337" s="6">
        <v>2.63</v>
      </c>
    </row>
    <row r="338" spans="1:14" x14ac:dyDescent="0.2">
      <c r="A338" s="1" t="s">
        <v>83</v>
      </c>
      <c r="B338" s="1" t="s">
        <v>104</v>
      </c>
      <c r="C338" s="1" t="s">
        <v>436</v>
      </c>
      <c r="D338" s="2">
        <v>1251</v>
      </c>
      <c r="E338" s="2">
        <v>1265</v>
      </c>
      <c r="F338" s="2">
        <f t="shared" si="15"/>
        <v>2516</v>
      </c>
      <c r="G338" s="3">
        <f t="shared" si="16"/>
        <v>0.49721780604133547</v>
      </c>
      <c r="H338" s="3">
        <f t="shared" si="17"/>
        <v>0.50278219395866453</v>
      </c>
      <c r="I338" s="1" t="s">
        <v>522</v>
      </c>
      <c r="J338" s="2">
        <v>1120</v>
      </c>
      <c r="K338" s="2">
        <v>1352</v>
      </c>
      <c r="L338" s="2">
        <v>2472</v>
      </c>
      <c r="M338" s="3">
        <v>0.45307443365695788</v>
      </c>
      <c r="N338" s="6">
        <v>4.41</v>
      </c>
    </row>
    <row r="339" spans="1:14" x14ac:dyDescent="0.2">
      <c r="A339" s="1" t="s">
        <v>83</v>
      </c>
      <c r="B339" s="1" t="s">
        <v>104</v>
      </c>
      <c r="C339" s="1" t="s">
        <v>437</v>
      </c>
      <c r="D339" s="2">
        <v>276</v>
      </c>
      <c r="E339" s="2">
        <v>276</v>
      </c>
      <c r="F339" s="2">
        <f t="shared" si="15"/>
        <v>552</v>
      </c>
      <c r="G339" s="3">
        <f t="shared" si="16"/>
        <v>0.5</v>
      </c>
      <c r="H339" s="3">
        <f t="shared" si="17"/>
        <v>0.5</v>
      </c>
      <c r="I339" s="1" t="s">
        <v>522</v>
      </c>
      <c r="J339" s="2">
        <v>237</v>
      </c>
      <c r="K339" s="2">
        <v>324</v>
      </c>
      <c r="L339" s="2">
        <v>561</v>
      </c>
      <c r="M339" s="3">
        <v>0.42245989304812842</v>
      </c>
      <c r="N339" s="6">
        <v>7.75</v>
      </c>
    </row>
    <row r="340" spans="1:14" x14ac:dyDescent="0.2">
      <c r="A340" s="1" t="s">
        <v>83</v>
      </c>
      <c r="B340" s="1" t="s">
        <v>105</v>
      </c>
      <c r="C340" s="1" t="s">
        <v>438</v>
      </c>
      <c r="D340" s="2">
        <v>872</v>
      </c>
      <c r="E340" s="2">
        <v>786</v>
      </c>
      <c r="F340" s="2">
        <f t="shared" si="15"/>
        <v>1658</v>
      </c>
      <c r="G340" s="3">
        <f t="shared" si="16"/>
        <v>0.52593486127864897</v>
      </c>
      <c r="H340" s="3">
        <f t="shared" si="17"/>
        <v>0.47406513872135103</v>
      </c>
      <c r="I340" s="1" t="s">
        <v>528</v>
      </c>
    </row>
    <row r="341" spans="1:14" x14ac:dyDescent="0.2">
      <c r="A341" s="1" t="s">
        <v>83</v>
      </c>
      <c r="B341" s="1" t="s">
        <v>105</v>
      </c>
      <c r="C341" s="1" t="s">
        <v>439</v>
      </c>
      <c r="D341" s="2">
        <v>564</v>
      </c>
      <c r="E341" s="2">
        <v>509</v>
      </c>
      <c r="F341" s="2">
        <f t="shared" si="15"/>
        <v>1073</v>
      </c>
      <c r="G341" s="3">
        <f t="shared" si="16"/>
        <v>0.52562907735321529</v>
      </c>
      <c r="H341" s="3">
        <f t="shared" si="17"/>
        <v>0.47437092264678471</v>
      </c>
      <c r="I341" s="1" t="s">
        <v>528</v>
      </c>
    </row>
    <row r="342" spans="1:14" x14ac:dyDescent="0.2">
      <c r="A342" s="1" t="s">
        <v>83</v>
      </c>
      <c r="B342" s="1" t="s">
        <v>105</v>
      </c>
      <c r="C342" s="1" t="s">
        <v>440</v>
      </c>
      <c r="D342" s="2">
        <v>826</v>
      </c>
      <c r="E342" s="2">
        <v>745</v>
      </c>
      <c r="F342" s="2">
        <f t="shared" si="15"/>
        <v>1571</v>
      </c>
      <c r="G342" s="3">
        <f t="shared" si="16"/>
        <v>0.52577975811584976</v>
      </c>
      <c r="H342" s="3">
        <f t="shared" si="17"/>
        <v>0.47422024188415024</v>
      </c>
      <c r="I342" s="1" t="s">
        <v>528</v>
      </c>
    </row>
    <row r="343" spans="1:14" x14ac:dyDescent="0.2">
      <c r="A343" s="1" t="s">
        <v>83</v>
      </c>
      <c r="B343" s="1" t="s">
        <v>105</v>
      </c>
      <c r="C343" s="1" t="s">
        <v>441</v>
      </c>
      <c r="D343" s="2">
        <v>960</v>
      </c>
      <c r="E343" s="2">
        <v>865</v>
      </c>
      <c r="F343" s="2">
        <f t="shared" si="15"/>
        <v>1825</v>
      </c>
      <c r="G343" s="3">
        <f t="shared" si="16"/>
        <v>0.52602739726027392</v>
      </c>
      <c r="H343" s="3">
        <f t="shared" si="17"/>
        <v>0.47397260273972602</v>
      </c>
      <c r="I343" s="1" t="s">
        <v>528</v>
      </c>
    </row>
    <row r="344" spans="1:14" x14ac:dyDescent="0.2">
      <c r="A344" s="1" t="s">
        <v>83</v>
      </c>
      <c r="B344" s="1" t="s">
        <v>105</v>
      </c>
      <c r="C344" s="1" t="s">
        <v>442</v>
      </c>
      <c r="D344" s="2">
        <v>851</v>
      </c>
      <c r="E344" s="2">
        <v>766</v>
      </c>
      <c r="F344" s="2">
        <f t="shared" si="15"/>
        <v>1617</v>
      </c>
      <c r="G344" s="3">
        <f t="shared" si="16"/>
        <v>0.52628324056895481</v>
      </c>
      <c r="H344" s="3">
        <f t="shared" si="17"/>
        <v>0.47371675943104513</v>
      </c>
      <c r="I344" s="1" t="s">
        <v>528</v>
      </c>
    </row>
    <row r="345" spans="1:14" x14ac:dyDescent="0.2">
      <c r="A345" s="1" t="s">
        <v>83</v>
      </c>
      <c r="B345" s="1" t="s">
        <v>105</v>
      </c>
      <c r="C345" s="1" t="s">
        <v>443</v>
      </c>
      <c r="D345" s="2">
        <v>780</v>
      </c>
      <c r="E345" s="2">
        <v>703</v>
      </c>
      <c r="F345" s="2">
        <f t="shared" si="15"/>
        <v>1483</v>
      </c>
      <c r="G345" s="3">
        <f t="shared" si="16"/>
        <v>0.52596089008766012</v>
      </c>
      <c r="H345" s="3">
        <f t="shared" si="17"/>
        <v>0.47403910991233983</v>
      </c>
      <c r="I345" s="1" t="s">
        <v>528</v>
      </c>
    </row>
    <row r="346" spans="1:14" x14ac:dyDescent="0.2">
      <c r="A346" s="1" t="s">
        <v>83</v>
      </c>
      <c r="B346" s="1" t="s">
        <v>105</v>
      </c>
      <c r="C346" s="1" t="s">
        <v>444</v>
      </c>
      <c r="D346" s="2">
        <v>774</v>
      </c>
      <c r="E346" s="2">
        <v>698</v>
      </c>
      <c r="F346" s="2">
        <f t="shared" si="15"/>
        <v>1472</v>
      </c>
      <c r="G346" s="3">
        <f t="shared" si="16"/>
        <v>0.52581521739130432</v>
      </c>
      <c r="H346" s="3">
        <f t="shared" si="17"/>
        <v>0.47418478260869568</v>
      </c>
      <c r="I346" s="1" t="s">
        <v>528</v>
      </c>
    </row>
    <row r="347" spans="1:14" x14ac:dyDescent="0.2">
      <c r="A347" s="1" t="s">
        <v>83</v>
      </c>
      <c r="B347" s="1" t="s">
        <v>105</v>
      </c>
      <c r="C347" s="1" t="s">
        <v>445</v>
      </c>
      <c r="D347" s="2">
        <v>744</v>
      </c>
      <c r="E347" s="2">
        <v>671</v>
      </c>
      <c r="F347" s="2">
        <f t="shared" si="15"/>
        <v>1415</v>
      </c>
      <c r="G347" s="3">
        <f t="shared" si="16"/>
        <v>0.52579505300353357</v>
      </c>
      <c r="H347" s="3">
        <f t="shared" si="17"/>
        <v>0.47420494699646643</v>
      </c>
      <c r="I347" s="1" t="s">
        <v>528</v>
      </c>
    </row>
    <row r="348" spans="1:14" x14ac:dyDescent="0.2">
      <c r="A348" s="1" t="s">
        <v>83</v>
      </c>
      <c r="B348" s="1" t="s">
        <v>105</v>
      </c>
      <c r="C348" s="1" t="s">
        <v>446</v>
      </c>
      <c r="D348" s="2">
        <v>883</v>
      </c>
      <c r="E348" s="2">
        <v>797</v>
      </c>
      <c r="F348" s="2">
        <f t="shared" si="15"/>
        <v>1680</v>
      </c>
      <c r="G348" s="3">
        <f t="shared" si="16"/>
        <v>0.52559523809523812</v>
      </c>
      <c r="H348" s="3">
        <f t="shared" si="17"/>
        <v>0.47440476190476188</v>
      </c>
      <c r="I348" s="1" t="s">
        <v>528</v>
      </c>
    </row>
    <row r="349" spans="1:14" x14ac:dyDescent="0.2">
      <c r="A349" s="1" t="s">
        <v>83</v>
      </c>
      <c r="B349" s="1" t="s">
        <v>106</v>
      </c>
      <c r="C349" s="1" t="s">
        <v>447</v>
      </c>
      <c r="D349" s="2">
        <v>114</v>
      </c>
      <c r="E349" s="2">
        <v>172</v>
      </c>
      <c r="F349" s="2">
        <f t="shared" si="15"/>
        <v>286</v>
      </c>
      <c r="G349" s="3">
        <f t="shared" si="16"/>
        <v>0.39860139860139859</v>
      </c>
      <c r="H349" s="3">
        <f t="shared" si="17"/>
        <v>0.60139860139860135</v>
      </c>
      <c r="I349" s="1" t="s">
        <v>522</v>
      </c>
      <c r="J349" s="2">
        <v>112</v>
      </c>
      <c r="K349" s="2">
        <v>199</v>
      </c>
      <c r="L349" s="2">
        <v>311</v>
      </c>
      <c r="M349" s="3">
        <v>0.36012861736334412</v>
      </c>
      <c r="N349" s="6">
        <v>3.85</v>
      </c>
    </row>
    <row r="350" spans="1:14" x14ac:dyDescent="0.2">
      <c r="A350" s="1" t="s">
        <v>83</v>
      </c>
      <c r="B350" s="1" t="s">
        <v>106</v>
      </c>
      <c r="C350" s="1" t="s">
        <v>448</v>
      </c>
      <c r="D350" s="2">
        <v>261</v>
      </c>
      <c r="E350" s="2">
        <v>488</v>
      </c>
      <c r="F350" s="2">
        <f t="shared" si="15"/>
        <v>749</v>
      </c>
      <c r="G350" s="3">
        <f t="shared" si="16"/>
        <v>0.34846461949265689</v>
      </c>
      <c r="H350" s="3">
        <f t="shared" si="17"/>
        <v>0.65153538050734316</v>
      </c>
      <c r="I350" s="1" t="s">
        <v>522</v>
      </c>
      <c r="J350" s="2">
        <v>259</v>
      </c>
      <c r="K350" s="2">
        <v>480</v>
      </c>
      <c r="L350" s="2">
        <v>739</v>
      </c>
      <c r="M350" s="3">
        <v>0.35047361299052782</v>
      </c>
      <c r="N350" s="6">
        <v>-0.2</v>
      </c>
    </row>
    <row r="351" spans="1:14" x14ac:dyDescent="0.2">
      <c r="A351" s="1" t="s">
        <v>83</v>
      </c>
      <c r="B351" s="1" t="s">
        <v>106</v>
      </c>
      <c r="C351" s="1" t="s">
        <v>449</v>
      </c>
      <c r="D351" s="2">
        <v>213</v>
      </c>
      <c r="E351" s="2">
        <v>290</v>
      </c>
      <c r="F351" s="2">
        <f t="shared" si="15"/>
        <v>503</v>
      </c>
      <c r="G351" s="3">
        <f t="shared" si="16"/>
        <v>0.4234592445328032</v>
      </c>
      <c r="H351" s="3">
        <f t="shared" si="17"/>
        <v>0.57654075546719685</v>
      </c>
      <c r="I351" s="1" t="s">
        <v>522</v>
      </c>
      <c r="J351" s="2">
        <v>204</v>
      </c>
      <c r="K351" s="2">
        <v>301</v>
      </c>
      <c r="L351" s="2">
        <v>505</v>
      </c>
      <c r="M351" s="3">
        <v>0.40396039603960399</v>
      </c>
      <c r="N351" s="6">
        <v>1.95</v>
      </c>
    </row>
    <row r="352" spans="1:14" x14ac:dyDescent="0.2">
      <c r="A352" s="1" t="s">
        <v>83</v>
      </c>
      <c r="B352" s="1" t="s">
        <v>106</v>
      </c>
      <c r="C352" s="1" t="s">
        <v>450</v>
      </c>
      <c r="D352" s="2">
        <v>141</v>
      </c>
      <c r="E352" s="2">
        <v>167</v>
      </c>
      <c r="F352" s="2">
        <f t="shared" si="15"/>
        <v>308</v>
      </c>
      <c r="G352" s="3">
        <f t="shared" si="16"/>
        <v>0.45779220779220781</v>
      </c>
      <c r="H352" s="3">
        <f t="shared" si="17"/>
        <v>0.54220779220779225</v>
      </c>
      <c r="I352" s="1" t="s">
        <v>522</v>
      </c>
      <c r="J352" s="2">
        <v>128</v>
      </c>
      <c r="K352" s="2">
        <v>200</v>
      </c>
      <c r="L352" s="2">
        <v>328</v>
      </c>
      <c r="M352" s="3">
        <v>0.3902439024390244</v>
      </c>
      <c r="N352" s="6">
        <v>6.75</v>
      </c>
    </row>
    <row r="353" spans="1:14" x14ac:dyDescent="0.2">
      <c r="A353" s="1" t="s">
        <v>83</v>
      </c>
      <c r="B353" s="1" t="s">
        <v>107</v>
      </c>
      <c r="C353" s="1" t="s">
        <v>451</v>
      </c>
      <c r="D353" s="2">
        <v>407</v>
      </c>
      <c r="E353" s="2">
        <v>808</v>
      </c>
      <c r="F353" s="2">
        <f t="shared" si="15"/>
        <v>1215</v>
      </c>
      <c r="G353" s="3">
        <f t="shared" si="16"/>
        <v>0.33497942386831275</v>
      </c>
      <c r="H353" s="3">
        <f t="shared" si="17"/>
        <v>0.66502057613168719</v>
      </c>
      <c r="I353" s="1" t="s">
        <v>522</v>
      </c>
      <c r="J353" s="2">
        <v>412</v>
      </c>
      <c r="K353" s="2">
        <v>767</v>
      </c>
      <c r="L353" s="2">
        <v>1179</v>
      </c>
      <c r="M353" s="3">
        <v>0.34944868532654788</v>
      </c>
      <c r="N353" s="6">
        <v>-1.45</v>
      </c>
    </row>
    <row r="354" spans="1:14" x14ac:dyDescent="0.2">
      <c r="A354" s="1" t="s">
        <v>83</v>
      </c>
      <c r="B354" s="1" t="s">
        <v>107</v>
      </c>
      <c r="C354" s="1" t="s">
        <v>452</v>
      </c>
      <c r="D354" s="2">
        <v>342</v>
      </c>
      <c r="E354" s="2">
        <v>626</v>
      </c>
      <c r="F354" s="2">
        <f t="shared" si="15"/>
        <v>968</v>
      </c>
      <c r="G354" s="3">
        <f t="shared" si="16"/>
        <v>0.35330578512396693</v>
      </c>
      <c r="H354" s="3">
        <f t="shared" si="17"/>
        <v>0.64669421487603307</v>
      </c>
      <c r="I354" s="1" t="s">
        <v>522</v>
      </c>
      <c r="J354" s="2">
        <v>361</v>
      </c>
      <c r="K354" s="2">
        <v>633</v>
      </c>
      <c r="L354" s="2">
        <v>994</v>
      </c>
      <c r="M354" s="3">
        <v>0.36317907444668007</v>
      </c>
      <c r="N354" s="6">
        <v>-0.99</v>
      </c>
    </row>
    <row r="355" spans="1:14" x14ac:dyDescent="0.2">
      <c r="A355" s="1" t="s">
        <v>83</v>
      </c>
      <c r="B355" s="1" t="s">
        <v>107</v>
      </c>
      <c r="C355" s="1" t="s">
        <v>453</v>
      </c>
      <c r="D355" s="2">
        <v>285</v>
      </c>
      <c r="E355" s="2">
        <v>564</v>
      </c>
      <c r="F355" s="2">
        <f t="shared" si="15"/>
        <v>849</v>
      </c>
      <c r="G355" s="3">
        <f t="shared" si="16"/>
        <v>0.33568904593639576</v>
      </c>
      <c r="H355" s="3">
        <f t="shared" si="17"/>
        <v>0.66431095406360419</v>
      </c>
      <c r="I355" s="1" t="s">
        <v>522</v>
      </c>
      <c r="J355" s="2">
        <v>286</v>
      </c>
      <c r="K355" s="2">
        <v>553</v>
      </c>
      <c r="L355" s="2">
        <v>839</v>
      </c>
      <c r="M355" s="3">
        <v>0.34088200238379018</v>
      </c>
      <c r="N355" s="6">
        <v>-0.52</v>
      </c>
    </row>
    <row r="356" spans="1:14" x14ac:dyDescent="0.2">
      <c r="A356" s="1" t="s">
        <v>83</v>
      </c>
      <c r="B356" s="1" t="s">
        <v>107</v>
      </c>
      <c r="C356" s="1" t="s">
        <v>454</v>
      </c>
      <c r="D356" s="2">
        <v>304</v>
      </c>
      <c r="E356" s="2">
        <v>614</v>
      </c>
      <c r="F356" s="2">
        <f t="shared" si="15"/>
        <v>918</v>
      </c>
      <c r="G356" s="3">
        <f t="shared" si="16"/>
        <v>0.33115468409586057</v>
      </c>
      <c r="H356" s="3">
        <f t="shared" si="17"/>
        <v>0.66884531590413943</v>
      </c>
      <c r="I356" s="1" t="s">
        <v>522</v>
      </c>
      <c r="J356" s="2">
        <v>302</v>
      </c>
      <c r="K356" s="2">
        <v>608</v>
      </c>
      <c r="L356" s="2">
        <v>910</v>
      </c>
      <c r="M356" s="3">
        <v>0.33186813186813191</v>
      </c>
      <c r="N356" s="6">
        <v>-7.0000000000000007E-2</v>
      </c>
    </row>
    <row r="357" spans="1:14" x14ac:dyDescent="0.2">
      <c r="A357" s="1" t="s">
        <v>83</v>
      </c>
      <c r="B357" s="1" t="s">
        <v>108</v>
      </c>
      <c r="C357" s="1" t="s">
        <v>108</v>
      </c>
      <c r="D357" s="2">
        <v>81</v>
      </c>
      <c r="E357" s="2">
        <v>168</v>
      </c>
      <c r="F357" s="2">
        <f t="shared" si="15"/>
        <v>249</v>
      </c>
      <c r="G357" s="3">
        <f t="shared" si="16"/>
        <v>0.3253012048192771</v>
      </c>
      <c r="H357" s="3">
        <f t="shared" si="17"/>
        <v>0.67469879518072284</v>
      </c>
      <c r="I357" s="1" t="s">
        <v>522</v>
      </c>
      <c r="J357" s="2">
        <v>92</v>
      </c>
      <c r="K357" s="2">
        <v>167</v>
      </c>
      <c r="L357" s="2">
        <v>259</v>
      </c>
      <c r="M357" s="3">
        <v>0.35521235521235522</v>
      </c>
      <c r="N357" s="6">
        <v>-2.99</v>
      </c>
    </row>
    <row r="358" spans="1:14" x14ac:dyDescent="0.2">
      <c r="A358" s="1" t="s">
        <v>83</v>
      </c>
      <c r="B358" s="1" t="s">
        <v>109</v>
      </c>
      <c r="C358" s="1" t="s">
        <v>109</v>
      </c>
      <c r="D358" s="2">
        <v>356</v>
      </c>
      <c r="E358" s="2">
        <v>576</v>
      </c>
      <c r="F358" s="2">
        <f t="shared" si="15"/>
        <v>932</v>
      </c>
      <c r="G358" s="3">
        <f t="shared" si="16"/>
        <v>0.38197424892703863</v>
      </c>
      <c r="H358" s="3">
        <f t="shared" si="17"/>
        <v>0.61802575107296143</v>
      </c>
      <c r="I358" s="1" t="s">
        <v>522</v>
      </c>
      <c r="J358" s="2">
        <v>335</v>
      </c>
      <c r="K358" s="2">
        <v>581</v>
      </c>
      <c r="L358" s="2">
        <v>916</v>
      </c>
      <c r="M358" s="3">
        <v>0.36572052401746719</v>
      </c>
      <c r="N358" s="6">
        <v>1.63</v>
      </c>
    </row>
    <row r="359" spans="1:14" x14ac:dyDescent="0.2">
      <c r="A359" s="1" t="s">
        <v>83</v>
      </c>
      <c r="B359" s="1" t="s">
        <v>110</v>
      </c>
      <c r="C359" s="1" t="s">
        <v>110</v>
      </c>
      <c r="D359" s="2">
        <v>213</v>
      </c>
      <c r="E359" s="2">
        <v>302</v>
      </c>
      <c r="F359" s="2">
        <f t="shared" si="15"/>
        <v>515</v>
      </c>
      <c r="G359" s="3">
        <f t="shared" si="16"/>
        <v>0.41359223300970877</v>
      </c>
      <c r="H359" s="3">
        <f t="shared" si="17"/>
        <v>0.58640776699029129</v>
      </c>
      <c r="I359" s="1" t="s">
        <v>522</v>
      </c>
      <c r="J359" s="2">
        <v>210</v>
      </c>
      <c r="K359" s="2">
        <v>309</v>
      </c>
      <c r="L359" s="2">
        <v>519</v>
      </c>
      <c r="M359" s="3">
        <v>0.40462427745664742</v>
      </c>
      <c r="N359" s="6">
        <v>0.9</v>
      </c>
    </row>
    <row r="360" spans="1:14" x14ac:dyDescent="0.2">
      <c r="A360" s="1" t="s">
        <v>83</v>
      </c>
      <c r="B360" s="1" t="s">
        <v>111</v>
      </c>
      <c r="C360" s="1" t="s">
        <v>111</v>
      </c>
      <c r="D360" s="2">
        <v>336</v>
      </c>
      <c r="E360" s="2">
        <v>436</v>
      </c>
      <c r="F360" s="2">
        <f t="shared" si="15"/>
        <v>772</v>
      </c>
      <c r="G360" s="3">
        <f t="shared" si="16"/>
        <v>0.43523316062176165</v>
      </c>
      <c r="H360" s="3">
        <f t="shared" si="17"/>
        <v>0.56476683937823835</v>
      </c>
      <c r="I360" s="1" t="s">
        <v>522</v>
      </c>
      <c r="J360" s="2">
        <v>331</v>
      </c>
      <c r="K360" s="2">
        <v>458</v>
      </c>
      <c r="L360" s="2">
        <v>789</v>
      </c>
      <c r="M360" s="3">
        <v>0.41951837769328271</v>
      </c>
      <c r="N360" s="6">
        <v>1.57</v>
      </c>
    </row>
    <row r="361" spans="1:14" x14ac:dyDescent="0.2">
      <c r="A361" s="1" t="s">
        <v>83</v>
      </c>
      <c r="B361" s="1" t="s">
        <v>112</v>
      </c>
      <c r="C361" s="1" t="s">
        <v>455</v>
      </c>
      <c r="D361" s="2">
        <v>284</v>
      </c>
      <c r="E361" s="2">
        <v>725</v>
      </c>
      <c r="F361" s="2">
        <f t="shared" si="15"/>
        <v>1009</v>
      </c>
      <c r="G361" s="3">
        <f t="shared" si="16"/>
        <v>0.28146679881070369</v>
      </c>
      <c r="H361" s="3">
        <f t="shared" si="17"/>
        <v>0.71853320118929631</v>
      </c>
      <c r="I361" s="1" t="s">
        <v>522</v>
      </c>
      <c r="J361" s="2">
        <v>307</v>
      </c>
      <c r="K361" s="2">
        <v>746</v>
      </c>
      <c r="L361" s="2">
        <v>1053</v>
      </c>
      <c r="M361" s="3">
        <v>0.29154795821462492</v>
      </c>
      <c r="N361" s="6">
        <v>-1.01</v>
      </c>
    </row>
    <row r="362" spans="1:14" x14ac:dyDescent="0.2">
      <c r="A362" s="1" t="s">
        <v>83</v>
      </c>
      <c r="B362" s="1" t="s">
        <v>112</v>
      </c>
      <c r="C362" s="1" t="s">
        <v>456</v>
      </c>
      <c r="D362" s="2">
        <v>227</v>
      </c>
      <c r="E362" s="2">
        <v>497</v>
      </c>
      <c r="F362" s="2">
        <f t="shared" si="15"/>
        <v>724</v>
      </c>
      <c r="G362" s="3">
        <f t="shared" si="16"/>
        <v>0.31353591160220995</v>
      </c>
      <c r="H362" s="3">
        <f t="shared" si="17"/>
        <v>0.68646408839779005</v>
      </c>
      <c r="I362" s="1" t="s">
        <v>522</v>
      </c>
      <c r="J362" s="2">
        <v>232</v>
      </c>
      <c r="K362" s="2">
        <v>487</v>
      </c>
      <c r="L362" s="2">
        <v>719</v>
      </c>
      <c r="M362" s="3">
        <v>0.3226703755215577</v>
      </c>
      <c r="N362" s="6">
        <v>-0.91</v>
      </c>
    </row>
    <row r="363" spans="1:14" x14ac:dyDescent="0.2">
      <c r="A363" s="1" t="s">
        <v>83</v>
      </c>
      <c r="B363" s="1" t="s">
        <v>112</v>
      </c>
      <c r="C363" s="1" t="s">
        <v>457</v>
      </c>
      <c r="D363" s="2">
        <v>176</v>
      </c>
      <c r="E363" s="2">
        <v>442</v>
      </c>
      <c r="F363" s="2">
        <f t="shared" si="15"/>
        <v>618</v>
      </c>
      <c r="G363" s="3">
        <f t="shared" si="16"/>
        <v>0.28478964401294499</v>
      </c>
      <c r="H363" s="3">
        <f t="shared" si="17"/>
        <v>0.71521035598705507</v>
      </c>
      <c r="I363" s="1" t="s">
        <v>522</v>
      </c>
      <c r="J363" s="2">
        <v>178</v>
      </c>
      <c r="K363" s="2">
        <v>480</v>
      </c>
      <c r="L363" s="2">
        <v>658</v>
      </c>
      <c r="M363" s="3">
        <v>0.27051671732522797</v>
      </c>
      <c r="N363" s="6">
        <v>1.43</v>
      </c>
    </row>
    <row r="364" spans="1:14" x14ac:dyDescent="0.2">
      <c r="A364" s="1" t="s">
        <v>83</v>
      </c>
      <c r="B364" s="1" t="s">
        <v>112</v>
      </c>
      <c r="C364" s="1" t="s">
        <v>458</v>
      </c>
      <c r="D364" s="2">
        <v>193</v>
      </c>
      <c r="E364" s="2">
        <v>402</v>
      </c>
      <c r="F364" s="2">
        <f t="shared" si="15"/>
        <v>595</v>
      </c>
      <c r="G364" s="3">
        <f t="shared" si="16"/>
        <v>0.32436974789915968</v>
      </c>
      <c r="H364" s="3">
        <f t="shared" si="17"/>
        <v>0.67563025210084038</v>
      </c>
      <c r="I364" s="1" t="s">
        <v>522</v>
      </c>
      <c r="J364" s="2">
        <v>180</v>
      </c>
      <c r="K364" s="2">
        <v>430</v>
      </c>
      <c r="L364" s="2">
        <v>610</v>
      </c>
      <c r="M364" s="3">
        <v>0.29508196721311469</v>
      </c>
      <c r="N364" s="6">
        <v>2.93</v>
      </c>
    </row>
    <row r="365" spans="1:14" x14ac:dyDescent="0.2">
      <c r="A365" s="1" t="s">
        <v>83</v>
      </c>
      <c r="B365" s="1" t="s">
        <v>112</v>
      </c>
      <c r="C365" s="1" t="s">
        <v>459</v>
      </c>
      <c r="D365" s="2">
        <v>339</v>
      </c>
      <c r="E365" s="2">
        <v>574</v>
      </c>
      <c r="F365" s="2">
        <f t="shared" si="15"/>
        <v>913</v>
      </c>
      <c r="G365" s="3">
        <f t="shared" si="16"/>
        <v>0.37130339539978097</v>
      </c>
      <c r="H365" s="3">
        <f t="shared" si="17"/>
        <v>0.62869660460021903</v>
      </c>
      <c r="I365" s="1" t="s">
        <v>522</v>
      </c>
      <c r="J365" s="2">
        <v>345</v>
      </c>
      <c r="K365" s="2">
        <v>573</v>
      </c>
      <c r="L365" s="2">
        <v>918</v>
      </c>
      <c r="M365" s="3">
        <v>0.37581699346405228</v>
      </c>
      <c r="N365" s="6">
        <v>-0.45</v>
      </c>
    </row>
    <row r="366" spans="1:14" x14ac:dyDescent="0.2">
      <c r="A366" s="1" t="s">
        <v>83</v>
      </c>
      <c r="B366" s="1" t="s">
        <v>113</v>
      </c>
      <c r="C366" s="1" t="s">
        <v>460</v>
      </c>
      <c r="D366" s="2">
        <v>759</v>
      </c>
      <c r="E366" s="2">
        <v>750</v>
      </c>
      <c r="F366" s="2">
        <f t="shared" si="15"/>
        <v>1509</v>
      </c>
      <c r="G366" s="3">
        <f t="shared" si="16"/>
        <v>0.50298210735586479</v>
      </c>
      <c r="H366" s="3">
        <f t="shared" si="17"/>
        <v>0.49701789264413521</v>
      </c>
      <c r="I366" s="1" t="s">
        <v>528</v>
      </c>
    </row>
    <row r="367" spans="1:14" x14ac:dyDescent="0.2">
      <c r="A367" s="1" t="s">
        <v>83</v>
      </c>
      <c r="B367" s="1" t="s">
        <v>113</v>
      </c>
      <c r="C367" s="1" t="s">
        <v>461</v>
      </c>
      <c r="D367" s="2">
        <v>368</v>
      </c>
      <c r="E367" s="2">
        <v>365</v>
      </c>
      <c r="F367" s="2">
        <f t="shared" si="15"/>
        <v>733</v>
      </c>
      <c r="G367" s="3">
        <f t="shared" si="16"/>
        <v>0.50204638472032748</v>
      </c>
      <c r="H367" s="3">
        <f t="shared" si="17"/>
        <v>0.49795361527967258</v>
      </c>
      <c r="I367" s="1" t="s">
        <v>528</v>
      </c>
    </row>
    <row r="368" spans="1:14" x14ac:dyDescent="0.2">
      <c r="A368" s="1" t="s">
        <v>83</v>
      </c>
      <c r="B368" s="1" t="s">
        <v>113</v>
      </c>
      <c r="C368" s="1" t="s">
        <v>462</v>
      </c>
      <c r="D368" s="2">
        <v>640</v>
      </c>
      <c r="E368" s="2">
        <v>634</v>
      </c>
      <c r="F368" s="2">
        <f t="shared" si="15"/>
        <v>1274</v>
      </c>
      <c r="G368" s="3">
        <f t="shared" si="16"/>
        <v>0.50235478806907374</v>
      </c>
      <c r="H368" s="3">
        <f t="shared" si="17"/>
        <v>0.4976452119309262</v>
      </c>
      <c r="I368" s="1" t="s">
        <v>528</v>
      </c>
    </row>
    <row r="369" spans="1:14" x14ac:dyDescent="0.2">
      <c r="A369" s="1" t="s">
        <v>83</v>
      </c>
      <c r="B369" s="1" t="s">
        <v>113</v>
      </c>
      <c r="C369" s="1" t="s">
        <v>463</v>
      </c>
      <c r="D369" s="2">
        <v>277</v>
      </c>
      <c r="E369" s="2">
        <v>276</v>
      </c>
      <c r="F369" s="2">
        <f t="shared" si="15"/>
        <v>553</v>
      </c>
      <c r="G369" s="3">
        <f t="shared" si="16"/>
        <v>0.50090415913200725</v>
      </c>
      <c r="H369" s="3">
        <f t="shared" si="17"/>
        <v>0.49909584086799275</v>
      </c>
      <c r="I369" s="1" t="s">
        <v>528</v>
      </c>
    </row>
    <row r="370" spans="1:14" x14ac:dyDescent="0.2">
      <c r="A370" s="1" t="s">
        <v>83</v>
      </c>
      <c r="B370" s="1" t="s">
        <v>114</v>
      </c>
      <c r="C370" s="1" t="s">
        <v>114</v>
      </c>
      <c r="D370" s="2">
        <v>446</v>
      </c>
      <c r="E370" s="2">
        <v>615</v>
      </c>
      <c r="F370" s="2">
        <f t="shared" si="15"/>
        <v>1061</v>
      </c>
      <c r="G370" s="3">
        <f t="shared" si="16"/>
        <v>0.42035815268614513</v>
      </c>
      <c r="H370" s="3">
        <f t="shared" si="17"/>
        <v>0.57964184731385482</v>
      </c>
      <c r="I370" s="1" t="s">
        <v>522</v>
      </c>
      <c r="J370" s="2">
        <v>416</v>
      </c>
      <c r="K370" s="2">
        <v>658</v>
      </c>
      <c r="L370" s="2">
        <v>1074</v>
      </c>
      <c r="M370" s="3">
        <v>0.38733705772811922</v>
      </c>
      <c r="N370" s="6">
        <v>3.3</v>
      </c>
    </row>
    <row r="371" spans="1:14" x14ac:dyDescent="0.2">
      <c r="A371" s="1" t="s">
        <v>83</v>
      </c>
      <c r="B371" s="1" t="s">
        <v>115</v>
      </c>
      <c r="C371" s="1" t="s">
        <v>464</v>
      </c>
      <c r="D371" s="2">
        <v>574</v>
      </c>
      <c r="E371" s="2">
        <v>1076</v>
      </c>
      <c r="F371" s="2">
        <f t="shared" si="15"/>
        <v>1650</v>
      </c>
      <c r="G371" s="3">
        <f t="shared" si="16"/>
        <v>0.3478787878787879</v>
      </c>
      <c r="H371" s="3">
        <f t="shared" si="17"/>
        <v>0.6521212121212121</v>
      </c>
      <c r="I371" s="1" t="s">
        <v>529</v>
      </c>
      <c r="J371" s="2">
        <v>541</v>
      </c>
      <c r="K371" s="2">
        <v>1106</v>
      </c>
      <c r="L371" s="2">
        <v>1647</v>
      </c>
      <c r="M371" s="3">
        <v>0.32847601700060719</v>
      </c>
      <c r="N371" s="6">
        <v>1.94</v>
      </c>
    </row>
    <row r="372" spans="1:14" x14ac:dyDescent="0.2">
      <c r="A372" s="1" t="s">
        <v>83</v>
      </c>
      <c r="B372" s="1" t="s">
        <v>115</v>
      </c>
      <c r="C372" s="1" t="s">
        <v>465</v>
      </c>
      <c r="D372" s="2">
        <v>497</v>
      </c>
      <c r="E372" s="2">
        <v>930</v>
      </c>
      <c r="F372" s="2">
        <f t="shared" si="15"/>
        <v>1427</v>
      </c>
      <c r="G372" s="3">
        <f t="shared" si="16"/>
        <v>0.3482831114225648</v>
      </c>
      <c r="H372" s="3">
        <f t="shared" si="17"/>
        <v>0.65171688857743515</v>
      </c>
      <c r="I372" s="1" t="s">
        <v>529</v>
      </c>
      <c r="J372" s="2">
        <v>500</v>
      </c>
      <c r="K372" s="2">
        <v>982</v>
      </c>
      <c r="L372" s="2">
        <v>1482</v>
      </c>
      <c r="M372" s="3">
        <v>0.33738191632928483</v>
      </c>
      <c r="N372" s="6">
        <v>1.0900000000000001</v>
      </c>
    </row>
    <row r="373" spans="1:14" x14ac:dyDescent="0.2">
      <c r="A373" s="1" t="s">
        <v>83</v>
      </c>
      <c r="B373" s="1" t="s">
        <v>116</v>
      </c>
      <c r="C373" s="1" t="s">
        <v>116</v>
      </c>
      <c r="D373" s="2">
        <v>292</v>
      </c>
      <c r="E373" s="2">
        <v>315</v>
      </c>
      <c r="F373" s="2">
        <f t="shared" si="15"/>
        <v>607</v>
      </c>
      <c r="G373" s="3">
        <f t="shared" si="16"/>
        <v>0.48105436573311366</v>
      </c>
      <c r="H373" s="3">
        <f t="shared" si="17"/>
        <v>0.51894563426688634</v>
      </c>
      <c r="I373" s="1" t="s">
        <v>522</v>
      </c>
      <c r="J373" s="2">
        <v>281</v>
      </c>
      <c r="K373" s="2">
        <v>310</v>
      </c>
      <c r="L373" s="2">
        <v>591</v>
      </c>
      <c r="M373" s="3">
        <v>0.47546531302876482</v>
      </c>
      <c r="N373" s="6">
        <v>0.56000000000000005</v>
      </c>
    </row>
    <row r="374" spans="1:14" x14ac:dyDescent="0.2">
      <c r="A374" s="1" t="s">
        <v>83</v>
      </c>
      <c r="B374" s="1" t="s">
        <v>117</v>
      </c>
      <c r="C374" s="1" t="s">
        <v>466</v>
      </c>
      <c r="D374" s="2">
        <v>500</v>
      </c>
      <c r="E374" s="2">
        <v>661</v>
      </c>
      <c r="F374" s="2">
        <f t="shared" si="15"/>
        <v>1161</v>
      </c>
      <c r="G374" s="3">
        <f t="shared" si="16"/>
        <v>0.4306632213608958</v>
      </c>
      <c r="H374" s="3">
        <f t="shared" si="17"/>
        <v>0.56933677863910426</v>
      </c>
      <c r="I374" s="1" t="s">
        <v>522</v>
      </c>
      <c r="J374" s="2">
        <v>514</v>
      </c>
      <c r="K374" s="2">
        <v>713</v>
      </c>
      <c r="L374" s="2">
        <v>1227</v>
      </c>
      <c r="M374" s="3">
        <v>0.41890790546047268</v>
      </c>
      <c r="N374" s="6">
        <v>1.18</v>
      </c>
    </row>
    <row r="375" spans="1:14" x14ac:dyDescent="0.2">
      <c r="A375" s="1" t="s">
        <v>83</v>
      </c>
      <c r="B375" s="1" t="s">
        <v>117</v>
      </c>
      <c r="C375" s="1" t="s">
        <v>467</v>
      </c>
      <c r="D375" s="2">
        <v>439</v>
      </c>
      <c r="E375" s="2">
        <v>655</v>
      </c>
      <c r="F375" s="2">
        <f t="shared" si="15"/>
        <v>1094</v>
      </c>
      <c r="G375" s="3">
        <f t="shared" si="16"/>
        <v>0.40127970749542963</v>
      </c>
      <c r="H375" s="3">
        <f t="shared" si="17"/>
        <v>0.59872029250457037</v>
      </c>
      <c r="I375" s="1" t="s">
        <v>522</v>
      </c>
      <c r="J375" s="2">
        <v>425</v>
      </c>
      <c r="K375" s="2">
        <v>656</v>
      </c>
      <c r="L375" s="2">
        <v>1081</v>
      </c>
      <c r="M375" s="3">
        <v>0.39315448658649399</v>
      </c>
      <c r="N375" s="6">
        <v>0.81</v>
      </c>
    </row>
    <row r="376" spans="1:14" x14ac:dyDescent="0.2">
      <c r="A376" s="1" t="s">
        <v>83</v>
      </c>
      <c r="B376" s="1" t="s">
        <v>117</v>
      </c>
      <c r="C376" s="1" t="s">
        <v>468</v>
      </c>
      <c r="D376" s="2">
        <v>610</v>
      </c>
      <c r="E376" s="2">
        <v>635</v>
      </c>
      <c r="F376" s="2">
        <f t="shared" si="15"/>
        <v>1245</v>
      </c>
      <c r="G376" s="3">
        <f t="shared" si="16"/>
        <v>0.48995983935742971</v>
      </c>
      <c r="H376" s="3">
        <f t="shared" si="17"/>
        <v>0.51004016064257029</v>
      </c>
      <c r="I376" s="1" t="s">
        <v>522</v>
      </c>
      <c r="J376" s="2">
        <v>624</v>
      </c>
      <c r="K376" s="2">
        <v>618</v>
      </c>
      <c r="L376" s="2">
        <v>1242</v>
      </c>
      <c r="M376" s="3">
        <v>0.50241545893719808</v>
      </c>
      <c r="N376" s="6">
        <v>-1.25</v>
      </c>
    </row>
    <row r="377" spans="1:14" x14ac:dyDescent="0.2">
      <c r="A377" s="1" t="s">
        <v>83</v>
      </c>
      <c r="B377" s="1" t="s">
        <v>117</v>
      </c>
      <c r="C377" s="1" t="s">
        <v>469</v>
      </c>
      <c r="D377" s="2">
        <v>296</v>
      </c>
      <c r="E377" s="2">
        <v>393</v>
      </c>
      <c r="F377" s="2">
        <f t="shared" si="15"/>
        <v>689</v>
      </c>
      <c r="G377" s="3">
        <f t="shared" si="16"/>
        <v>0.42960812772133528</v>
      </c>
      <c r="H377" s="3">
        <f t="shared" si="17"/>
        <v>0.57039187227866472</v>
      </c>
      <c r="I377" s="1" t="s">
        <v>522</v>
      </c>
      <c r="J377" s="2">
        <v>284</v>
      </c>
      <c r="K377" s="2">
        <v>414</v>
      </c>
      <c r="L377" s="2">
        <v>698</v>
      </c>
      <c r="M377" s="3">
        <v>0.40687679083094558</v>
      </c>
      <c r="N377" s="6">
        <v>2.27</v>
      </c>
    </row>
    <row r="378" spans="1:14" x14ac:dyDescent="0.2">
      <c r="A378" s="1" t="s">
        <v>83</v>
      </c>
      <c r="B378" s="1" t="s">
        <v>118</v>
      </c>
      <c r="C378" s="1" t="s">
        <v>470</v>
      </c>
      <c r="D378" s="2">
        <v>660</v>
      </c>
      <c r="E378" s="2">
        <v>428</v>
      </c>
      <c r="F378" s="2">
        <f t="shared" si="15"/>
        <v>1088</v>
      </c>
      <c r="G378" s="3">
        <f t="shared" si="16"/>
        <v>0.60661764705882348</v>
      </c>
      <c r="H378" s="3">
        <f t="shared" si="17"/>
        <v>0.39338235294117646</v>
      </c>
      <c r="I378" s="1" t="s">
        <v>522</v>
      </c>
      <c r="J378" s="2">
        <v>648</v>
      </c>
      <c r="K378" s="2">
        <v>462</v>
      </c>
      <c r="L378" s="2">
        <v>1110</v>
      </c>
      <c r="M378" s="3">
        <v>0.58378378378378382</v>
      </c>
      <c r="N378" s="6">
        <v>2.2799999999999998</v>
      </c>
    </row>
    <row r="379" spans="1:14" x14ac:dyDescent="0.2">
      <c r="A379" s="1" t="s">
        <v>83</v>
      </c>
      <c r="B379" s="1" t="s">
        <v>118</v>
      </c>
      <c r="C379" s="1" t="s">
        <v>471</v>
      </c>
      <c r="D379" s="2">
        <v>499</v>
      </c>
      <c r="E379" s="2">
        <v>371</v>
      </c>
      <c r="F379" s="2">
        <f t="shared" si="15"/>
        <v>870</v>
      </c>
      <c r="G379" s="3">
        <f t="shared" si="16"/>
        <v>0.5735632183908046</v>
      </c>
      <c r="H379" s="3">
        <f t="shared" si="17"/>
        <v>0.4264367816091954</v>
      </c>
      <c r="I379" s="1" t="s">
        <v>522</v>
      </c>
      <c r="J379" s="2">
        <v>491</v>
      </c>
      <c r="K379" s="2">
        <v>402</v>
      </c>
      <c r="L379" s="2">
        <v>893</v>
      </c>
      <c r="M379" s="3">
        <v>0.54983202687569988</v>
      </c>
      <c r="N379" s="6">
        <v>2.37</v>
      </c>
    </row>
    <row r="380" spans="1:14" x14ac:dyDescent="0.2">
      <c r="A380" s="1" t="s">
        <v>83</v>
      </c>
      <c r="B380" s="1" t="s">
        <v>118</v>
      </c>
      <c r="C380" s="1" t="s">
        <v>472</v>
      </c>
      <c r="D380" s="2">
        <v>801</v>
      </c>
      <c r="E380" s="2">
        <v>647</v>
      </c>
      <c r="F380" s="2">
        <f t="shared" si="15"/>
        <v>1448</v>
      </c>
      <c r="G380" s="3">
        <f t="shared" si="16"/>
        <v>0.55317679558011046</v>
      </c>
      <c r="H380" s="3">
        <f t="shared" si="17"/>
        <v>0.44682320441988949</v>
      </c>
      <c r="I380" s="1" t="s">
        <v>522</v>
      </c>
      <c r="J380" s="2">
        <v>758</v>
      </c>
      <c r="K380" s="2">
        <v>674</v>
      </c>
      <c r="L380" s="2">
        <v>1432</v>
      </c>
      <c r="M380" s="3">
        <v>0.52932960893854752</v>
      </c>
      <c r="N380" s="6">
        <v>2.38</v>
      </c>
    </row>
    <row r="381" spans="1:14" x14ac:dyDescent="0.2">
      <c r="A381" s="1" t="s">
        <v>83</v>
      </c>
      <c r="B381" s="1" t="s">
        <v>119</v>
      </c>
      <c r="C381" s="1" t="s">
        <v>473</v>
      </c>
      <c r="D381" s="2">
        <v>691</v>
      </c>
      <c r="E381" s="2">
        <v>835</v>
      </c>
      <c r="F381" s="2">
        <f t="shared" si="15"/>
        <v>1526</v>
      </c>
      <c r="G381" s="3">
        <f t="shared" si="16"/>
        <v>0.45281782437745738</v>
      </c>
      <c r="H381" s="3">
        <f t="shared" si="17"/>
        <v>0.54718217562254257</v>
      </c>
      <c r="I381" s="1" t="s">
        <v>522</v>
      </c>
      <c r="J381" s="2">
        <v>634</v>
      </c>
      <c r="K381" s="2">
        <v>856</v>
      </c>
      <c r="L381" s="2">
        <v>1490</v>
      </c>
      <c r="M381" s="3">
        <v>0.42550335570469799</v>
      </c>
      <c r="N381" s="6">
        <v>2.73</v>
      </c>
    </row>
  </sheetData>
  <mergeCells count="5">
    <mergeCell ref="A10:I10"/>
    <mergeCell ref="A1:I1"/>
    <mergeCell ref="A9:I9"/>
    <mergeCell ref="A3:I3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 Municipal Forecast</vt:lpstr>
      <vt:lpstr>2026 Precinct Forecast</vt:lpstr>
      <vt:lpstr>Feature Ranking</vt:lpstr>
      <vt:lpstr>2024 Backtest Municipal</vt:lpstr>
      <vt:lpstr>2024 Backtest Precinct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Weinstein</cp:lastModifiedBy>
  <dcterms:created xsi:type="dcterms:W3CDTF">2026-09-30T22:23:36Z</dcterms:created>
  <dcterms:modified xsi:type="dcterms:W3CDTF">2026-09-30T22:23:40Z</dcterms:modified>
</cp:coreProperties>
</file>