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harlieweinstein/Desktop/"/>
    </mc:Choice>
  </mc:AlternateContent>
  <xr:revisionPtr revIDLastSave="0" documentId="11_E95B3387C667690DE820ECCA61259D82B249B90B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2026 Municipal Forecast" sheetId="1" r:id="rId1"/>
    <sheet name="2026 Precinct Forecast" sheetId="2" r:id="rId2"/>
    <sheet name="Feature Ranking" sheetId="3" r:id="rId3"/>
    <sheet name="2024 Backtest Municipal" sheetId="4" r:id="rId4"/>
    <sheet name="2024 Backtest Precinc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1" i="5" l="1"/>
  <c r="H381" i="5" s="1"/>
  <c r="F380" i="5"/>
  <c r="H380" i="5" s="1"/>
  <c r="F379" i="5"/>
  <c r="H379" i="5" s="1"/>
  <c r="F378" i="5"/>
  <c r="H378" i="5" s="1"/>
  <c r="F377" i="5"/>
  <c r="H377" i="5" s="1"/>
  <c r="G376" i="5"/>
  <c r="F376" i="5"/>
  <c r="H376" i="5" s="1"/>
  <c r="F375" i="5"/>
  <c r="H375" i="5" s="1"/>
  <c r="G374" i="5"/>
  <c r="F374" i="5"/>
  <c r="H374" i="5" s="1"/>
  <c r="H373" i="5"/>
  <c r="G373" i="5"/>
  <c r="F373" i="5"/>
  <c r="G372" i="5"/>
  <c r="F372" i="5"/>
  <c r="H372" i="5" s="1"/>
  <c r="H371" i="5"/>
  <c r="F371" i="5"/>
  <c r="G371" i="5" s="1"/>
  <c r="H370" i="5"/>
  <c r="G370" i="5"/>
  <c r="F370" i="5"/>
  <c r="F369" i="5"/>
  <c r="H369" i="5" s="1"/>
  <c r="F368" i="5"/>
  <c r="H368" i="5" s="1"/>
  <c r="H367" i="5"/>
  <c r="F367" i="5"/>
  <c r="G367" i="5" s="1"/>
  <c r="G366" i="5"/>
  <c r="F366" i="5"/>
  <c r="H366" i="5" s="1"/>
  <c r="F365" i="5"/>
  <c r="H365" i="5" s="1"/>
  <c r="G364" i="5"/>
  <c r="F364" i="5"/>
  <c r="H364" i="5" s="1"/>
  <c r="F363" i="5"/>
  <c r="H363" i="5" s="1"/>
  <c r="H362" i="5"/>
  <c r="G362" i="5"/>
  <c r="F362" i="5"/>
  <c r="F361" i="5"/>
  <c r="G361" i="5" s="1"/>
  <c r="H360" i="5"/>
  <c r="G360" i="5"/>
  <c r="F360" i="5"/>
  <c r="F359" i="5"/>
  <c r="G359" i="5" s="1"/>
  <c r="F358" i="5"/>
  <c r="H357" i="5"/>
  <c r="G357" i="5"/>
  <c r="F357" i="5"/>
  <c r="F356" i="5"/>
  <c r="H356" i="5" s="1"/>
  <c r="F355" i="5"/>
  <c r="H354" i="5"/>
  <c r="G354" i="5"/>
  <c r="F354" i="5"/>
  <c r="F353" i="5"/>
  <c r="F352" i="5"/>
  <c r="H352" i="5" s="1"/>
  <c r="H351" i="5"/>
  <c r="F351" i="5"/>
  <c r="G351" i="5" s="1"/>
  <c r="F350" i="5"/>
  <c r="F349" i="5"/>
  <c r="G348" i="5"/>
  <c r="F348" i="5"/>
  <c r="H348" i="5" s="1"/>
  <c r="F347" i="5"/>
  <c r="H346" i="5"/>
  <c r="G346" i="5"/>
  <c r="F346" i="5"/>
  <c r="H345" i="5"/>
  <c r="F345" i="5"/>
  <c r="G345" i="5" s="1"/>
  <c r="G344" i="5"/>
  <c r="F344" i="5"/>
  <c r="H344" i="5" s="1"/>
  <c r="F343" i="5"/>
  <c r="G343" i="5" s="1"/>
  <c r="H342" i="5"/>
  <c r="F342" i="5"/>
  <c r="G342" i="5" s="1"/>
  <c r="G341" i="5"/>
  <c r="F341" i="5"/>
  <c r="H341" i="5" s="1"/>
  <c r="G340" i="5"/>
  <c r="F340" i="5"/>
  <c r="H340" i="5" s="1"/>
  <c r="H339" i="5"/>
  <c r="F339" i="5"/>
  <c r="G339" i="5" s="1"/>
  <c r="H338" i="5"/>
  <c r="G338" i="5"/>
  <c r="F338" i="5"/>
  <c r="H337" i="5"/>
  <c r="G337" i="5"/>
  <c r="F337" i="5"/>
  <c r="F336" i="5"/>
  <c r="H336" i="5" s="1"/>
  <c r="H335" i="5"/>
  <c r="F335" i="5"/>
  <c r="G335" i="5" s="1"/>
  <c r="F334" i="5"/>
  <c r="H334" i="5" s="1"/>
  <c r="F333" i="5"/>
  <c r="H333" i="5" s="1"/>
  <c r="G332" i="5"/>
  <c r="F332" i="5"/>
  <c r="H332" i="5" s="1"/>
  <c r="G331" i="5"/>
  <c r="F331" i="5"/>
  <c r="H331" i="5" s="1"/>
  <c r="H330" i="5"/>
  <c r="G330" i="5"/>
  <c r="F330" i="5"/>
  <c r="F329" i="5"/>
  <c r="G329" i="5" s="1"/>
  <c r="H328" i="5"/>
  <c r="G328" i="5"/>
  <c r="F328" i="5"/>
  <c r="F327" i="5"/>
  <c r="G327" i="5" s="1"/>
  <c r="H326" i="5"/>
  <c r="F326" i="5"/>
  <c r="G326" i="5" s="1"/>
  <c r="H325" i="5"/>
  <c r="G325" i="5"/>
  <c r="F325" i="5"/>
  <c r="F324" i="5"/>
  <c r="H324" i="5" s="1"/>
  <c r="F323" i="5"/>
  <c r="H322" i="5"/>
  <c r="G322" i="5"/>
  <c r="F322" i="5"/>
  <c r="F321" i="5"/>
  <c r="F320" i="5"/>
  <c r="H319" i="5"/>
  <c r="F319" i="5"/>
  <c r="G319" i="5" s="1"/>
  <c r="F318" i="5"/>
  <c r="G317" i="5"/>
  <c r="F317" i="5"/>
  <c r="H317" i="5" s="1"/>
  <c r="G316" i="5"/>
  <c r="F316" i="5"/>
  <c r="H316" i="5" s="1"/>
  <c r="F315" i="5"/>
  <c r="H314" i="5"/>
  <c r="G314" i="5"/>
  <c r="F314" i="5"/>
  <c r="H313" i="5"/>
  <c r="F313" i="5"/>
  <c r="G313" i="5" s="1"/>
  <c r="G312" i="5"/>
  <c r="F312" i="5"/>
  <c r="H312" i="5" s="1"/>
  <c r="H311" i="5"/>
  <c r="F311" i="5"/>
  <c r="G311" i="5" s="1"/>
  <c r="H310" i="5"/>
  <c r="F310" i="5"/>
  <c r="G310" i="5" s="1"/>
  <c r="G309" i="5"/>
  <c r="F309" i="5"/>
  <c r="H309" i="5" s="1"/>
  <c r="F308" i="5"/>
  <c r="H308" i="5" s="1"/>
  <c r="H307" i="5"/>
  <c r="F307" i="5"/>
  <c r="G307" i="5" s="1"/>
  <c r="H306" i="5"/>
  <c r="G306" i="5"/>
  <c r="F306" i="5"/>
  <c r="F305" i="5"/>
  <c r="H305" i="5" s="1"/>
  <c r="F304" i="5"/>
  <c r="H304" i="5" s="1"/>
  <c r="H303" i="5"/>
  <c r="F303" i="5"/>
  <c r="G303" i="5" s="1"/>
  <c r="H302" i="5"/>
  <c r="G302" i="5"/>
  <c r="F302" i="5"/>
  <c r="F301" i="5"/>
  <c r="H301" i="5" s="1"/>
  <c r="G300" i="5"/>
  <c r="F300" i="5"/>
  <c r="H300" i="5" s="1"/>
  <c r="F299" i="5"/>
  <c r="H299" i="5" s="1"/>
  <c r="H298" i="5"/>
  <c r="G298" i="5"/>
  <c r="F298" i="5"/>
  <c r="F297" i="5"/>
  <c r="H296" i="5"/>
  <c r="G296" i="5"/>
  <c r="F296" i="5"/>
  <c r="F295" i="5"/>
  <c r="G295" i="5" s="1"/>
  <c r="F294" i="5"/>
  <c r="G294" i="5" s="1"/>
  <c r="H293" i="5"/>
  <c r="G293" i="5"/>
  <c r="F293" i="5"/>
  <c r="F292" i="5"/>
  <c r="H292" i="5" s="1"/>
  <c r="H291" i="5"/>
  <c r="F291" i="5"/>
  <c r="G291" i="5" s="1"/>
  <c r="H290" i="5"/>
  <c r="G290" i="5"/>
  <c r="F290" i="5"/>
  <c r="F289" i="5"/>
  <c r="F288" i="5"/>
  <c r="H287" i="5"/>
  <c r="F287" i="5"/>
  <c r="G287" i="5" s="1"/>
  <c r="F286" i="5"/>
  <c r="F285" i="5"/>
  <c r="H285" i="5" s="1"/>
  <c r="G284" i="5"/>
  <c r="F284" i="5"/>
  <c r="H284" i="5" s="1"/>
  <c r="F283" i="5"/>
  <c r="H282" i="5"/>
  <c r="G282" i="5"/>
  <c r="F282" i="5"/>
  <c r="H281" i="5"/>
  <c r="F281" i="5"/>
  <c r="G281" i="5" s="1"/>
  <c r="G280" i="5"/>
  <c r="F280" i="5"/>
  <c r="H280" i="5" s="1"/>
  <c r="F279" i="5"/>
  <c r="G279" i="5" s="1"/>
  <c r="H278" i="5"/>
  <c r="F278" i="5"/>
  <c r="G278" i="5" s="1"/>
  <c r="G277" i="5"/>
  <c r="F277" i="5"/>
  <c r="H277" i="5" s="1"/>
  <c r="G276" i="5"/>
  <c r="F276" i="5"/>
  <c r="H276" i="5" s="1"/>
  <c r="H275" i="5"/>
  <c r="F275" i="5"/>
  <c r="G275" i="5" s="1"/>
  <c r="H274" i="5"/>
  <c r="G274" i="5"/>
  <c r="F274" i="5"/>
  <c r="G273" i="5"/>
  <c r="F273" i="5"/>
  <c r="H273" i="5" s="1"/>
  <c r="F272" i="5"/>
  <c r="H272" i="5" s="1"/>
  <c r="H271" i="5"/>
  <c r="F271" i="5"/>
  <c r="G271" i="5" s="1"/>
  <c r="F270" i="5"/>
  <c r="H270" i="5" s="1"/>
  <c r="F269" i="5"/>
  <c r="H269" i="5" s="1"/>
  <c r="G268" i="5"/>
  <c r="F268" i="5"/>
  <c r="H268" i="5" s="1"/>
  <c r="H267" i="5"/>
  <c r="G267" i="5"/>
  <c r="F267" i="5"/>
  <c r="H266" i="5"/>
  <c r="G266" i="5"/>
  <c r="F266" i="5"/>
  <c r="F265" i="5"/>
  <c r="H264" i="5"/>
  <c r="G264" i="5"/>
  <c r="F264" i="5"/>
  <c r="F263" i="5"/>
  <c r="G263" i="5" s="1"/>
  <c r="F262" i="5"/>
  <c r="H261" i="5"/>
  <c r="G261" i="5"/>
  <c r="F261" i="5"/>
  <c r="F260" i="5"/>
  <c r="H260" i="5" s="1"/>
  <c r="F259" i="5"/>
  <c r="G259" i="5" s="1"/>
  <c r="H258" i="5"/>
  <c r="G258" i="5"/>
  <c r="F258" i="5"/>
  <c r="F257" i="5"/>
  <c r="G256" i="5"/>
  <c r="F256" i="5"/>
  <c r="H256" i="5" s="1"/>
  <c r="H255" i="5"/>
  <c r="F255" i="5"/>
  <c r="G255" i="5" s="1"/>
  <c r="F254" i="5"/>
  <c r="G253" i="5"/>
  <c r="F253" i="5"/>
  <c r="H253" i="5" s="1"/>
  <c r="G252" i="5"/>
  <c r="F252" i="5"/>
  <c r="H252" i="5" s="1"/>
  <c r="F251" i="5"/>
  <c r="H250" i="5"/>
  <c r="G250" i="5"/>
  <c r="F250" i="5"/>
  <c r="H249" i="5"/>
  <c r="F249" i="5"/>
  <c r="G249" i="5" s="1"/>
  <c r="G248" i="5"/>
  <c r="F248" i="5"/>
  <c r="H248" i="5" s="1"/>
  <c r="H247" i="5"/>
  <c r="F247" i="5"/>
  <c r="G247" i="5" s="1"/>
  <c r="H246" i="5"/>
  <c r="F246" i="5"/>
  <c r="G246" i="5" s="1"/>
  <c r="G245" i="5"/>
  <c r="F245" i="5"/>
  <c r="H245" i="5" s="1"/>
  <c r="F244" i="5"/>
  <c r="H244" i="5" s="1"/>
  <c r="H243" i="5"/>
  <c r="F243" i="5"/>
  <c r="G243" i="5" s="1"/>
  <c r="H242" i="5"/>
  <c r="G242" i="5"/>
  <c r="F242" i="5"/>
  <c r="F241" i="5"/>
  <c r="H241" i="5" s="1"/>
  <c r="F240" i="5"/>
  <c r="H240" i="5" s="1"/>
  <c r="H239" i="5"/>
  <c r="F239" i="5"/>
  <c r="G239" i="5" s="1"/>
  <c r="G238" i="5"/>
  <c r="F238" i="5"/>
  <c r="H238" i="5" s="1"/>
  <c r="F237" i="5"/>
  <c r="H237" i="5" s="1"/>
  <c r="G236" i="5"/>
  <c r="F236" i="5"/>
  <c r="H236" i="5" s="1"/>
  <c r="F235" i="5"/>
  <c r="H235" i="5" s="1"/>
  <c r="H234" i="5"/>
  <c r="G234" i="5"/>
  <c r="F234" i="5"/>
  <c r="H233" i="5"/>
  <c r="F233" i="5"/>
  <c r="G233" i="5" s="1"/>
  <c r="H232" i="5"/>
  <c r="G232" i="5"/>
  <c r="F232" i="5"/>
  <c r="F231" i="5"/>
  <c r="G231" i="5" s="1"/>
  <c r="F230" i="5"/>
  <c r="H229" i="5"/>
  <c r="G229" i="5"/>
  <c r="F229" i="5"/>
  <c r="F228" i="5"/>
  <c r="H228" i="5" s="1"/>
  <c r="F227" i="5"/>
  <c r="H226" i="5"/>
  <c r="G226" i="5"/>
  <c r="F226" i="5"/>
  <c r="F225" i="5"/>
  <c r="F224" i="5"/>
  <c r="H224" i="5" s="1"/>
  <c r="H223" i="5"/>
  <c r="F223" i="5"/>
  <c r="G223" i="5" s="1"/>
  <c r="F222" i="5"/>
  <c r="G221" i="5"/>
  <c r="F221" i="5"/>
  <c r="H221" i="5" s="1"/>
  <c r="G220" i="5"/>
  <c r="F220" i="5"/>
  <c r="H220" i="5" s="1"/>
  <c r="F219" i="5"/>
  <c r="H218" i="5"/>
  <c r="G218" i="5"/>
  <c r="F218" i="5"/>
  <c r="H217" i="5"/>
  <c r="F217" i="5"/>
  <c r="G217" i="5" s="1"/>
  <c r="G216" i="5"/>
  <c r="F216" i="5"/>
  <c r="H216" i="5" s="1"/>
  <c r="F215" i="5"/>
  <c r="G215" i="5" s="1"/>
  <c r="H214" i="5"/>
  <c r="F214" i="5"/>
  <c r="G214" i="5" s="1"/>
  <c r="G213" i="5"/>
  <c r="F213" i="5"/>
  <c r="H213" i="5" s="1"/>
  <c r="G212" i="5"/>
  <c r="F212" i="5"/>
  <c r="H212" i="5" s="1"/>
  <c r="H211" i="5"/>
  <c r="F211" i="5"/>
  <c r="G211" i="5" s="1"/>
  <c r="H210" i="5"/>
  <c r="G210" i="5"/>
  <c r="F210" i="5"/>
  <c r="H209" i="5"/>
  <c r="G209" i="5"/>
  <c r="F209" i="5"/>
  <c r="F208" i="5"/>
  <c r="H208" i="5" s="1"/>
  <c r="H207" i="5"/>
  <c r="F207" i="5"/>
  <c r="G207" i="5" s="1"/>
  <c r="F206" i="5"/>
  <c r="H206" i="5" s="1"/>
  <c r="F205" i="5"/>
  <c r="H205" i="5" s="1"/>
  <c r="G204" i="5"/>
  <c r="F204" i="5"/>
  <c r="H204" i="5" s="1"/>
  <c r="G203" i="5"/>
  <c r="F203" i="5"/>
  <c r="H203" i="5" s="1"/>
  <c r="H202" i="5"/>
  <c r="G202" i="5"/>
  <c r="F202" i="5"/>
  <c r="F201" i="5"/>
  <c r="G201" i="5" s="1"/>
  <c r="H200" i="5"/>
  <c r="G200" i="5"/>
  <c r="F200" i="5"/>
  <c r="F199" i="5"/>
  <c r="G199" i="5" s="1"/>
  <c r="F198" i="5"/>
  <c r="G198" i="5" s="1"/>
  <c r="H197" i="5"/>
  <c r="G197" i="5"/>
  <c r="F197" i="5"/>
  <c r="F196" i="5"/>
  <c r="H196" i="5" s="1"/>
  <c r="F195" i="5"/>
  <c r="H194" i="5"/>
  <c r="G194" i="5"/>
  <c r="F194" i="5"/>
  <c r="F193" i="5"/>
  <c r="F192" i="5"/>
  <c r="H191" i="5"/>
  <c r="F191" i="5"/>
  <c r="G191" i="5" s="1"/>
  <c r="F190" i="5"/>
  <c r="G189" i="5"/>
  <c r="F189" i="5"/>
  <c r="H189" i="5" s="1"/>
  <c r="G188" i="5"/>
  <c r="F188" i="5"/>
  <c r="H188" i="5" s="1"/>
  <c r="F187" i="5"/>
  <c r="H186" i="5"/>
  <c r="G186" i="5"/>
  <c r="F186" i="5"/>
  <c r="H185" i="5"/>
  <c r="F185" i="5"/>
  <c r="G185" i="5" s="1"/>
  <c r="G184" i="5"/>
  <c r="F184" i="5"/>
  <c r="H184" i="5" s="1"/>
  <c r="H183" i="5"/>
  <c r="F183" i="5"/>
  <c r="G183" i="5" s="1"/>
  <c r="H182" i="5"/>
  <c r="F182" i="5"/>
  <c r="G182" i="5" s="1"/>
  <c r="G181" i="5"/>
  <c r="F181" i="5"/>
  <c r="H181" i="5" s="1"/>
  <c r="F180" i="5"/>
  <c r="H180" i="5" s="1"/>
  <c r="H179" i="5"/>
  <c r="F179" i="5"/>
  <c r="G179" i="5" s="1"/>
  <c r="H178" i="5"/>
  <c r="G178" i="5"/>
  <c r="F178" i="5"/>
  <c r="F177" i="5"/>
  <c r="H177" i="5" s="1"/>
  <c r="F176" i="5"/>
  <c r="H176" i="5" s="1"/>
  <c r="H175" i="5"/>
  <c r="F175" i="5"/>
  <c r="G175" i="5" s="1"/>
  <c r="H174" i="5"/>
  <c r="G174" i="5"/>
  <c r="F174" i="5"/>
  <c r="F173" i="5"/>
  <c r="H173" i="5" s="1"/>
  <c r="G172" i="5"/>
  <c r="F172" i="5"/>
  <c r="H172" i="5" s="1"/>
  <c r="F171" i="5"/>
  <c r="H171" i="5" s="1"/>
  <c r="H170" i="5"/>
  <c r="G170" i="5"/>
  <c r="F170" i="5"/>
  <c r="F169" i="5"/>
  <c r="H168" i="5"/>
  <c r="G168" i="5"/>
  <c r="F168" i="5"/>
  <c r="F167" i="5"/>
  <c r="G167" i="5" s="1"/>
  <c r="F166" i="5"/>
  <c r="G166" i="5" s="1"/>
  <c r="H165" i="5"/>
  <c r="G165" i="5"/>
  <c r="F165" i="5"/>
  <c r="F164" i="5"/>
  <c r="H164" i="5" s="1"/>
  <c r="H163" i="5"/>
  <c r="F163" i="5"/>
  <c r="G163" i="5" s="1"/>
  <c r="H162" i="5"/>
  <c r="G162" i="5"/>
  <c r="F162" i="5"/>
  <c r="F161" i="5"/>
  <c r="F160" i="5"/>
  <c r="H159" i="5"/>
  <c r="F159" i="5"/>
  <c r="G159" i="5" s="1"/>
  <c r="F158" i="5"/>
  <c r="F157" i="5"/>
  <c r="H157" i="5" s="1"/>
  <c r="G156" i="5"/>
  <c r="F156" i="5"/>
  <c r="H156" i="5" s="1"/>
  <c r="F155" i="5"/>
  <c r="H154" i="5"/>
  <c r="G154" i="5"/>
  <c r="F154" i="5"/>
  <c r="H153" i="5"/>
  <c r="F153" i="5"/>
  <c r="G153" i="5" s="1"/>
  <c r="G152" i="5"/>
  <c r="F152" i="5"/>
  <c r="H152" i="5" s="1"/>
  <c r="F151" i="5"/>
  <c r="G151" i="5" s="1"/>
  <c r="H150" i="5"/>
  <c r="F150" i="5"/>
  <c r="G150" i="5" s="1"/>
  <c r="G149" i="5"/>
  <c r="F149" i="5"/>
  <c r="H149" i="5" s="1"/>
  <c r="G148" i="5"/>
  <c r="F148" i="5"/>
  <c r="H148" i="5" s="1"/>
  <c r="H147" i="5"/>
  <c r="F147" i="5"/>
  <c r="G147" i="5" s="1"/>
  <c r="H146" i="5"/>
  <c r="G146" i="5"/>
  <c r="F146" i="5"/>
  <c r="G145" i="5"/>
  <c r="F145" i="5"/>
  <c r="H145" i="5" s="1"/>
  <c r="F144" i="5"/>
  <c r="H144" i="5" s="1"/>
  <c r="H143" i="5"/>
  <c r="F143" i="5"/>
  <c r="G143" i="5" s="1"/>
  <c r="F142" i="5"/>
  <c r="H142" i="5" s="1"/>
  <c r="F141" i="5"/>
  <c r="H141" i="5" s="1"/>
  <c r="G140" i="5"/>
  <c r="F140" i="5"/>
  <c r="H140" i="5" s="1"/>
  <c r="H139" i="5"/>
  <c r="G139" i="5"/>
  <c r="F139" i="5"/>
  <c r="H138" i="5"/>
  <c r="G138" i="5"/>
  <c r="F138" i="5"/>
  <c r="F137" i="5"/>
  <c r="H136" i="5"/>
  <c r="G136" i="5"/>
  <c r="F136" i="5"/>
  <c r="F135" i="5"/>
  <c r="G135" i="5" s="1"/>
  <c r="F134" i="5"/>
  <c r="H133" i="5"/>
  <c r="G133" i="5"/>
  <c r="F133" i="5"/>
  <c r="F132" i="5"/>
  <c r="H132" i="5" s="1"/>
  <c r="F131" i="5"/>
  <c r="G131" i="5" s="1"/>
  <c r="H130" i="5"/>
  <c r="G130" i="5"/>
  <c r="F130" i="5"/>
  <c r="F129" i="5"/>
  <c r="F128" i="5"/>
  <c r="H128" i="5" s="1"/>
  <c r="H127" i="5"/>
  <c r="F127" i="5"/>
  <c r="G127" i="5" s="1"/>
  <c r="F126" i="5"/>
  <c r="G125" i="5"/>
  <c r="F125" i="5"/>
  <c r="H125" i="5" s="1"/>
  <c r="G124" i="5"/>
  <c r="F124" i="5"/>
  <c r="H124" i="5" s="1"/>
  <c r="F123" i="5"/>
  <c r="H122" i="5"/>
  <c r="G122" i="5"/>
  <c r="F122" i="5"/>
  <c r="H121" i="5"/>
  <c r="F121" i="5"/>
  <c r="G121" i="5" s="1"/>
  <c r="G120" i="5"/>
  <c r="F120" i="5"/>
  <c r="H120" i="5" s="1"/>
  <c r="H119" i="5"/>
  <c r="F119" i="5"/>
  <c r="G119" i="5" s="1"/>
  <c r="H118" i="5"/>
  <c r="F118" i="5"/>
  <c r="G118" i="5" s="1"/>
  <c r="G117" i="5"/>
  <c r="F117" i="5"/>
  <c r="H117" i="5" s="1"/>
  <c r="G116" i="5"/>
  <c r="F116" i="5"/>
  <c r="H116" i="5" s="1"/>
  <c r="H115" i="5"/>
  <c r="F115" i="5"/>
  <c r="G115" i="5" s="1"/>
  <c r="H114" i="5"/>
  <c r="G114" i="5"/>
  <c r="F114" i="5"/>
  <c r="F113" i="5"/>
  <c r="F112" i="5"/>
  <c r="H112" i="5" s="1"/>
  <c r="H111" i="5"/>
  <c r="F111" i="5"/>
  <c r="G111" i="5" s="1"/>
  <c r="G110" i="5"/>
  <c r="F110" i="5"/>
  <c r="H110" i="5" s="1"/>
  <c r="F109" i="5"/>
  <c r="H109" i="5" s="1"/>
  <c r="G108" i="5"/>
  <c r="F108" i="5"/>
  <c r="H108" i="5" s="1"/>
  <c r="F107" i="5"/>
  <c r="H107" i="5" s="1"/>
  <c r="H106" i="5"/>
  <c r="G106" i="5"/>
  <c r="F106" i="5"/>
  <c r="F105" i="5"/>
  <c r="G105" i="5" s="1"/>
  <c r="H104" i="5"/>
  <c r="G104" i="5"/>
  <c r="F104" i="5"/>
  <c r="F103" i="5"/>
  <c r="G103" i="5" s="1"/>
  <c r="F102" i="5"/>
  <c r="H101" i="5"/>
  <c r="G101" i="5"/>
  <c r="F101" i="5"/>
  <c r="F100" i="5"/>
  <c r="H100" i="5" s="1"/>
  <c r="F99" i="5"/>
  <c r="H98" i="5"/>
  <c r="G98" i="5"/>
  <c r="F98" i="5"/>
  <c r="F97" i="5"/>
  <c r="F96" i="5"/>
  <c r="H96" i="5" s="1"/>
  <c r="H95" i="5"/>
  <c r="F95" i="5"/>
  <c r="G95" i="5" s="1"/>
  <c r="F94" i="5"/>
  <c r="F93" i="5"/>
  <c r="H93" i="5" s="1"/>
  <c r="G92" i="5"/>
  <c r="F92" i="5"/>
  <c r="H92" i="5" s="1"/>
  <c r="F91" i="5"/>
  <c r="H90" i="5"/>
  <c r="G90" i="5"/>
  <c r="F90" i="5"/>
  <c r="H89" i="5"/>
  <c r="G89" i="5"/>
  <c r="F89" i="5"/>
  <c r="G88" i="5"/>
  <c r="F88" i="5"/>
  <c r="H88" i="5" s="1"/>
  <c r="F87" i="5"/>
  <c r="H86" i="5"/>
  <c r="G86" i="5"/>
  <c r="F86" i="5"/>
  <c r="G85" i="5"/>
  <c r="F85" i="5"/>
  <c r="H85" i="5" s="1"/>
  <c r="G84" i="5"/>
  <c r="F84" i="5"/>
  <c r="H84" i="5" s="1"/>
  <c r="H83" i="5"/>
  <c r="G83" i="5"/>
  <c r="F83" i="5"/>
  <c r="H82" i="5"/>
  <c r="G82" i="5"/>
  <c r="F82" i="5"/>
  <c r="F81" i="5"/>
  <c r="F80" i="5"/>
  <c r="H80" i="5" s="1"/>
  <c r="H79" i="5"/>
  <c r="F79" i="5"/>
  <c r="G79" i="5" s="1"/>
  <c r="H78" i="5"/>
  <c r="F78" i="5"/>
  <c r="G78" i="5" s="1"/>
  <c r="F77" i="5"/>
  <c r="H77" i="5" s="1"/>
  <c r="G76" i="5"/>
  <c r="F76" i="5"/>
  <c r="H76" i="5" s="1"/>
  <c r="F75" i="5"/>
  <c r="H75" i="5" s="1"/>
  <c r="H74" i="5"/>
  <c r="G74" i="5"/>
  <c r="F74" i="5"/>
  <c r="H73" i="5"/>
  <c r="F73" i="5"/>
  <c r="G73" i="5" s="1"/>
  <c r="H72" i="5"/>
  <c r="G72" i="5"/>
  <c r="F72" i="5"/>
  <c r="F71" i="5"/>
  <c r="G71" i="5" s="1"/>
  <c r="F70" i="5"/>
  <c r="G70" i="5" s="1"/>
  <c r="H69" i="5"/>
  <c r="G69" i="5"/>
  <c r="F69" i="5"/>
  <c r="F68" i="5"/>
  <c r="H68" i="5" s="1"/>
  <c r="H67" i="5"/>
  <c r="F67" i="5"/>
  <c r="G67" i="5" s="1"/>
  <c r="H66" i="5"/>
  <c r="G66" i="5"/>
  <c r="F66" i="5"/>
  <c r="F65" i="5"/>
  <c r="G64" i="5"/>
  <c r="F64" i="5"/>
  <c r="H64" i="5" s="1"/>
  <c r="H63" i="5"/>
  <c r="F63" i="5"/>
  <c r="G63" i="5" s="1"/>
  <c r="F62" i="5"/>
  <c r="F61" i="5"/>
  <c r="G60" i="5"/>
  <c r="F60" i="5"/>
  <c r="H60" i="5" s="1"/>
  <c r="F59" i="5"/>
  <c r="H58" i="5"/>
  <c r="G58" i="5"/>
  <c r="F58" i="5"/>
  <c r="H57" i="5"/>
  <c r="G57" i="5"/>
  <c r="F57" i="5"/>
  <c r="G56" i="5"/>
  <c r="F56" i="5"/>
  <c r="H56" i="5" s="1"/>
  <c r="H55" i="5"/>
  <c r="F55" i="5"/>
  <c r="G55" i="5" s="1"/>
  <c r="H54" i="5"/>
  <c r="G54" i="5"/>
  <c r="F54" i="5"/>
  <c r="G53" i="5"/>
  <c r="F53" i="5"/>
  <c r="H53" i="5" s="1"/>
  <c r="G52" i="5"/>
  <c r="F52" i="5"/>
  <c r="H52" i="5" s="1"/>
  <c r="H51" i="5"/>
  <c r="G51" i="5"/>
  <c r="F51" i="5"/>
  <c r="H50" i="5"/>
  <c r="G50" i="5"/>
  <c r="F50" i="5"/>
  <c r="H49" i="5"/>
  <c r="G49" i="5"/>
  <c r="F49" i="5"/>
  <c r="F48" i="5"/>
  <c r="H48" i="5" s="1"/>
  <c r="H47" i="5"/>
  <c r="F47" i="5"/>
  <c r="G47" i="5" s="1"/>
  <c r="F46" i="5"/>
  <c r="H46" i="5" s="1"/>
  <c r="F45" i="5"/>
  <c r="H45" i="5" s="1"/>
  <c r="G44" i="5"/>
  <c r="F44" i="5"/>
  <c r="H44" i="5" s="1"/>
  <c r="G43" i="5"/>
  <c r="F43" i="5"/>
  <c r="H43" i="5" s="1"/>
  <c r="F42" i="5"/>
  <c r="H42" i="5" s="1"/>
  <c r="F41" i="5"/>
  <c r="G41" i="5" s="1"/>
  <c r="H40" i="5"/>
  <c r="G40" i="5"/>
  <c r="F40" i="5"/>
  <c r="F39" i="5"/>
  <c r="F38" i="5"/>
  <c r="H37" i="5"/>
  <c r="G37" i="5"/>
  <c r="F37" i="5"/>
  <c r="G36" i="5"/>
  <c r="F36" i="5"/>
  <c r="H36" i="5" s="1"/>
  <c r="F35" i="5"/>
  <c r="G35" i="5" s="1"/>
  <c r="F34" i="5"/>
  <c r="H34" i="5" s="1"/>
  <c r="H33" i="5"/>
  <c r="F33" i="5"/>
  <c r="G33" i="5" s="1"/>
  <c r="H32" i="5"/>
  <c r="G32" i="5"/>
  <c r="F32" i="5"/>
  <c r="F31" i="5"/>
  <c r="F30" i="5"/>
  <c r="H29" i="5"/>
  <c r="G29" i="5"/>
  <c r="F29" i="5"/>
  <c r="G28" i="5"/>
  <c r="F28" i="5"/>
  <c r="H28" i="5" s="1"/>
  <c r="F27" i="5"/>
  <c r="H27" i="5" s="1"/>
  <c r="F26" i="5"/>
  <c r="H26" i="5" s="1"/>
  <c r="F25" i="5"/>
  <c r="G25" i="5" s="1"/>
  <c r="H24" i="5"/>
  <c r="G24" i="5"/>
  <c r="F24" i="5"/>
  <c r="F23" i="5"/>
  <c r="F22" i="5"/>
  <c r="H22" i="5" s="1"/>
  <c r="H21" i="5"/>
  <c r="G21" i="5"/>
  <c r="F21" i="5"/>
  <c r="G20" i="5"/>
  <c r="F20" i="5"/>
  <c r="H20" i="5" s="1"/>
  <c r="F19" i="5"/>
  <c r="H19" i="5" s="1"/>
  <c r="F18" i="5"/>
  <c r="H18" i="5" s="1"/>
  <c r="F17" i="5"/>
  <c r="G17" i="5" s="1"/>
  <c r="H16" i="5"/>
  <c r="G16" i="5"/>
  <c r="F16" i="5"/>
  <c r="F15" i="5"/>
  <c r="G14" i="5"/>
  <c r="F14" i="5"/>
  <c r="H14" i="5" s="1"/>
  <c r="H13" i="5"/>
  <c r="G13" i="5"/>
  <c r="F13" i="5"/>
  <c r="G12" i="5"/>
  <c r="F12" i="5"/>
  <c r="H12" i="5" s="1"/>
  <c r="M8" i="5"/>
  <c r="L8" i="5"/>
  <c r="K8" i="5"/>
  <c r="J8" i="5"/>
  <c r="E8" i="5"/>
  <c r="D8" i="5"/>
  <c r="F8" i="5" s="1"/>
  <c r="H8" i="5" s="1"/>
  <c r="K8" i="4"/>
  <c r="J8" i="4"/>
  <c r="L8" i="4" s="1"/>
  <c r="E8" i="4"/>
  <c r="D8" i="4"/>
  <c r="C8" i="4"/>
  <c r="F8" i="4" s="1"/>
  <c r="H8" i="4" s="1"/>
  <c r="H381" i="2"/>
  <c r="G381" i="2"/>
  <c r="F381" i="2"/>
  <c r="H380" i="2"/>
  <c r="F380" i="2"/>
  <c r="G380" i="2" s="1"/>
  <c r="H379" i="2"/>
  <c r="G379" i="2"/>
  <c r="F379" i="2"/>
  <c r="H378" i="2"/>
  <c r="F378" i="2"/>
  <c r="G378" i="2" s="1"/>
  <c r="F377" i="2"/>
  <c r="H376" i="2"/>
  <c r="G376" i="2"/>
  <c r="F376" i="2"/>
  <c r="G375" i="2"/>
  <c r="F375" i="2"/>
  <c r="H375" i="2" s="1"/>
  <c r="F374" i="2"/>
  <c r="G374" i="2" s="1"/>
  <c r="H373" i="2"/>
  <c r="G373" i="2"/>
  <c r="F373" i="2"/>
  <c r="F372" i="2"/>
  <c r="G371" i="2"/>
  <c r="F371" i="2"/>
  <c r="H371" i="2" s="1"/>
  <c r="H370" i="2"/>
  <c r="F370" i="2"/>
  <c r="G370" i="2" s="1"/>
  <c r="F369" i="2"/>
  <c r="F368" i="2"/>
  <c r="H368" i="2" s="1"/>
  <c r="G367" i="2"/>
  <c r="F367" i="2"/>
  <c r="H367" i="2" s="1"/>
  <c r="F366" i="2"/>
  <c r="H365" i="2"/>
  <c r="G365" i="2"/>
  <c r="F365" i="2"/>
  <c r="H364" i="2"/>
  <c r="F364" i="2"/>
  <c r="G364" i="2" s="1"/>
  <c r="G363" i="2"/>
  <c r="F363" i="2"/>
  <c r="H363" i="2" s="1"/>
  <c r="F362" i="2"/>
  <c r="G362" i="2" s="1"/>
  <c r="H361" i="2"/>
  <c r="F361" i="2"/>
  <c r="G361" i="2" s="1"/>
  <c r="G360" i="2"/>
  <c r="F360" i="2"/>
  <c r="H360" i="2" s="1"/>
  <c r="F359" i="2"/>
  <c r="H359" i="2" s="1"/>
  <c r="H358" i="2"/>
  <c r="F358" i="2"/>
  <c r="G358" i="2" s="1"/>
  <c r="H357" i="2"/>
  <c r="G357" i="2"/>
  <c r="F357" i="2"/>
  <c r="F356" i="2"/>
  <c r="H356" i="2" s="1"/>
  <c r="G355" i="2"/>
  <c r="F355" i="2"/>
  <c r="H355" i="2" s="1"/>
  <c r="H354" i="2"/>
  <c r="F354" i="2"/>
  <c r="G354" i="2" s="1"/>
  <c r="F353" i="2"/>
  <c r="H353" i="2" s="1"/>
  <c r="G352" i="2"/>
  <c r="F352" i="2"/>
  <c r="H352" i="2" s="1"/>
  <c r="G351" i="2"/>
  <c r="F351" i="2"/>
  <c r="H351" i="2" s="1"/>
  <c r="H350" i="2"/>
  <c r="F350" i="2"/>
  <c r="G350" i="2" s="1"/>
  <c r="H349" i="2"/>
  <c r="G349" i="2"/>
  <c r="F349" i="2"/>
  <c r="F348" i="2"/>
  <c r="G348" i="2" s="1"/>
  <c r="H347" i="2"/>
  <c r="G347" i="2"/>
  <c r="F347" i="2"/>
  <c r="H346" i="2"/>
  <c r="F346" i="2"/>
  <c r="G346" i="2" s="1"/>
  <c r="F345" i="2"/>
  <c r="G345" i="2" s="1"/>
  <c r="H344" i="2"/>
  <c r="G344" i="2"/>
  <c r="F344" i="2"/>
  <c r="F343" i="2"/>
  <c r="H343" i="2" s="1"/>
  <c r="F342" i="2"/>
  <c r="G342" i="2" s="1"/>
  <c r="H341" i="2"/>
  <c r="G341" i="2"/>
  <c r="F341" i="2"/>
  <c r="F340" i="2"/>
  <c r="F339" i="2"/>
  <c r="H339" i="2" s="1"/>
  <c r="H338" i="2"/>
  <c r="F338" i="2"/>
  <c r="G338" i="2" s="1"/>
  <c r="F337" i="2"/>
  <c r="F336" i="2"/>
  <c r="H336" i="2" s="1"/>
  <c r="G335" i="2"/>
  <c r="F335" i="2"/>
  <c r="H335" i="2" s="1"/>
  <c r="F334" i="2"/>
  <c r="H333" i="2"/>
  <c r="G333" i="2"/>
  <c r="F333" i="2"/>
  <c r="H332" i="2"/>
  <c r="F332" i="2"/>
  <c r="G332" i="2" s="1"/>
  <c r="G331" i="2"/>
  <c r="F331" i="2"/>
  <c r="H331" i="2" s="1"/>
  <c r="F330" i="2"/>
  <c r="G330" i="2" s="1"/>
  <c r="H329" i="2"/>
  <c r="F329" i="2"/>
  <c r="G329" i="2" s="1"/>
  <c r="G328" i="2"/>
  <c r="F328" i="2"/>
  <c r="H328" i="2" s="1"/>
  <c r="G327" i="2"/>
  <c r="F327" i="2"/>
  <c r="H327" i="2" s="1"/>
  <c r="H326" i="2"/>
  <c r="F326" i="2"/>
  <c r="G326" i="2" s="1"/>
  <c r="H325" i="2"/>
  <c r="G325" i="2"/>
  <c r="F325" i="2"/>
  <c r="H324" i="2"/>
  <c r="G324" i="2"/>
  <c r="F324" i="2"/>
  <c r="F323" i="2"/>
  <c r="H323" i="2" s="1"/>
  <c r="H322" i="2"/>
  <c r="F322" i="2"/>
  <c r="G322" i="2" s="1"/>
  <c r="F321" i="2"/>
  <c r="G321" i="2" s="1"/>
  <c r="F320" i="2"/>
  <c r="H320" i="2" s="1"/>
  <c r="G319" i="2"/>
  <c r="F319" i="2"/>
  <c r="H319" i="2" s="1"/>
  <c r="G318" i="2"/>
  <c r="F318" i="2"/>
  <c r="H318" i="2" s="1"/>
  <c r="H317" i="2"/>
  <c r="G317" i="2"/>
  <c r="F317" i="2"/>
  <c r="F316" i="2"/>
  <c r="G316" i="2" s="1"/>
  <c r="H315" i="2"/>
  <c r="G315" i="2"/>
  <c r="F315" i="2"/>
  <c r="H314" i="2"/>
  <c r="F314" i="2"/>
  <c r="G314" i="2" s="1"/>
  <c r="H313" i="2"/>
  <c r="F313" i="2"/>
  <c r="G313" i="2" s="1"/>
  <c r="H312" i="2"/>
  <c r="G312" i="2"/>
  <c r="F312" i="2"/>
  <c r="F311" i="2"/>
  <c r="H311" i="2" s="1"/>
  <c r="F310" i="2"/>
  <c r="G310" i="2" s="1"/>
  <c r="H309" i="2"/>
  <c r="G309" i="2"/>
  <c r="F309" i="2"/>
  <c r="F308" i="2"/>
  <c r="G307" i="2"/>
  <c r="F307" i="2"/>
  <c r="H307" i="2" s="1"/>
  <c r="H306" i="2"/>
  <c r="F306" i="2"/>
  <c r="G306" i="2" s="1"/>
  <c r="F305" i="2"/>
  <c r="F304" i="2"/>
  <c r="H304" i="2" s="1"/>
  <c r="G303" i="2"/>
  <c r="F303" i="2"/>
  <c r="H303" i="2" s="1"/>
  <c r="F302" i="2"/>
  <c r="H301" i="2"/>
  <c r="G301" i="2"/>
  <c r="F301" i="2"/>
  <c r="H300" i="2"/>
  <c r="F300" i="2"/>
  <c r="G300" i="2" s="1"/>
  <c r="G299" i="2"/>
  <c r="F299" i="2"/>
  <c r="H299" i="2" s="1"/>
  <c r="F298" i="2"/>
  <c r="G298" i="2" s="1"/>
  <c r="H297" i="2"/>
  <c r="F297" i="2"/>
  <c r="G297" i="2" s="1"/>
  <c r="G296" i="2"/>
  <c r="F296" i="2"/>
  <c r="H296" i="2" s="1"/>
  <c r="F295" i="2"/>
  <c r="H295" i="2" s="1"/>
  <c r="H294" i="2"/>
  <c r="F294" i="2"/>
  <c r="G294" i="2" s="1"/>
  <c r="H293" i="2"/>
  <c r="G293" i="2"/>
  <c r="F293" i="2"/>
  <c r="F292" i="2"/>
  <c r="H292" i="2" s="1"/>
  <c r="F291" i="2"/>
  <c r="H291" i="2" s="1"/>
  <c r="H290" i="2"/>
  <c r="F290" i="2"/>
  <c r="G290" i="2" s="1"/>
  <c r="H289" i="2"/>
  <c r="F289" i="2"/>
  <c r="G289" i="2" s="1"/>
  <c r="F288" i="2"/>
  <c r="H288" i="2" s="1"/>
  <c r="G287" i="2"/>
  <c r="F287" i="2"/>
  <c r="H287" i="2" s="1"/>
  <c r="F286" i="2"/>
  <c r="H285" i="2"/>
  <c r="G285" i="2"/>
  <c r="F285" i="2"/>
  <c r="H284" i="2"/>
  <c r="F284" i="2"/>
  <c r="G284" i="2" s="1"/>
  <c r="H283" i="2"/>
  <c r="G283" i="2"/>
  <c r="F283" i="2"/>
  <c r="F282" i="2"/>
  <c r="G282" i="2" s="1"/>
  <c r="F281" i="2"/>
  <c r="G281" i="2" s="1"/>
  <c r="H280" i="2"/>
  <c r="G280" i="2"/>
  <c r="F280" i="2"/>
  <c r="F279" i="2"/>
  <c r="G278" i="2"/>
  <c r="F278" i="2"/>
  <c r="H278" i="2" s="1"/>
  <c r="H277" i="2"/>
  <c r="F277" i="2"/>
  <c r="G277" i="2" s="1"/>
  <c r="G276" i="2"/>
  <c r="F276" i="2"/>
  <c r="H276" i="2" s="1"/>
  <c r="F275" i="2"/>
  <c r="F274" i="2"/>
  <c r="H274" i="2" s="1"/>
  <c r="F273" i="2"/>
  <c r="G273" i="2" s="1"/>
  <c r="H272" i="2"/>
  <c r="G272" i="2"/>
  <c r="F272" i="2"/>
  <c r="F271" i="2"/>
  <c r="G270" i="2"/>
  <c r="F270" i="2"/>
  <c r="H270" i="2" s="1"/>
  <c r="H269" i="2"/>
  <c r="F269" i="2"/>
  <c r="G269" i="2" s="1"/>
  <c r="G268" i="2"/>
  <c r="F268" i="2"/>
  <c r="H268" i="2" s="1"/>
  <c r="F267" i="2"/>
  <c r="F266" i="2"/>
  <c r="H266" i="2" s="1"/>
  <c r="F265" i="2"/>
  <c r="G265" i="2" s="1"/>
  <c r="H264" i="2"/>
  <c r="G264" i="2"/>
  <c r="F264" i="2"/>
  <c r="F263" i="2"/>
  <c r="G262" i="2"/>
  <c r="F262" i="2"/>
  <c r="H262" i="2" s="1"/>
  <c r="H261" i="2"/>
  <c r="F261" i="2"/>
  <c r="G261" i="2" s="1"/>
  <c r="G260" i="2"/>
  <c r="F260" i="2"/>
  <c r="H260" i="2" s="1"/>
  <c r="F259" i="2"/>
  <c r="F258" i="2"/>
  <c r="H258" i="2" s="1"/>
  <c r="F257" i="2"/>
  <c r="G257" i="2" s="1"/>
  <c r="H256" i="2"/>
  <c r="G256" i="2"/>
  <c r="F256" i="2"/>
  <c r="F255" i="2"/>
  <c r="G254" i="2"/>
  <c r="F254" i="2"/>
  <c r="H254" i="2" s="1"/>
  <c r="H253" i="2"/>
  <c r="F253" i="2"/>
  <c r="G253" i="2" s="1"/>
  <c r="G252" i="2"/>
  <c r="F252" i="2"/>
  <c r="H252" i="2" s="1"/>
  <c r="F251" i="2"/>
  <c r="F250" i="2"/>
  <c r="H250" i="2" s="1"/>
  <c r="F249" i="2"/>
  <c r="G249" i="2" s="1"/>
  <c r="H248" i="2"/>
  <c r="G248" i="2"/>
  <c r="F248" i="2"/>
  <c r="F247" i="2"/>
  <c r="G246" i="2"/>
  <c r="F246" i="2"/>
  <c r="H246" i="2" s="1"/>
  <c r="H245" i="2"/>
  <c r="F245" i="2"/>
  <c r="G245" i="2" s="1"/>
  <c r="G244" i="2"/>
  <c r="F244" i="2"/>
  <c r="H244" i="2" s="1"/>
  <c r="F243" i="2"/>
  <c r="F242" i="2"/>
  <c r="H242" i="2" s="1"/>
  <c r="F241" i="2"/>
  <c r="G241" i="2" s="1"/>
  <c r="H240" i="2"/>
  <c r="G240" i="2"/>
  <c r="F240" i="2"/>
  <c r="F239" i="2"/>
  <c r="G238" i="2"/>
  <c r="F238" i="2"/>
  <c r="H238" i="2" s="1"/>
  <c r="H237" i="2"/>
  <c r="F237" i="2"/>
  <c r="G237" i="2" s="1"/>
  <c r="G236" i="2"/>
  <c r="F236" i="2"/>
  <c r="H236" i="2" s="1"/>
  <c r="F235" i="2"/>
  <c r="H235" i="2" s="1"/>
  <c r="F234" i="2"/>
  <c r="H234" i="2" s="1"/>
  <c r="F233" i="2"/>
  <c r="G233" i="2" s="1"/>
  <c r="H232" i="2"/>
  <c r="G232" i="2"/>
  <c r="F232" i="2"/>
  <c r="F231" i="2"/>
  <c r="H230" i="2"/>
  <c r="F230" i="2"/>
  <c r="G230" i="2" s="1"/>
  <c r="H229" i="2"/>
  <c r="F229" i="2"/>
  <c r="G229" i="2" s="1"/>
  <c r="F228" i="2"/>
  <c r="H228" i="2" s="1"/>
  <c r="H227" i="2"/>
  <c r="G227" i="2"/>
  <c r="F227" i="2"/>
  <c r="F226" i="2"/>
  <c r="H226" i="2" s="1"/>
  <c r="G225" i="2"/>
  <c r="F225" i="2"/>
  <c r="H225" i="2" s="1"/>
  <c r="H224" i="2"/>
  <c r="G224" i="2"/>
  <c r="F224" i="2"/>
  <c r="F223" i="2"/>
  <c r="F222" i="2"/>
  <c r="H222" i="2" s="1"/>
  <c r="H221" i="2"/>
  <c r="F221" i="2"/>
  <c r="G221" i="2" s="1"/>
  <c r="G220" i="2"/>
  <c r="F220" i="2"/>
  <c r="H220" i="2" s="1"/>
  <c r="F219" i="2"/>
  <c r="H219" i="2" s="1"/>
  <c r="F218" i="2"/>
  <c r="H218" i="2" s="1"/>
  <c r="F217" i="2"/>
  <c r="H216" i="2"/>
  <c r="G216" i="2"/>
  <c r="F216" i="2"/>
  <c r="F215" i="2"/>
  <c r="F214" i="2"/>
  <c r="H214" i="2" s="1"/>
  <c r="H213" i="2"/>
  <c r="F213" i="2"/>
  <c r="G213" i="2" s="1"/>
  <c r="G212" i="2"/>
  <c r="F212" i="2"/>
  <c r="H212" i="2" s="1"/>
  <c r="G211" i="2"/>
  <c r="F211" i="2"/>
  <c r="H211" i="2" s="1"/>
  <c r="F210" i="2"/>
  <c r="H210" i="2" s="1"/>
  <c r="H209" i="2"/>
  <c r="G209" i="2"/>
  <c r="F209" i="2"/>
  <c r="H208" i="2"/>
  <c r="G208" i="2"/>
  <c r="F208" i="2"/>
  <c r="F207" i="2"/>
  <c r="F206" i="2"/>
  <c r="H206" i="2" s="1"/>
  <c r="H205" i="2"/>
  <c r="F205" i="2"/>
  <c r="G205" i="2" s="1"/>
  <c r="F204" i="2"/>
  <c r="H204" i="2" s="1"/>
  <c r="F203" i="2"/>
  <c r="F202" i="2"/>
  <c r="H202" i="2" s="1"/>
  <c r="F201" i="2"/>
  <c r="H201" i="2" s="1"/>
  <c r="H200" i="2"/>
  <c r="G200" i="2"/>
  <c r="F200" i="2"/>
  <c r="F199" i="2"/>
  <c r="H198" i="2"/>
  <c r="F198" i="2"/>
  <c r="G198" i="2" s="1"/>
  <c r="H197" i="2"/>
  <c r="F197" i="2"/>
  <c r="G197" i="2" s="1"/>
  <c r="F196" i="2"/>
  <c r="H196" i="2" s="1"/>
  <c r="H195" i="2"/>
  <c r="G195" i="2"/>
  <c r="F195" i="2"/>
  <c r="G194" i="2"/>
  <c r="F194" i="2"/>
  <c r="H194" i="2" s="1"/>
  <c r="F193" i="2"/>
  <c r="H193" i="2" s="1"/>
  <c r="H192" i="2"/>
  <c r="G192" i="2"/>
  <c r="F192" i="2"/>
  <c r="F191" i="2"/>
  <c r="H191" i="2" s="1"/>
  <c r="F190" i="2"/>
  <c r="H189" i="2"/>
  <c r="F189" i="2"/>
  <c r="G189" i="2" s="1"/>
  <c r="F188" i="2"/>
  <c r="H188" i="2" s="1"/>
  <c r="F187" i="2"/>
  <c r="G186" i="2"/>
  <c r="F186" i="2"/>
  <c r="H186" i="2" s="1"/>
  <c r="F185" i="2"/>
  <c r="H185" i="2" s="1"/>
  <c r="H184" i="2"/>
  <c r="G184" i="2"/>
  <c r="F184" i="2"/>
  <c r="H183" i="2"/>
  <c r="G183" i="2"/>
  <c r="F183" i="2"/>
  <c r="G182" i="2"/>
  <c r="F182" i="2"/>
  <c r="H182" i="2" s="1"/>
  <c r="F181" i="2"/>
  <c r="H180" i="2"/>
  <c r="G180" i="2"/>
  <c r="F180" i="2"/>
  <c r="G179" i="2"/>
  <c r="F179" i="2"/>
  <c r="H179" i="2" s="1"/>
  <c r="F178" i="2"/>
  <c r="H177" i="2"/>
  <c r="G177" i="2"/>
  <c r="F177" i="2"/>
  <c r="H176" i="2"/>
  <c r="G176" i="2"/>
  <c r="F176" i="2"/>
  <c r="F175" i="2"/>
  <c r="H175" i="2" s="1"/>
  <c r="F174" i="2"/>
  <c r="H174" i="2" s="1"/>
  <c r="H173" i="2"/>
  <c r="F173" i="2"/>
  <c r="G173" i="2" s="1"/>
  <c r="F172" i="2"/>
  <c r="H172" i="2" s="1"/>
  <c r="F171" i="2"/>
  <c r="H171" i="2" s="1"/>
  <c r="G170" i="2"/>
  <c r="F170" i="2"/>
  <c r="H170" i="2" s="1"/>
  <c r="F169" i="2"/>
  <c r="H169" i="2" s="1"/>
  <c r="H168" i="2"/>
  <c r="G168" i="2"/>
  <c r="F168" i="2"/>
  <c r="F167" i="2"/>
  <c r="H167" i="2" s="1"/>
  <c r="H166" i="2"/>
  <c r="G166" i="2"/>
  <c r="F166" i="2"/>
  <c r="F165" i="2"/>
  <c r="G165" i="2" s="1"/>
  <c r="F164" i="2"/>
  <c r="H164" i="2" s="1"/>
  <c r="H163" i="2"/>
  <c r="G163" i="2"/>
  <c r="F163" i="2"/>
  <c r="F162" i="2"/>
  <c r="H162" i="2" s="1"/>
  <c r="F161" i="2"/>
  <c r="H161" i="2" s="1"/>
  <c r="H160" i="2"/>
  <c r="G160" i="2"/>
  <c r="F160" i="2"/>
  <c r="F159" i="2"/>
  <c r="H159" i="2" s="1"/>
  <c r="F158" i="2"/>
  <c r="H157" i="2"/>
  <c r="F157" i="2"/>
  <c r="G157" i="2" s="1"/>
  <c r="F156" i="2"/>
  <c r="H156" i="2" s="1"/>
  <c r="F155" i="2"/>
  <c r="G154" i="2"/>
  <c r="F154" i="2"/>
  <c r="H154" i="2" s="1"/>
  <c r="F153" i="2"/>
  <c r="H153" i="2" s="1"/>
  <c r="H152" i="2"/>
  <c r="G152" i="2"/>
  <c r="F152" i="2"/>
  <c r="H151" i="2"/>
  <c r="G151" i="2"/>
  <c r="F151" i="2"/>
  <c r="G150" i="2"/>
  <c r="F150" i="2"/>
  <c r="H150" i="2" s="1"/>
  <c r="F149" i="2"/>
  <c r="H148" i="2"/>
  <c r="G148" i="2"/>
  <c r="F148" i="2"/>
  <c r="G147" i="2"/>
  <c r="F147" i="2"/>
  <c r="H147" i="2" s="1"/>
  <c r="F146" i="2"/>
  <c r="H145" i="2"/>
  <c r="G145" i="2"/>
  <c r="F145" i="2"/>
  <c r="H144" i="2"/>
  <c r="G144" i="2"/>
  <c r="F144" i="2"/>
  <c r="F143" i="2"/>
  <c r="H143" i="2" s="1"/>
  <c r="F142" i="2"/>
  <c r="H142" i="2" s="1"/>
  <c r="H141" i="2"/>
  <c r="F141" i="2"/>
  <c r="G141" i="2" s="1"/>
  <c r="F140" i="2"/>
  <c r="H140" i="2" s="1"/>
  <c r="F139" i="2"/>
  <c r="H139" i="2" s="1"/>
  <c r="G138" i="2"/>
  <c r="F138" i="2"/>
  <c r="H138" i="2" s="1"/>
  <c r="F137" i="2"/>
  <c r="H137" i="2" s="1"/>
  <c r="H136" i="2"/>
  <c r="G136" i="2"/>
  <c r="F136" i="2"/>
  <c r="F135" i="2"/>
  <c r="H135" i="2" s="1"/>
  <c r="H134" i="2"/>
  <c r="G134" i="2"/>
  <c r="F134" i="2"/>
  <c r="F133" i="2"/>
  <c r="G133" i="2" s="1"/>
  <c r="F132" i="2"/>
  <c r="H132" i="2" s="1"/>
  <c r="H131" i="2"/>
  <c r="G131" i="2"/>
  <c r="F131" i="2"/>
  <c r="F130" i="2"/>
  <c r="H130" i="2" s="1"/>
  <c r="F129" i="2"/>
  <c r="H129" i="2" s="1"/>
  <c r="H128" i="2"/>
  <c r="G128" i="2"/>
  <c r="F128" i="2"/>
  <c r="F127" i="2"/>
  <c r="H127" i="2" s="1"/>
  <c r="F126" i="2"/>
  <c r="H125" i="2"/>
  <c r="F125" i="2"/>
  <c r="G125" i="2" s="1"/>
  <c r="F124" i="2"/>
  <c r="H124" i="2" s="1"/>
  <c r="F123" i="2"/>
  <c r="G122" i="2"/>
  <c r="F122" i="2"/>
  <c r="H122" i="2" s="1"/>
  <c r="F121" i="2"/>
  <c r="H121" i="2" s="1"/>
  <c r="H120" i="2"/>
  <c r="G120" i="2"/>
  <c r="F120" i="2"/>
  <c r="H119" i="2"/>
  <c r="G119" i="2"/>
  <c r="F119" i="2"/>
  <c r="G118" i="2"/>
  <c r="F118" i="2"/>
  <c r="H118" i="2" s="1"/>
  <c r="F117" i="2"/>
  <c r="H116" i="2"/>
  <c r="G116" i="2"/>
  <c r="F116" i="2"/>
  <c r="G115" i="2"/>
  <c r="F115" i="2"/>
  <c r="H115" i="2" s="1"/>
  <c r="F114" i="2"/>
  <c r="H113" i="2"/>
  <c r="G113" i="2"/>
  <c r="F113" i="2"/>
  <c r="H112" i="2"/>
  <c r="G112" i="2"/>
  <c r="F112" i="2"/>
  <c r="F111" i="2"/>
  <c r="H111" i="2" s="1"/>
  <c r="F110" i="2"/>
  <c r="H110" i="2" s="1"/>
  <c r="H109" i="2"/>
  <c r="F109" i="2"/>
  <c r="G109" i="2" s="1"/>
  <c r="F108" i="2"/>
  <c r="H108" i="2" s="1"/>
  <c r="F107" i="2"/>
  <c r="H107" i="2" s="1"/>
  <c r="G106" i="2"/>
  <c r="F106" i="2"/>
  <c r="H106" i="2" s="1"/>
  <c r="F105" i="2"/>
  <c r="H105" i="2" s="1"/>
  <c r="H104" i="2"/>
  <c r="G104" i="2"/>
  <c r="F104" i="2"/>
  <c r="F103" i="2"/>
  <c r="H103" i="2" s="1"/>
  <c r="H102" i="2"/>
  <c r="G102" i="2"/>
  <c r="F102" i="2"/>
  <c r="F101" i="2"/>
  <c r="G101" i="2" s="1"/>
  <c r="F100" i="2"/>
  <c r="H100" i="2" s="1"/>
  <c r="H99" i="2"/>
  <c r="G99" i="2"/>
  <c r="F99" i="2"/>
  <c r="F98" i="2"/>
  <c r="H98" i="2" s="1"/>
  <c r="F97" i="2"/>
  <c r="H97" i="2" s="1"/>
  <c r="H96" i="2"/>
  <c r="G96" i="2"/>
  <c r="F96" i="2"/>
  <c r="F95" i="2"/>
  <c r="H95" i="2" s="1"/>
  <c r="F94" i="2"/>
  <c r="H93" i="2"/>
  <c r="F93" i="2"/>
  <c r="G93" i="2" s="1"/>
  <c r="F92" i="2"/>
  <c r="H92" i="2" s="1"/>
  <c r="F91" i="2"/>
  <c r="G90" i="2"/>
  <c r="F90" i="2"/>
  <c r="H90" i="2" s="1"/>
  <c r="F89" i="2"/>
  <c r="H89" i="2" s="1"/>
  <c r="H88" i="2"/>
  <c r="G88" i="2"/>
  <c r="F88" i="2"/>
  <c r="H87" i="2"/>
  <c r="G87" i="2"/>
  <c r="F87" i="2"/>
  <c r="G86" i="2"/>
  <c r="F86" i="2"/>
  <c r="H86" i="2" s="1"/>
  <c r="F85" i="2"/>
  <c r="H84" i="2"/>
  <c r="G84" i="2"/>
  <c r="F84" i="2"/>
  <c r="G83" i="2"/>
  <c r="F83" i="2"/>
  <c r="H83" i="2" s="1"/>
  <c r="F82" i="2"/>
  <c r="H81" i="2"/>
  <c r="G81" i="2"/>
  <c r="F81" i="2"/>
  <c r="G80" i="2"/>
  <c r="F80" i="2"/>
  <c r="H80" i="2" s="1"/>
  <c r="F79" i="2"/>
  <c r="H79" i="2" s="1"/>
  <c r="H78" i="2"/>
  <c r="F78" i="2"/>
  <c r="G78" i="2" s="1"/>
  <c r="F77" i="2"/>
  <c r="H77" i="2" s="1"/>
  <c r="H76" i="2"/>
  <c r="G76" i="2"/>
  <c r="F76" i="2"/>
  <c r="F75" i="2"/>
  <c r="H75" i="2" s="1"/>
  <c r="F74" i="2"/>
  <c r="H73" i="2"/>
  <c r="G73" i="2"/>
  <c r="F73" i="2"/>
  <c r="G72" i="2"/>
  <c r="F72" i="2"/>
  <c r="H72" i="2" s="1"/>
  <c r="F71" i="2"/>
  <c r="H71" i="2" s="1"/>
  <c r="H70" i="2"/>
  <c r="F70" i="2"/>
  <c r="G70" i="2" s="1"/>
  <c r="F69" i="2"/>
  <c r="H69" i="2" s="1"/>
  <c r="H68" i="2"/>
  <c r="G68" i="2"/>
  <c r="F68" i="2"/>
  <c r="F67" i="2"/>
  <c r="H67" i="2" s="1"/>
  <c r="F66" i="2"/>
  <c r="H65" i="2"/>
  <c r="G65" i="2"/>
  <c r="F65" i="2"/>
  <c r="G64" i="2"/>
  <c r="F64" i="2"/>
  <c r="H64" i="2" s="1"/>
  <c r="F63" i="2"/>
  <c r="H63" i="2" s="1"/>
  <c r="H62" i="2"/>
  <c r="F62" i="2"/>
  <c r="G62" i="2" s="1"/>
  <c r="F61" i="2"/>
  <c r="H61" i="2" s="1"/>
  <c r="H60" i="2"/>
  <c r="G60" i="2"/>
  <c r="F60" i="2"/>
  <c r="F59" i="2"/>
  <c r="H59" i="2" s="1"/>
  <c r="F58" i="2"/>
  <c r="H57" i="2"/>
  <c r="G57" i="2"/>
  <c r="F57" i="2"/>
  <c r="G56" i="2"/>
  <c r="F56" i="2"/>
  <c r="H56" i="2" s="1"/>
  <c r="F55" i="2"/>
  <c r="H55" i="2" s="1"/>
  <c r="H54" i="2"/>
  <c r="F54" i="2"/>
  <c r="G54" i="2" s="1"/>
  <c r="F53" i="2"/>
  <c r="H53" i="2" s="1"/>
  <c r="H52" i="2"/>
  <c r="G52" i="2"/>
  <c r="F52" i="2"/>
  <c r="F51" i="2"/>
  <c r="H51" i="2" s="1"/>
  <c r="F50" i="2"/>
  <c r="H49" i="2"/>
  <c r="G49" i="2"/>
  <c r="F49" i="2"/>
  <c r="G48" i="2"/>
  <c r="F48" i="2"/>
  <c r="H48" i="2" s="1"/>
  <c r="G47" i="2"/>
  <c r="F47" i="2"/>
  <c r="H47" i="2" s="1"/>
  <c r="H46" i="2"/>
  <c r="F46" i="2"/>
  <c r="G46" i="2" s="1"/>
  <c r="F45" i="2"/>
  <c r="H45" i="2" s="1"/>
  <c r="H44" i="2"/>
  <c r="G44" i="2"/>
  <c r="F44" i="2"/>
  <c r="F43" i="2"/>
  <c r="H43" i="2" s="1"/>
  <c r="F42" i="2"/>
  <c r="H41" i="2"/>
  <c r="G41" i="2"/>
  <c r="F41" i="2"/>
  <c r="G40" i="2"/>
  <c r="F40" i="2"/>
  <c r="H40" i="2" s="1"/>
  <c r="F39" i="2"/>
  <c r="H39" i="2" s="1"/>
  <c r="H38" i="2"/>
  <c r="F38" i="2"/>
  <c r="G38" i="2" s="1"/>
  <c r="F37" i="2"/>
  <c r="H37" i="2" s="1"/>
  <c r="H36" i="2"/>
  <c r="G36" i="2"/>
  <c r="F36" i="2"/>
  <c r="F35" i="2"/>
  <c r="H35" i="2" s="1"/>
  <c r="F34" i="2"/>
  <c r="H33" i="2"/>
  <c r="G33" i="2"/>
  <c r="F33" i="2"/>
  <c r="G32" i="2"/>
  <c r="F32" i="2"/>
  <c r="H32" i="2" s="1"/>
  <c r="F31" i="2"/>
  <c r="H31" i="2" s="1"/>
  <c r="H30" i="2"/>
  <c r="F30" i="2"/>
  <c r="G30" i="2" s="1"/>
  <c r="F29" i="2"/>
  <c r="H29" i="2" s="1"/>
  <c r="H28" i="2"/>
  <c r="G28" i="2"/>
  <c r="F28" i="2"/>
  <c r="F27" i="2"/>
  <c r="H27" i="2" s="1"/>
  <c r="F26" i="2"/>
  <c r="H25" i="2"/>
  <c r="G25" i="2"/>
  <c r="F25" i="2"/>
  <c r="G24" i="2"/>
  <c r="F24" i="2"/>
  <c r="H24" i="2" s="1"/>
  <c r="F23" i="2"/>
  <c r="H23" i="2" s="1"/>
  <c r="H22" i="2"/>
  <c r="F22" i="2"/>
  <c r="G22" i="2" s="1"/>
  <c r="F21" i="2"/>
  <c r="H21" i="2" s="1"/>
  <c r="H20" i="2"/>
  <c r="G20" i="2"/>
  <c r="F20" i="2"/>
  <c r="F19" i="2"/>
  <c r="H19" i="2" s="1"/>
  <c r="F18" i="2"/>
  <c r="H17" i="2"/>
  <c r="G17" i="2"/>
  <c r="F17" i="2"/>
  <c r="G16" i="2"/>
  <c r="F16" i="2"/>
  <c r="H16" i="2" s="1"/>
  <c r="F15" i="2"/>
  <c r="H15" i="2" s="1"/>
  <c r="H14" i="2"/>
  <c r="F14" i="2"/>
  <c r="G14" i="2" s="1"/>
  <c r="F13" i="2"/>
  <c r="H13" i="2" s="1"/>
  <c r="H12" i="2"/>
  <c r="G12" i="2"/>
  <c r="F12" i="2"/>
  <c r="E8" i="2"/>
  <c r="D8" i="2"/>
  <c r="F8" i="2" s="1"/>
  <c r="H8" i="1"/>
  <c r="G8" i="1"/>
  <c r="E8" i="1"/>
  <c r="D8" i="1"/>
  <c r="C8" i="1"/>
  <c r="F8" i="1" s="1"/>
  <c r="G94" i="2" l="1"/>
  <c r="H94" i="2"/>
  <c r="H146" i="2"/>
  <c r="G146" i="2"/>
  <c r="H251" i="2"/>
  <c r="G251" i="2"/>
  <c r="G26" i="2"/>
  <c r="H26" i="2"/>
  <c r="G190" i="2"/>
  <c r="H190" i="2"/>
  <c r="H82" i="2"/>
  <c r="G82" i="2"/>
  <c r="G117" i="2"/>
  <c r="H117" i="2"/>
  <c r="H178" i="2"/>
  <c r="G178" i="2"/>
  <c r="H243" i="2"/>
  <c r="G243" i="2"/>
  <c r="H349" i="5"/>
  <c r="G349" i="5"/>
  <c r="G108" i="2"/>
  <c r="G18" i="2"/>
  <c r="H18" i="2"/>
  <c r="H286" i="2"/>
  <c r="G286" i="2"/>
  <c r="H340" i="2"/>
  <c r="G340" i="2"/>
  <c r="H38" i="5"/>
  <c r="G38" i="5"/>
  <c r="H129" i="5"/>
  <c r="G129" i="5"/>
  <c r="G85" i="2"/>
  <c r="H85" i="2"/>
  <c r="G377" i="2"/>
  <c r="H377" i="2"/>
  <c r="G39" i="2"/>
  <c r="G181" i="2"/>
  <c r="H181" i="2"/>
  <c r="H369" i="2"/>
  <c r="G369" i="2"/>
  <c r="G169" i="2"/>
  <c r="H8" i="2"/>
  <c r="G8" i="2"/>
  <c r="G91" i="2"/>
  <c r="H91" i="2"/>
  <c r="G105" i="2"/>
  <c r="G140" i="2"/>
  <c r="H305" i="2"/>
  <c r="G305" i="2"/>
  <c r="G71" i="2"/>
  <c r="H114" i="2"/>
  <c r="G114" i="2"/>
  <c r="H187" i="2"/>
  <c r="G187" i="2"/>
  <c r="H239" i="2"/>
  <c r="G239" i="2"/>
  <c r="G259" i="2"/>
  <c r="H259" i="2"/>
  <c r="G34" i="2"/>
  <c r="H34" i="2"/>
  <c r="G217" i="2"/>
  <c r="H217" i="2"/>
  <c r="G31" i="2"/>
  <c r="G155" i="2"/>
  <c r="H155" i="2"/>
  <c r="G267" i="2"/>
  <c r="H267" i="2"/>
  <c r="G23" i="2"/>
  <c r="G126" i="2"/>
  <c r="H126" i="2"/>
  <c r="G15" i="2"/>
  <c r="G79" i="2"/>
  <c r="G206" i="2"/>
  <c r="G58" i="2"/>
  <c r="H58" i="2"/>
  <c r="H50" i="2"/>
  <c r="G50" i="2"/>
  <c r="G63" i="2"/>
  <c r="G111" i="2"/>
  <c r="G149" i="2"/>
  <c r="H149" i="2"/>
  <c r="H158" i="2"/>
  <c r="G158" i="2"/>
  <c r="G235" i="2"/>
  <c r="M8" i="4"/>
  <c r="H30" i="5"/>
  <c r="G30" i="5"/>
  <c r="H113" i="5"/>
  <c r="G113" i="5"/>
  <c r="G143" i="2"/>
  <c r="H199" i="2"/>
  <c r="G199" i="2"/>
  <c r="G74" i="2"/>
  <c r="H74" i="2"/>
  <c r="H66" i="2"/>
  <c r="G66" i="2"/>
  <c r="G175" i="2"/>
  <c r="G42" i="2"/>
  <c r="H42" i="2"/>
  <c r="G55" i="2"/>
  <c r="G123" i="2"/>
  <c r="H123" i="2"/>
  <c r="G137" i="2"/>
  <c r="G172" i="2"/>
  <c r="G203" i="2"/>
  <c r="H203" i="2"/>
  <c r="H231" i="2"/>
  <c r="G231" i="2"/>
  <c r="H255" i="2"/>
  <c r="G255" i="2"/>
  <c r="H275" i="2"/>
  <c r="G275" i="2"/>
  <c r="G99" i="5"/>
  <c r="H99" i="5"/>
  <c r="H247" i="2"/>
  <c r="G247" i="2"/>
  <c r="H39" i="5"/>
  <c r="G39" i="5"/>
  <c r="H310" i="2"/>
  <c r="H374" i="2"/>
  <c r="G19" i="5"/>
  <c r="G22" i="5"/>
  <c r="G27" i="5"/>
  <c r="H35" i="5"/>
  <c r="G75" i="5"/>
  <c r="G87" i="5"/>
  <c r="H87" i="5"/>
  <c r="H151" i="5"/>
  <c r="H155" i="5"/>
  <c r="G155" i="5"/>
  <c r="H161" i="5"/>
  <c r="G161" i="5"/>
  <c r="G230" i="5"/>
  <c r="H230" i="5"/>
  <c r="G355" i="5"/>
  <c r="H355" i="5"/>
  <c r="G13" i="2"/>
  <c r="G21" i="2"/>
  <c r="G29" i="2"/>
  <c r="G37" i="2"/>
  <c r="G45" i="2"/>
  <c r="G53" i="2"/>
  <c r="G61" i="2"/>
  <c r="G69" i="2"/>
  <c r="G77" i="2"/>
  <c r="G97" i="2"/>
  <c r="G100" i="2"/>
  <c r="G103" i="2"/>
  <c r="G129" i="2"/>
  <c r="G132" i="2"/>
  <c r="G135" i="2"/>
  <c r="G161" i="2"/>
  <c r="G164" i="2"/>
  <c r="G167" i="2"/>
  <c r="G193" i="2"/>
  <c r="G196" i="2"/>
  <c r="H207" i="2"/>
  <c r="G207" i="2"/>
  <c r="G214" i="2"/>
  <c r="G228" i="2"/>
  <c r="H298" i="2"/>
  <c r="H302" i="2"/>
  <c r="G302" i="2"/>
  <c r="H321" i="2"/>
  <c r="H337" i="2"/>
  <c r="G337" i="2"/>
  <c r="H345" i="2"/>
  <c r="H362" i="2"/>
  <c r="H366" i="2"/>
  <c r="G366" i="2"/>
  <c r="H15" i="5"/>
  <c r="G15" i="5"/>
  <c r="H23" i="5"/>
  <c r="G23" i="5"/>
  <c r="H105" i="5"/>
  <c r="H251" i="5"/>
  <c r="G251" i="5"/>
  <c r="G265" i="5"/>
  <c r="H265" i="5"/>
  <c r="G299" i="5"/>
  <c r="G334" i="5"/>
  <c r="G369" i="5"/>
  <c r="H263" i="2"/>
  <c r="G263" i="2"/>
  <c r="H160" i="5"/>
  <c r="G160" i="5"/>
  <c r="H348" i="2"/>
  <c r="H59" i="5"/>
  <c r="G59" i="5"/>
  <c r="H81" i="5"/>
  <c r="G81" i="5"/>
  <c r="H97" i="5"/>
  <c r="G97" i="5"/>
  <c r="H187" i="5"/>
  <c r="G187" i="5"/>
  <c r="H192" i="5"/>
  <c r="G192" i="5"/>
  <c r="G19" i="2"/>
  <c r="G27" i="2"/>
  <c r="G35" i="2"/>
  <c r="G43" i="2"/>
  <c r="G51" i="2"/>
  <c r="G59" i="2"/>
  <c r="G67" i="2"/>
  <c r="G75" i="2"/>
  <c r="G89" i="2"/>
  <c r="G92" i="2"/>
  <c r="G95" i="2"/>
  <c r="G121" i="2"/>
  <c r="G124" i="2"/>
  <c r="G127" i="2"/>
  <c r="G153" i="2"/>
  <c r="G156" i="2"/>
  <c r="G159" i="2"/>
  <c r="G185" i="2"/>
  <c r="G188" i="2"/>
  <c r="G191" i="2"/>
  <c r="G204" i="2"/>
  <c r="H215" i="2"/>
  <c r="G215" i="2"/>
  <c r="G222" i="2"/>
  <c r="G292" i="2"/>
  <c r="G295" i="2"/>
  <c r="H308" i="2"/>
  <c r="G308" i="2"/>
  <c r="H342" i="2"/>
  <c r="G356" i="2"/>
  <c r="G359" i="2"/>
  <c r="H372" i="2"/>
  <c r="G372" i="2"/>
  <c r="G102" i="5"/>
  <c r="H102" i="5"/>
  <c r="G227" i="5"/>
  <c r="H227" i="5"/>
  <c r="G244" i="5"/>
  <c r="H257" i="5"/>
  <c r="G257" i="5"/>
  <c r="H361" i="5"/>
  <c r="H279" i="2"/>
  <c r="G279" i="2"/>
  <c r="G195" i="5"/>
  <c r="H195" i="5"/>
  <c r="H225" i="5"/>
  <c r="G225" i="5"/>
  <c r="H320" i="5"/>
  <c r="G320" i="5"/>
  <c r="G336" i="2"/>
  <c r="G98" i="2"/>
  <c r="H101" i="2"/>
  <c r="G107" i="2"/>
  <c r="G110" i="2"/>
  <c r="G130" i="2"/>
  <c r="H133" i="2"/>
  <c r="G139" i="2"/>
  <c r="G142" i="2"/>
  <c r="G162" i="2"/>
  <c r="H165" i="2"/>
  <c r="G171" i="2"/>
  <c r="G174" i="2"/>
  <c r="G201" i="2"/>
  <c r="G219" i="2"/>
  <c r="H233" i="2"/>
  <c r="H241" i="2"/>
  <c r="H249" i="2"/>
  <c r="H257" i="2"/>
  <c r="H265" i="2"/>
  <c r="H273" i="2"/>
  <c r="H281" i="2"/>
  <c r="H330" i="2"/>
  <c r="H334" i="2"/>
  <c r="G334" i="2"/>
  <c r="G353" i="2"/>
  <c r="G8" i="5"/>
  <c r="N8" i="5" s="1"/>
  <c r="H41" i="5"/>
  <c r="G46" i="5"/>
  <c r="H123" i="5"/>
  <c r="G123" i="5"/>
  <c r="G137" i="5"/>
  <c r="H137" i="5"/>
  <c r="G171" i="5"/>
  <c r="G206" i="5"/>
  <c r="G241" i="5"/>
  <c r="G262" i="5"/>
  <c r="H262" i="5"/>
  <c r="H288" i="5"/>
  <c r="G288" i="5"/>
  <c r="G297" i="5"/>
  <c r="H297" i="5"/>
  <c r="H318" i="5"/>
  <c r="G318" i="5"/>
  <c r="G323" i="5"/>
  <c r="H323" i="5"/>
  <c r="H353" i="5"/>
  <c r="G353" i="5"/>
  <c r="H271" i="2"/>
  <c r="G271" i="2"/>
  <c r="G134" i="5"/>
  <c r="H134" i="5"/>
  <c r="G169" i="5"/>
  <c r="H169" i="5"/>
  <c r="H190" i="5"/>
  <c r="G190" i="5"/>
  <c r="H315" i="5"/>
  <c r="G315" i="5"/>
  <c r="H223" i="2"/>
  <c r="G223" i="2"/>
  <c r="G304" i="2"/>
  <c r="H316" i="2"/>
  <c r="G339" i="2"/>
  <c r="G368" i="2"/>
  <c r="G8" i="4"/>
  <c r="N8" i="4" s="1"/>
  <c r="H61" i="5"/>
  <c r="G61" i="5"/>
  <c r="G93" i="5"/>
  <c r="G128" i="5"/>
  <c r="H198" i="5"/>
  <c r="H279" i="5"/>
  <c r="H283" i="5"/>
  <c r="G283" i="5"/>
  <c r="H289" i="5"/>
  <c r="G289" i="5"/>
  <c r="G358" i="5"/>
  <c r="H358" i="5"/>
  <c r="H31" i="5"/>
  <c r="G31" i="5"/>
  <c r="H65" i="5"/>
  <c r="G65" i="5"/>
  <c r="H94" i="5"/>
  <c r="G94" i="5"/>
  <c r="H222" i="5"/>
  <c r="G222" i="5"/>
  <c r="H350" i="5"/>
  <c r="G350" i="5"/>
  <c r="H126" i="5"/>
  <c r="G126" i="5"/>
  <c r="H254" i="5"/>
  <c r="G254" i="5"/>
  <c r="G202" i="2"/>
  <c r="G210" i="2"/>
  <c r="G218" i="2"/>
  <c r="G226" i="2"/>
  <c r="G234" i="2"/>
  <c r="G242" i="2"/>
  <c r="G250" i="2"/>
  <c r="G258" i="2"/>
  <c r="G266" i="2"/>
  <c r="G274" i="2"/>
  <c r="H282" i="2"/>
  <c r="G288" i="2"/>
  <c r="G291" i="2"/>
  <c r="G311" i="2"/>
  <c r="G320" i="2"/>
  <c r="G323" i="2"/>
  <c r="G343" i="2"/>
  <c r="H17" i="5"/>
  <c r="H62" i="5"/>
  <c r="G62" i="5"/>
  <c r="H70" i="5"/>
  <c r="H91" i="5"/>
  <c r="G91" i="5"/>
  <c r="G107" i="5"/>
  <c r="G142" i="5"/>
  <c r="G157" i="5"/>
  <c r="G177" i="5"/>
  <c r="G180" i="5"/>
  <c r="H193" i="5"/>
  <c r="G193" i="5"/>
  <c r="H215" i="5"/>
  <c r="H219" i="5"/>
  <c r="G219" i="5"/>
  <c r="G235" i="5"/>
  <c r="G270" i="5"/>
  <c r="G285" i="5"/>
  <c r="G305" i="5"/>
  <c r="G308" i="5"/>
  <c r="H321" i="5"/>
  <c r="G321" i="5"/>
  <c r="H343" i="5"/>
  <c r="H347" i="5"/>
  <c r="G347" i="5"/>
  <c r="G363" i="5"/>
  <c r="H25" i="5"/>
  <c r="G96" i="5"/>
  <c r="H131" i="5"/>
  <c r="H158" i="5"/>
  <c r="G158" i="5"/>
  <c r="H166" i="5"/>
  <c r="H201" i="5"/>
  <c r="G224" i="5"/>
  <c r="H259" i="5"/>
  <c r="H286" i="5"/>
  <c r="G286" i="5"/>
  <c r="H294" i="5"/>
  <c r="H329" i="5"/>
  <c r="G352" i="5"/>
  <c r="G18" i="5"/>
  <c r="G26" i="5"/>
  <c r="G34" i="5"/>
  <c r="G42" i="5"/>
  <c r="G45" i="5"/>
  <c r="G48" i="5"/>
  <c r="G68" i="5"/>
  <c r="H71" i="5"/>
  <c r="G77" i="5"/>
  <c r="G80" i="5"/>
  <c r="G100" i="5"/>
  <c r="H103" i="5"/>
  <c r="G109" i="5"/>
  <c r="G112" i="5"/>
  <c r="G132" i="5"/>
  <c r="H135" i="5"/>
  <c r="G141" i="5"/>
  <c r="G144" i="5"/>
  <c r="G164" i="5"/>
  <c r="H167" i="5"/>
  <c r="G173" i="5"/>
  <c r="G176" i="5"/>
  <c r="G196" i="5"/>
  <c r="H199" i="5"/>
  <c r="G205" i="5"/>
  <c r="G208" i="5"/>
  <c r="G228" i="5"/>
  <c r="H231" i="5"/>
  <c r="G237" i="5"/>
  <c r="G240" i="5"/>
  <c r="G260" i="5"/>
  <c r="H263" i="5"/>
  <c r="G269" i="5"/>
  <c r="G272" i="5"/>
  <c r="G292" i="5"/>
  <c r="H295" i="5"/>
  <c r="G301" i="5"/>
  <c r="G304" i="5"/>
  <c r="G324" i="5"/>
  <c r="H327" i="5"/>
  <c r="G333" i="5"/>
  <c r="G336" i="5"/>
  <c r="G356" i="5"/>
  <c r="H359" i="5"/>
  <c r="G365" i="5"/>
  <c r="G368" i="5"/>
  <c r="G379" i="5"/>
  <c r="G377" i="5"/>
  <c r="G380" i="5"/>
  <c r="G375" i="5"/>
  <c r="G378" i="5"/>
  <c r="G381" i="5"/>
</calcChain>
</file>

<file path=xl/sharedStrings.xml><?xml version="1.0" encoding="utf-8"?>
<sst xmlns="http://schemas.openxmlformats.org/spreadsheetml/2006/main" count="3698" uniqueCount="531">
  <si>
    <t>PA-07 2026 House Forecast — Municipal-Level Predictions</t>
  </si>
  <si>
    <t>Candidates: Brooks | Mackenzie   |   District totals (yellow) are formulas over the municipal rows.</t>
  </si>
  <si>
    <t>Enter votes only in the Brooks / Mackenzie / Other columns. Shares are of total votes (Brooks + Mackenzie + Other).</t>
  </si>
  <si>
    <t>Model / scenario</t>
  </si>
  <si>
    <t>Random forest, 95% election history, 5% registration</t>
  </si>
  <si>
    <t>As-of date</t>
  </si>
  <si>
    <t>2026-09-30</t>
  </si>
  <si>
    <t>Prepared by</t>
  </si>
  <si>
    <t>Charlie Weinstein</t>
  </si>
  <si>
    <t>Version</t>
  </si>
  <si>
    <t>v0.5</t>
  </si>
  <si>
    <t>DISTRICT TOTALS (auto-sum — do not type over)</t>
  </si>
  <si>
    <t>Geography</t>
  </si>
  <si>
    <t>Brooks votes</t>
  </si>
  <si>
    <t>Mackenzie votes</t>
  </si>
  <si>
    <t>Other (optional)</t>
  </si>
  <si>
    <t>Total votes</t>
  </si>
  <si>
    <t>Brooks share</t>
  </si>
  <si>
    <t>Mackenzie share</t>
  </si>
  <si>
    <t>Notes</t>
  </si>
  <si>
    <t>PA-07 District</t>
  </si>
  <si>
    <t>(all municipalities)</t>
  </si>
  <si>
    <t>Headline forecast for the briefing</t>
  </si>
  <si>
    <t>Discussion prompt: A successful final names these district numbers and shows the municipal table that adds to them.</t>
  </si>
  <si>
    <t>MUNICIPAL DETAIL</t>
  </si>
  <si>
    <t>County</t>
  </si>
  <si>
    <t>Municipality</t>
  </si>
  <si>
    <t>Notes / source method</t>
  </si>
  <si>
    <t>Carbon</t>
  </si>
  <si>
    <t>BANKS TOWNSHIP</t>
  </si>
  <si>
    <t>Sum of precinct forecasts (95/5 forest blend)</t>
  </si>
  <si>
    <t>BEAVER MEADOWS BOROUGH</t>
  </si>
  <si>
    <t>BOWMANSTOWN BOROUGH</t>
  </si>
  <si>
    <t>EAST PENN TOWNSHIP</t>
  </si>
  <si>
    <t>EAST SIDE BOROUGH</t>
  </si>
  <si>
    <t>FRANKLIN TOWNSHIP</t>
  </si>
  <si>
    <t>JIM THORPE BOROUGH</t>
  </si>
  <si>
    <t>KIDDER TOWNSHIP</t>
  </si>
  <si>
    <t>LANSFORD BOROUGH</t>
  </si>
  <si>
    <t>LAUSANNE TOWNSHIP</t>
  </si>
  <si>
    <t>LEHIGH TOWNSHIP</t>
  </si>
  <si>
    <t>LEHIGHTON BOROUGH</t>
  </si>
  <si>
    <t>LOWER TOWAMENSING TWP.</t>
  </si>
  <si>
    <t>MAHONING TOWNSHIP</t>
  </si>
  <si>
    <t>NESQUEHONING BOROUGH</t>
  </si>
  <si>
    <t>PACKER TOWNSHIP</t>
  </si>
  <si>
    <t>PALMERTON BOROUGH</t>
  </si>
  <si>
    <t>PARRYVILLE BOROUGH</t>
  </si>
  <si>
    <t>PENN FOREST TOWNSHIP</t>
  </si>
  <si>
    <t>SUMMIT HILL BOROUGH</t>
  </si>
  <si>
    <t>TOWAMENSING TOWNSHIP</t>
  </si>
  <si>
    <t>WEATHERLY BOROUGH</t>
  </si>
  <si>
    <t>WEISSPORT BOROUGH</t>
  </si>
  <si>
    <t>Lehigh</t>
  </si>
  <si>
    <t>ALBURTIS</t>
  </si>
  <si>
    <t>ALLENTOWN</t>
  </si>
  <si>
    <t>BETHLEHEM</t>
  </si>
  <si>
    <t>CATASAUQUA</t>
  </si>
  <si>
    <t>COOPERSBURG</t>
  </si>
  <si>
    <t>COPLAY</t>
  </si>
  <si>
    <t>EMMAUS</t>
  </si>
  <si>
    <t>FOUNTAIN HILL</t>
  </si>
  <si>
    <t>HANOVER</t>
  </si>
  <si>
    <t>HEIDELBERG</t>
  </si>
  <si>
    <t>LOWER MACUNGIE</t>
  </si>
  <si>
    <t>LOWER MILFORD</t>
  </si>
  <si>
    <t>LOWHILL</t>
  </si>
  <si>
    <t>LYNN</t>
  </si>
  <si>
    <t>MACUNGIE</t>
  </si>
  <si>
    <t>NORTH WHITEHALL</t>
  </si>
  <si>
    <t>SALISBURY</t>
  </si>
  <si>
    <t>SLATINGTON</t>
  </si>
  <si>
    <t>SOUTH WHITEHALL</t>
  </si>
  <si>
    <t>UPPER MACUNGIE</t>
  </si>
  <si>
    <t>UPPER MILFORD</t>
  </si>
  <si>
    <t>UPPER SAUCON</t>
  </si>
  <si>
    <t>WASHINGTON</t>
  </si>
  <si>
    <t>WEISENBERG</t>
  </si>
  <si>
    <t>WHITEHALL</t>
  </si>
  <si>
    <t>Monroe</t>
  </si>
  <si>
    <t>POLK TOWNSHIP</t>
  </si>
  <si>
    <t>ELDRED TOWNSHIP</t>
  </si>
  <si>
    <t>ROSS TOWNSHIP</t>
  </si>
  <si>
    <t>Northampton</t>
  </si>
  <si>
    <t>ALLEN TWSP</t>
  </si>
  <si>
    <t>BANGOR BORO</t>
  </si>
  <si>
    <t>BATH BORO</t>
  </si>
  <si>
    <t>BETHLEHEM TWSP</t>
  </si>
  <si>
    <t>BUSHKILL TWSP</t>
  </si>
  <si>
    <t>CHAPMAN</t>
  </si>
  <si>
    <t>EAST ALLEN TWSP</t>
  </si>
  <si>
    <t>EAST BANGOR</t>
  </si>
  <si>
    <t>EASTON</t>
  </si>
  <si>
    <t>FORKS</t>
  </si>
  <si>
    <t>FREEMANSBURG</t>
  </si>
  <si>
    <t>GLENDON</t>
  </si>
  <si>
    <t>HELLERTOWN BORO</t>
  </si>
  <si>
    <t>LEHIGH TWSP</t>
  </si>
  <si>
    <t>LOWER MT BETHEL</t>
  </si>
  <si>
    <t>LOWER NAZARETH</t>
  </si>
  <si>
    <t>LOWER SAUCON TWSP</t>
  </si>
  <si>
    <t>MOORE TWSP</t>
  </si>
  <si>
    <t>NAZARETH BORO</t>
  </si>
  <si>
    <t>NORTH CATASAUQUA</t>
  </si>
  <si>
    <t>NORTHAMPTON BORO</t>
  </si>
  <si>
    <t>PALMER</t>
  </si>
  <si>
    <t>PEN ARGYL BORO</t>
  </si>
  <si>
    <t>PLAINFIELD TWSP</t>
  </si>
  <si>
    <t>PORTLAND BORO</t>
  </si>
  <si>
    <t>ROSETO BORO</t>
  </si>
  <si>
    <t>STOCKERTOWN BORO</t>
  </si>
  <si>
    <t>TATAMY BORO</t>
  </si>
  <si>
    <t>UPPER MT BETHEL TWSP</t>
  </si>
  <si>
    <t>UPPER NAZARETH</t>
  </si>
  <si>
    <t>WALNUTPORT BORO</t>
  </si>
  <si>
    <t>WASHINGTON TWSP</t>
  </si>
  <si>
    <t>WEST EASTON</t>
  </si>
  <si>
    <t>WILLIAMS TWSP</t>
  </si>
  <si>
    <t>WILSON BORO</t>
  </si>
  <si>
    <t>WIND GAP BORO</t>
  </si>
  <si>
    <t>PA-07 2026 House Forecast — Precinct-Level Predictions</t>
  </si>
  <si>
    <t>Candidates: Brooks | Mackenzie   |   District totals (yellow) are formulas over the precinct rows.</t>
  </si>
  <si>
    <t>Enter votes only in the Brooks / Mackenzie / Other columns. Compare district totals to the municipal template and explain any gap.</t>
  </si>
  <si>
    <t>(muni)</t>
  </si>
  <si>
    <t>(precinct)</t>
  </si>
  <si>
    <t>(all precincts)</t>
  </si>
  <si>
    <t>Discussion prompt: Precinct and municipal district totals should match, or the class must document why they do not.</t>
  </si>
  <si>
    <t>PRECINCT DETAIL</t>
  </si>
  <si>
    <t>Precinct</t>
  </si>
  <si>
    <t>95/5 forest blend, anchored on own 2024 result</t>
  </si>
  <si>
    <t>EAST PENN TOWNSHIP-NORTH</t>
  </si>
  <si>
    <t>EAST PENN TOWNSHIP-SOUTH</t>
  </si>
  <si>
    <t>FRANKLIN TOWNSHIP-HARRITY</t>
  </si>
  <si>
    <t>FRANKLIN TOWNSHIP-IND DIST</t>
  </si>
  <si>
    <t>FRANKLIN TOWNSHIP-LONG RUN</t>
  </si>
  <si>
    <t>JIM THORPE BOROUGH-1ST</t>
  </si>
  <si>
    <t>JIM THORPE BOROUGH-2ND</t>
  </si>
  <si>
    <t>JIM THORPE BOROUGH-3RD</t>
  </si>
  <si>
    <t>JIM THORPE BOROUGH-4TH</t>
  </si>
  <si>
    <t>JIM THORPE BOROUGH-5TH</t>
  </si>
  <si>
    <t>KIDDER TOWNSHIP-NORTH</t>
  </si>
  <si>
    <t>KIDDER TOWNSHIP-SOUTH</t>
  </si>
  <si>
    <t>LANSFORD BOROUGH - EAST WARD</t>
  </si>
  <si>
    <t>LANSFORD BOROUGH-MIDDLE WARD</t>
  </si>
  <si>
    <t>LANSFORD BOROUGH-WEST WARD</t>
  </si>
  <si>
    <t>LEHIGHTON BOROUGH-1ST</t>
  </si>
  <si>
    <t>LEHIGHTON BOROUGH-2ND</t>
  </si>
  <si>
    <t>LEHIGHTON BOROUGH-3RD</t>
  </si>
  <si>
    <t>LOWER TOWAMENSING TWP.-NORTH</t>
  </si>
  <si>
    <t>LOWER TOWAMENSING TWP.-SOUTH</t>
  </si>
  <si>
    <t>MAHONING TOWNSHIP - NEW MAHONING</t>
  </si>
  <si>
    <t>MAHONING TOWNSHIP - PACKERTON/JAMESTOWN</t>
  </si>
  <si>
    <t>MAHONING TOWNSHIP-MAHONING</t>
  </si>
  <si>
    <t>NESQUEHONING BOROUGH-EAST</t>
  </si>
  <si>
    <t>NESQUEHONING BOROUGH-WEST</t>
  </si>
  <si>
    <t>PALMERTON BOROUGH-EASTERN</t>
  </si>
  <si>
    <t>PALMERTON BOROUGH-MIDDLE</t>
  </si>
  <si>
    <t>PALMERTON BOROUGH-WESTERN</t>
  </si>
  <si>
    <t>PENN FOREST TOWNSHIP-EAST</t>
  </si>
  <si>
    <t>PENN FOREST TOWNSHIP-MIDDLE</t>
  </si>
  <si>
    <t>PENN FOREST TOWNSHIP-NORTH EAST</t>
  </si>
  <si>
    <t>PENN FOREST TOWNSHIP-NORTH WEST</t>
  </si>
  <si>
    <t>PENN FOREST TOWNSHIP-SOUTH WEST</t>
  </si>
  <si>
    <t>SUMMIT HILL BOROUGH-1ST</t>
  </si>
  <si>
    <t>SUMMIT HILL BOROUGH-2ND</t>
  </si>
  <si>
    <t>SUMMIT HILL BOROUGH-3RD/2ND</t>
  </si>
  <si>
    <t>SUMMIT HILL-3RD/1ST DIST</t>
  </si>
  <si>
    <t>TOWAMENSING TOWNSHIP-NORTH</t>
  </si>
  <si>
    <t>TOWAMENSING TOWNSHIP-SOUTH-1</t>
  </si>
  <si>
    <t>TOWAMENSING TOWNSHIP-SOUTH-2</t>
  </si>
  <si>
    <t>WEATHERLY BOROUGH-EAST</t>
  </si>
  <si>
    <t>WEATHERLY BOROUGH-WEST</t>
  </si>
  <si>
    <t>ALLENTOWN 10TH WARD 1ST DIST</t>
  </si>
  <si>
    <t>ALLENTOWN 10TH WARD 3RD DIST</t>
  </si>
  <si>
    <t>ALLENTOWN 10TH WARD 4TH DIST</t>
  </si>
  <si>
    <t>ALLENTOWN 11TH WARD 1ST DIST</t>
  </si>
  <si>
    <t>ALLENTOWN 11TH WARD 2ND DIST</t>
  </si>
  <si>
    <t>ALLENTOWN 11TH WARD 3RD DIST</t>
  </si>
  <si>
    <t>ALLENTOWN 11TH WARD 4TH DIST</t>
  </si>
  <si>
    <t>ALLENTOWN 11TH WARD 5TH DIST</t>
  </si>
  <si>
    <t>ALLENTOWN 11TH WARD 6TH DIST</t>
  </si>
  <si>
    <t>ALLENTOWN 11TH WARD 7TH DIST</t>
  </si>
  <si>
    <t>ALLENTOWN 12TH WARD 1ST DIST</t>
  </si>
  <si>
    <t>ALLENTOWN 12TH WARD 2ND DIST</t>
  </si>
  <si>
    <t>ALLENTOWN 12TH WARD 3RD DIST</t>
  </si>
  <si>
    <t>ALLENTOWN 12TH WARD 4TH DIST</t>
  </si>
  <si>
    <t>ALLENTOWN 12TH WARD 5TH DIST</t>
  </si>
  <si>
    <t>ALLENTOWN 13TH WARD 1ST DIST</t>
  </si>
  <si>
    <t>ALLENTOWN 13TH WARD 2ND DIST</t>
  </si>
  <si>
    <t>ALLENTOWN 13TH WARD 3RD DIST</t>
  </si>
  <si>
    <t>ALLENTOWN 13TH WARD 4TH DIST</t>
  </si>
  <si>
    <t>ALLENTOWN 14TH WARD 1ST DIST</t>
  </si>
  <si>
    <t>ALLENTOWN 14TH WARD 2ND DIST</t>
  </si>
  <si>
    <t>ALLENTOWN 15TH WARD 1ST DIST</t>
  </si>
  <si>
    <t>ALLENTOWN 15TH WARD 2ND DIST</t>
  </si>
  <si>
    <t>ALLENTOWN 15TH WARD 3RD DIST</t>
  </si>
  <si>
    <t>ALLENTOWN 15TH WARD 4TH DIST</t>
  </si>
  <si>
    <t>ALLENTOWN 16TH WARD 1ST DIST</t>
  </si>
  <si>
    <t>ALLENTOWN 16TH WARD 2ND DIST</t>
  </si>
  <si>
    <t>ALLENTOWN 17TH WARD 1ST DIST</t>
  </si>
  <si>
    <t>ALLENTOWN 17TH WARD 2ND DIST</t>
  </si>
  <si>
    <t>ALLENTOWN 17TH WARD 3RD DIST</t>
  </si>
  <si>
    <t>ALLENTOWN 17TH WARD 4TH DIST</t>
  </si>
  <si>
    <t>95/5 forest blend, anchored on town 2024 result</t>
  </si>
  <si>
    <t>ALLENTOWN 17TH WD 4TH DT PARK</t>
  </si>
  <si>
    <t>ALLENTOWN 18TH WARD 1ST DIST</t>
  </si>
  <si>
    <t>ALLENTOWN 18TH WARD 2ND DIST</t>
  </si>
  <si>
    <t>ALLENTOWN 18TH WD 2ND DT PARK</t>
  </si>
  <si>
    <t>ALLENTOWN 19TH WARD 1ST DIST</t>
  </si>
  <si>
    <t>ALLENTOWN 19TH WARD 2ND DIST</t>
  </si>
  <si>
    <t>ALLENTOWN 19TH WARD 3RD DIST</t>
  </si>
  <si>
    <t>ALLENTOWN 19TH WARD 4TH DIST</t>
  </si>
  <si>
    <t>ALLENTOWN 19TH WARD 5TH DIST</t>
  </si>
  <si>
    <t>ALLENTOWN 19TH WARD 5TH DT SAL</t>
  </si>
  <si>
    <t>ALLENTOWN 19TH WARD 6TH DIST</t>
  </si>
  <si>
    <t>ALLENTOWN 1ST WARD</t>
  </si>
  <si>
    <t>ALLENTOWN 2ND WARD</t>
  </si>
  <si>
    <t>ALLENTOWN 3RD WARD</t>
  </si>
  <si>
    <t>ALLENTOWN 4TH WARD</t>
  </si>
  <si>
    <t>ALLENTOWN 5TH WARD</t>
  </si>
  <si>
    <t>ALLENTOWN 6TH WARD 1ST DIST</t>
  </si>
  <si>
    <t>ALLENTOWN 6TH WARD 2ND DIST</t>
  </si>
  <si>
    <t>ALLENTOWN 7TH WARD</t>
  </si>
  <si>
    <t>ALLENTOWN 8TH WARD 1ST DIST</t>
  </si>
  <si>
    <t>ALLENTOWN 8TH WARD 2ND DIST</t>
  </si>
  <si>
    <t>ALLENTOWN 8TH WARD 3RD DIST</t>
  </si>
  <si>
    <t>ALLENTOWN 8TH WARD 4TH DIST</t>
  </si>
  <si>
    <t>ALLENTOWN 8TH WARD 5TH DIST</t>
  </si>
  <si>
    <t>ALLENTOWN 8TH WARD 6TH DIST</t>
  </si>
  <si>
    <t>ALLENTOWN 8TH WARD 7TH DIST</t>
  </si>
  <si>
    <t>ALLENTOWN 9TH WARD</t>
  </si>
  <si>
    <t>BETHLEHEM 10TH WARD</t>
  </si>
  <si>
    <t>BETHLEHEM 11TH WARD</t>
  </si>
  <si>
    <t>BETHLEHEM 12TH WARD 1ST DIST</t>
  </si>
  <si>
    <t>BETHLEHEM 12TH WARD 2ND DIST</t>
  </si>
  <si>
    <t>BETHLEHEM 13TH WARD 1ST DIST</t>
  </si>
  <si>
    <t>BETHLEHEM 13TH WARD 2ND DIST</t>
  </si>
  <si>
    <t>BETHLEHEM 13TH WARD 3RD DIST</t>
  </si>
  <si>
    <t>BETHLEHEM 13TH WARD 4TH DIST</t>
  </si>
  <si>
    <t>BETHLEHEM 13TH WARD 5TH DIST</t>
  </si>
  <si>
    <t>BETHLEHEM 13TH WARD 6TH DIST</t>
  </si>
  <si>
    <t>BETHLEHEM 13TH WARD 7TH DIST</t>
  </si>
  <si>
    <t>BETHLEHEM 13TH WARD 8TH DIST</t>
  </si>
  <si>
    <t>CATASAUQUA 1ST DIST</t>
  </si>
  <si>
    <t>CATASAUQUA 2ND DIST</t>
  </si>
  <si>
    <t>CATASAUQUA 3RD DIST</t>
  </si>
  <si>
    <t>COPLAY 1ST DISTRICT</t>
  </si>
  <si>
    <t>COPLAY 2ND DISTRICT</t>
  </si>
  <si>
    <t>EMMAUS 1ST DISTRICT</t>
  </si>
  <si>
    <t>EMMAUS 2ND DISTRICT</t>
  </si>
  <si>
    <t>EMMAUS 3RD DISTRICT</t>
  </si>
  <si>
    <t>EMMAUS 4TH DISTRICT</t>
  </si>
  <si>
    <t>EMMAUS 5TH DISTRICT</t>
  </si>
  <si>
    <t>EMMAUS 6TH DISTRICT</t>
  </si>
  <si>
    <t>FOUNTAIN HILL 1ST DIST</t>
  </si>
  <si>
    <t>FOUNTAIN HILL 2ND DIST</t>
  </si>
  <si>
    <t>FOUNTAIN HILL 3RD DIST</t>
  </si>
  <si>
    <t>LOWER MACUNGIE 10TH DISTRICT</t>
  </si>
  <si>
    <t>LOWER MACUNGIE 1ST DISTRICT</t>
  </si>
  <si>
    <t>LOWER MACUNGIE 2ND DISTRICT</t>
  </si>
  <si>
    <t>LOWER MACUNGIE 3RD DISTRICT</t>
  </si>
  <si>
    <t>LOWER MACUNGIE 4TH DISTRICT</t>
  </si>
  <si>
    <t>LOWER MACUNGIE 5TH DISTRICT</t>
  </si>
  <si>
    <t>LOWER MACUNGIE 6TH DISTRICT</t>
  </si>
  <si>
    <t>LOWER MACUNGIE 7TH DISTRICT</t>
  </si>
  <si>
    <t>LOWER MACUNGIE 8TH DISTRICT</t>
  </si>
  <si>
    <t>LOWER MACUNGIE 9TH DISTRICT</t>
  </si>
  <si>
    <t>LYNN JACKSONVILLE DISTRICT</t>
  </si>
  <si>
    <t>LYNN LYNNVILLE DISTRICT</t>
  </si>
  <si>
    <t>LYNN NEW TRIPOLI DISTRICT</t>
  </si>
  <si>
    <t>NORTH WHITEHALL 1ST DISTRICT</t>
  </si>
  <si>
    <t>NORTH WHITEHALL 2ND DISTRICT</t>
  </si>
  <si>
    <t>NORTH WHITEHALL 3RD DISTRICT</t>
  </si>
  <si>
    <t>NORTH WHITEHALL 4TH DISTRICT</t>
  </si>
  <si>
    <t>NORTH WHITEHALL 5TH DISTRICT</t>
  </si>
  <si>
    <t>NORTH WHITEHALL 6TH DISTRICT</t>
  </si>
  <si>
    <t>SALISBURY 1ST WARD</t>
  </si>
  <si>
    <t>SALISBURY 2ND WARD</t>
  </si>
  <si>
    <t>SALISBURY 3RD WARD 1ST DIST</t>
  </si>
  <si>
    <t>SALISBURY 3RD WARD 2ND DIST</t>
  </si>
  <si>
    <t>SALISBURY 4TH WARD 1ST DIST</t>
  </si>
  <si>
    <t>SALISBURY 4TH WARD 2ND DIST</t>
  </si>
  <si>
    <t>SALISBURY 5TH WARD 1ST DIST</t>
  </si>
  <si>
    <t>SALISBURY 5TH WARD 2ND DIST</t>
  </si>
  <si>
    <t>SLATINGTON 1ST DIST</t>
  </si>
  <si>
    <t>SLATINGTON 2ND DIST</t>
  </si>
  <si>
    <t>SLATINGTON 3RD DIST</t>
  </si>
  <si>
    <t>SOUTH WHITEHALL 1ST DISTRICT</t>
  </si>
  <si>
    <t>SOUTH WHITEHALL 2ND DISTRICT</t>
  </si>
  <si>
    <t>SOUTH WHITEHALL 3RD DISTRICT</t>
  </si>
  <si>
    <t>SOUTH WHITEHALL 4TH DISTRICT</t>
  </si>
  <si>
    <t>SOUTH WHITEHALL 5TH DISTRICT</t>
  </si>
  <si>
    <t>SOUTH WHITEHALL 6TH DISTRICT</t>
  </si>
  <si>
    <t>SOUTH WHITEHALL 7TH DISTRICT</t>
  </si>
  <si>
    <t>SOUTH WHITEHALL 8TH DISTRICT</t>
  </si>
  <si>
    <t>UPPER MACUNGIE 1ST DISTRICT</t>
  </si>
  <si>
    <t>UPPER MACUNGIE 2ND DISTRICT</t>
  </si>
  <si>
    <t>UPPER MACUNGIE 3RD DISTRICT</t>
  </si>
  <si>
    <t>UPPER MACUNGIE 4TH DISTRICT</t>
  </si>
  <si>
    <t>UPPER MACUNGIE 5TH DISTRICT</t>
  </si>
  <si>
    <t>UPPER MACUNGIE 6TH DISTRICT</t>
  </si>
  <si>
    <t>UPPER MACUNGIE 7TH DISTRICT</t>
  </si>
  <si>
    <t>UPPER MACUNGIE 8TH DISTRICT</t>
  </si>
  <si>
    <t>UPPER MILFORD EASTERN DISTRICT</t>
  </si>
  <si>
    <t>UPPER MILFORD WESTERN DISTRICT</t>
  </si>
  <si>
    <t>UPPER SAUCON 1ST DISTRICT</t>
  </si>
  <si>
    <t>UPPER SAUCON 2ND DISTRICT</t>
  </si>
  <si>
    <t>UPPER SAUCON 3RD DISTRICT</t>
  </si>
  <si>
    <t>UPPER SAUCON 4TH DISTRICT</t>
  </si>
  <si>
    <t>UPPER SAUCON 5TH DISTRICT</t>
  </si>
  <si>
    <t>UPPER SAUCON 6TH DISTRICT</t>
  </si>
  <si>
    <t>WASHINGTON EASTERN DISTRICT</t>
  </si>
  <si>
    <t>WASHINGTON SOUTHERN DISTRICT</t>
  </si>
  <si>
    <t>WASHINGTON WESTERN DISTRICT</t>
  </si>
  <si>
    <t>WHITEHALL 10TH DISTRICT</t>
  </si>
  <si>
    <t>WHITEHALL 11TH DISTRICT</t>
  </si>
  <si>
    <t>WHITEHALL 12TH DISTRICT</t>
  </si>
  <si>
    <t>WHITEHALL 1ST DISTRICT</t>
  </si>
  <si>
    <t>WHITEHALL 2ND DISTRICT</t>
  </si>
  <si>
    <t>WHITEHALL 3RD DISTRICT</t>
  </si>
  <si>
    <t>WHITEHALL 4TH DISTRICT</t>
  </si>
  <si>
    <t>WHITEHALL 5TH DISTRICT</t>
  </si>
  <si>
    <t>WHITEHALL 6TH DISTRICT</t>
  </si>
  <si>
    <t>WHITEHALL 7TH DISTRICT</t>
  </si>
  <si>
    <t>WHITEHALL 8TH DISTRICT</t>
  </si>
  <si>
    <t>WHITEHALL 9TH DISTRICT</t>
  </si>
  <si>
    <t>ELDRED</t>
  </si>
  <si>
    <t>POLK</t>
  </si>
  <si>
    <t>ROSS ONE</t>
  </si>
  <si>
    <t>ALLEN TWSP - NORTH</t>
  </si>
  <si>
    <t>ALLEN TWSP - SOUTH</t>
  </si>
  <si>
    <t>BANGOR BORO NORTH</t>
  </si>
  <si>
    <t>95/5 forest blend, anchored on town 2024 result, precinct redrawn</t>
  </si>
  <si>
    <t>BANGOR BORO SOUTH</t>
  </si>
  <si>
    <t>BETHLEHEM 14TH WARD 1ST DISTRICT</t>
  </si>
  <si>
    <t>BETHLEHEM 14TH WARD 2ND DISTRICT</t>
  </si>
  <si>
    <t>BETHLEHEM 14TH WARD 3RD DISTRICT</t>
  </si>
  <si>
    <t>BETHLEHEM 14TH WARD 4TH DISTRICT</t>
  </si>
  <si>
    <t>BETHLEHEM 14TH WARD 5TH DISTRICT</t>
  </si>
  <si>
    <t>BETHLEHEM 14TH WARD 6TH DISTRICT</t>
  </si>
  <si>
    <t>BETHLEHEM 14TH WARD 7TH DISTRICT</t>
  </si>
  <si>
    <t>BETHLEHEM 14TH WARD 8TH DISTRICT</t>
  </si>
  <si>
    <t>BETHLEHEM 15TH WARD 1ST DISTRICT</t>
  </si>
  <si>
    <t>BETHLEHEM 15TH WARD 2ND DISTRICT</t>
  </si>
  <si>
    <t>BETHLEHEM 15TH WARD 3RD DISTRICT</t>
  </si>
  <si>
    <t>BETHLEHEM 16TH WARD</t>
  </si>
  <si>
    <t>BETHLEHEM 17TH WARD</t>
  </si>
  <si>
    <t>BETHLEHEM 1ST WARD - NORTHERN</t>
  </si>
  <si>
    <t>BETHLEHEM 1ST WARD - SOUTHERN</t>
  </si>
  <si>
    <t>BETHLEHEM 2ND WARD</t>
  </si>
  <si>
    <t>BETHLEHEM 3RD WARD</t>
  </si>
  <si>
    <t>BETHLEHEM 4TH WARD</t>
  </si>
  <si>
    <t>BETHLEHEM 5TH WARD</t>
  </si>
  <si>
    <t>BETHLEHEM 6TH WARD</t>
  </si>
  <si>
    <t>BETHLEHEM 7TH WARD</t>
  </si>
  <si>
    <t>BETHLEHEM 8TH WARD</t>
  </si>
  <si>
    <t>BETHLEHEM 9TH WARD EAST</t>
  </si>
  <si>
    <t>BETHLEHEM 9TH WARD WEST</t>
  </si>
  <si>
    <t>BETHLEHEM TWSP 1ST WARD 1ST DISTRICT</t>
  </si>
  <si>
    <t>BETHLEHEM TWSP 1ST WARD 2ND DISTRICT</t>
  </si>
  <si>
    <t>BETHLEHEM TWSP 1ST WARD 3RD DISTRICT</t>
  </si>
  <si>
    <t>BETHLEHEM TWSP 1ST WARD 4TH DISTRICT</t>
  </si>
  <si>
    <t>BETHLEHEM TWSP 2ND WARD 1ST DISTRICT</t>
  </si>
  <si>
    <t>BETHLEHEM TWSP 2ND WARD 2ND DISTRICT</t>
  </si>
  <si>
    <t>BETHLEHEM TWSP 2ND WARD 3RD DISTRICT</t>
  </si>
  <si>
    <t>BETHLEHEM TWSP 2ND WARD 4TH DISTRICT</t>
  </si>
  <si>
    <t>BETHLEHEM TWSP 3RD WARD 1ST DISTRICT</t>
  </si>
  <si>
    <t>BETHLEHEM TWSP 3RD WARD 2ND DISTRICT</t>
  </si>
  <si>
    <t>BETHLEHEM TWSP 3RD WARD 3RD DISTRICT</t>
  </si>
  <si>
    <t>BETHLEHEM TWSP 3RD WARD 4TH DISTRICT</t>
  </si>
  <si>
    <t>BETHLEHEM TWSP 3RD WARD 5TH DISTRICT</t>
  </si>
  <si>
    <t>BETHLEHEM TWSP 4TH WARD 1ST DISTRICT</t>
  </si>
  <si>
    <t>BETHLEHEM TWSP 4TH WARD 2ND DISTRICT</t>
  </si>
  <si>
    <t>BETHLEHEM TWSP 4TH WARD 3RD DISTRICT</t>
  </si>
  <si>
    <t>BETHLEHEM TWSP 4TH WARD 4TH DISTRICT</t>
  </si>
  <si>
    <t>BUSHKILL TWSP - BUSHKILL CENTER</t>
  </si>
  <si>
    <t>BUSHKILL TWSP - CHERRY HILL</t>
  </si>
  <si>
    <t>BUSHKILL TWSP - CLEARFIELD</t>
  </si>
  <si>
    <t>EAST ALLEN TWSP - EASTERN</t>
  </si>
  <si>
    <t>EAST ALLEN TWSP - WESTERN</t>
  </si>
  <si>
    <t>EASTON 10TH WARD</t>
  </si>
  <si>
    <t>EASTON 11TH WARD</t>
  </si>
  <si>
    <t>EASTON 2ND WARD</t>
  </si>
  <si>
    <t>EASTON 3RD WARD 2ND DISTRICT</t>
  </si>
  <si>
    <t>EASTON 3RD WARD 3RD DISTRICT</t>
  </si>
  <si>
    <t>EASTON 3RD WARD 4TH DISTRICT</t>
  </si>
  <si>
    <t>EASTON 4TH WARD</t>
  </si>
  <si>
    <t>EASTON 5TH WARD</t>
  </si>
  <si>
    <t>EASTON 6TH WARD</t>
  </si>
  <si>
    <t>EASTON 7TH WARD</t>
  </si>
  <si>
    <t>EASTON 8TH WARD</t>
  </si>
  <si>
    <t>EASTON 9TH WARD</t>
  </si>
  <si>
    <t>FORKS TWSP EAST</t>
  </si>
  <si>
    <t>FORKS TWSP NORTH</t>
  </si>
  <si>
    <t>FORKS TWSP NORTHWEST</t>
  </si>
  <si>
    <t>FORKS TWSP SOUTH</t>
  </si>
  <si>
    <t>FORKS TWSP SOUTHEAST</t>
  </si>
  <si>
    <t>FORKS TWSP SOUTHWEST</t>
  </si>
  <si>
    <t>FORKS TWSP WEST</t>
  </si>
  <si>
    <t>HANOVER #1</t>
  </si>
  <si>
    <t>HANOVER #2</t>
  </si>
  <si>
    <t>HANOVER #3</t>
  </si>
  <si>
    <t>HANOVER #4</t>
  </si>
  <si>
    <t>HANOVER #5</t>
  </si>
  <si>
    <t>HANOVER #6</t>
  </si>
  <si>
    <t>HELLERTOWN BORO 1ST WARD</t>
  </si>
  <si>
    <t>HELLERTOWN BORO 2ND WARD</t>
  </si>
  <si>
    <t>HELLERTOWN BORO 3RD WARD</t>
  </si>
  <si>
    <t>LEHIGH TWSP - CENTRAL</t>
  </si>
  <si>
    <t>LEHIGH TWSP - DANIELSVILLE</t>
  </si>
  <si>
    <t>LEHIGH TWSP - NORTHWESTERN</t>
  </si>
  <si>
    <t>LEHIGH TWSP - PENNSVILLE</t>
  </si>
  <si>
    <t>LEHIGH TWSP - TREICHLERS</t>
  </si>
  <si>
    <t>LOWER MT BETHEL - LOWER</t>
  </si>
  <si>
    <t>LOWER MT BETHEL - UPPER</t>
  </si>
  <si>
    <t>LOWER NAZARETH EAST</t>
  </si>
  <si>
    <t>LOWER NAZARETH NORTH</t>
  </si>
  <si>
    <t>LOWER NAZARETH SOUTH</t>
  </si>
  <si>
    <t>LOWER NAZARETH WEST</t>
  </si>
  <si>
    <t>LOWER SAUCON TWSP - 1</t>
  </si>
  <si>
    <t>LOWER SAUCON TWSP - 2</t>
  </si>
  <si>
    <t>LOWER SAUCON TWSP - 3</t>
  </si>
  <si>
    <t>LOWER SAUCON TWSP - 4</t>
  </si>
  <si>
    <t>LOWER SAUCON TWSP - 6</t>
  </si>
  <si>
    <t>LOWER SAUCON TWSP - 7</t>
  </si>
  <si>
    <t>MOORE TWSP - BEERSVILLE</t>
  </si>
  <si>
    <t>MOORE TWSP - EASTERN</t>
  </si>
  <si>
    <t>MOORE TWSP - KLECKNERSVILLE</t>
  </si>
  <si>
    <t>MOORE TWSP - POINT PHILLIPS</t>
  </si>
  <si>
    <t>NAZARETH BORO 1ST WARD</t>
  </si>
  <si>
    <t>NAZARETH BORO 2ND WARD</t>
  </si>
  <si>
    <t>NAZARETH BORO 3RD WARD</t>
  </si>
  <si>
    <t>NORTH CATASAUQUA 1ST WARD</t>
  </si>
  <si>
    <t>NORTH CATASAUQUA 2ND WARD</t>
  </si>
  <si>
    <t>NORTHAMPTON BORO 1ST WARD</t>
  </si>
  <si>
    <t>NORTHAMPTON BORO 2ND WARD</t>
  </si>
  <si>
    <t>NORTHAMPTON BORO 3RD WARD</t>
  </si>
  <si>
    <t>NORTHAMPTON BORO 4TH WARD</t>
  </si>
  <si>
    <t>PALMER - CENTRAL</t>
  </si>
  <si>
    <t>PALMER - EAST</t>
  </si>
  <si>
    <t>PALMER - NORTH</t>
  </si>
  <si>
    <t>PALMER - NORTHEAST</t>
  </si>
  <si>
    <t>PALMER - NORTHWEST</t>
  </si>
  <si>
    <t>PALMER - SOUTH</t>
  </si>
  <si>
    <t>PALMER - SOUTHEAST</t>
  </si>
  <si>
    <t>PALMER - SOUTHWEST</t>
  </si>
  <si>
    <t>PALMER - WEST</t>
  </si>
  <si>
    <t>PEN ARGYL BORO 1ST WARD</t>
  </si>
  <si>
    <t>PEN ARGYL BORO 2ND WARD</t>
  </si>
  <si>
    <t>PEN ARGYL BORO 3RD WARD</t>
  </si>
  <si>
    <t>PEN ARGYL BORO 4TH WARD</t>
  </si>
  <si>
    <t>PLAINFIELD TWSP - BELFAST</t>
  </si>
  <si>
    <t>PLAINFIELD TWSP - DELABOLE</t>
  </si>
  <si>
    <t>PLAINFIELD TWSP - KESSLERSVILLE</t>
  </si>
  <si>
    <t>PLAINFIELD TWSP - PLAINFIELD CHURCH</t>
  </si>
  <si>
    <t>UPPER MT BETHEL TWSP - CENTERVILLE</t>
  </si>
  <si>
    <t>UPPER MT BETHEL TWSP - JOHNSONVILLE</t>
  </si>
  <si>
    <t>UPPER MT BETHEL TWSP - NORTH BANGOR</t>
  </si>
  <si>
    <t>UPPER MT BETHEL TWSP - SLATEFORD</t>
  </si>
  <si>
    <t>UPPER MT BETHEL TWSP - WILLIAMSBURG</t>
  </si>
  <si>
    <t>UPPER NAZARETH - EAST 1</t>
  </si>
  <si>
    <t>UPPER NAZARETH - EAST 2</t>
  </si>
  <si>
    <t>UPPER NAZARETH - WEST 1</t>
  </si>
  <si>
    <t>UPPER NAZARETH - WEST 2</t>
  </si>
  <si>
    <t>WASHINGTON TWSP - LOWER</t>
  </si>
  <si>
    <t>WASHINGTON TWSP - UPPER</t>
  </si>
  <si>
    <t>WILLAMS TWSP - EASTERN</t>
  </si>
  <si>
    <t>WILLIAMS TWSP - MIDDLE</t>
  </si>
  <si>
    <t>WILLIAMS TWSP - UPPER</t>
  </si>
  <si>
    <t>WILLIAMS TWSP - WESTERN</t>
  </si>
  <si>
    <t>WILSON BORO 1ST WARD</t>
  </si>
  <si>
    <t>WILSON BORO 2ND WARD</t>
  </si>
  <si>
    <t>WILSON BORO 3RD WARD</t>
  </si>
  <si>
    <t>WIND GAP</t>
  </si>
  <si>
    <t>Feature ranking for the 2026 model</t>
  </si>
  <si>
    <t>How the weights work: the forecast is 95% a forest built on past election results and 5% a forest built on registration and turnout. The district-wide level uses the same weights: 95% past House results (the last result plus the swing this district has shown between presidential and midterm years), 5% the registration share. Census demographics are left out.</t>
  </si>
  <si>
    <t>Within each family, features are ranked by permutation importance: the rise in vote-weighted error when one feature is shuffled, on elections held out of training (2022 and 2024).</t>
  </si>
  <si>
    <t>Rank</t>
  </si>
  <si>
    <t>Feature</t>
  </si>
  <si>
    <t>Input family</t>
  </si>
  <si>
    <t>Share of model</t>
  </si>
  <si>
    <t>Share within its family</t>
  </si>
  <si>
    <t>Error added when shuffled (points)</t>
  </si>
  <si>
    <t>Last House result here, lean vs district (precinct if like-for-like, else its town)</t>
  </si>
  <si>
    <t>Past election results</t>
  </si>
  <si>
    <t>Democratic minus Republican share of registered voters, vs district</t>
  </si>
  <si>
    <t>Registration and turnout</t>
  </si>
  <si>
    <t>Share of last election voters who voted by mail, vs district</t>
  </si>
  <si>
    <t>Change in that registration gap since the last election, vs district</t>
  </si>
  <si>
    <t>Turnout of registered voters at the last election, vs district</t>
  </si>
  <si>
    <t>Share registered with neither major party, vs district</t>
  </si>
  <si>
    <t>Last House vote here was a different district contest (Carbon, Polk before 2022)</t>
  </si>
  <si>
    <t>House result from the last same kind of year (midterm or presidential), lean vs district</t>
  </si>
  <si>
    <t>Governor result in the last midterm, town lean vs district</t>
  </si>
  <si>
    <t>Election is a midterm (smaller, higher-turnout electorate than a presidential year)</t>
  </si>
  <si>
    <t>U.S. Senate result in the last midterm, town lean vs district</t>
  </si>
  <si>
    <t>Precinct has its own like-for-like last result (1) or borrows its town result (0)</t>
  </si>
  <si>
    <t>Presidential result in the last presidential year, town lean vs district</t>
  </si>
  <si>
    <t>Total</t>
  </si>
  <si>
    <t>A share of 0% means shuffling that feature did not make predictions of held-out elections any worse.</t>
  </si>
  <si>
    <t>Last column: points of error added when the feature is shuffled; below zero means shuffling it slightly helped.</t>
  </si>
  <si>
    <t>2024 backtest mean error in points, towns / precincts (trained on 2018-2022 only):</t>
  </si>
  <si>
    <t>This model: 2.22 / 2.36</t>
  </si>
  <si>
    <t>The presidential and midterm swing was added after a first version, which carried the last result forward unchanged, called the 2024 winner wrong. So the 2024 test is not fully blind.</t>
  </si>
  <si>
    <t>One forest on both families, weights not fixed: 2.29 / 2.45</t>
  </si>
  <si>
    <t>One forest on both families, no last-result starting point: 2.29 / 2.35</t>
  </si>
  <si>
    <t>Registration and turnout forest alone: 2.72 / 3.94</t>
  </si>
  <si>
    <t>PA-07 2024 House Backtest, Municipal-Level (model trained on 2018-2022 results only)</t>
  </si>
  <si>
    <t>Candidates: Wild | Mackenzie   |   District totals are formulas over the municipal rows.</t>
  </si>
  <si>
    <t>Predicted votes use only data from before the 2024 election. Actual 2024 results and errors are to the right.</t>
  </si>
  <si>
    <t>Data before 2024-11-05</t>
  </si>
  <si>
    <t>DISTRICT TOTALS (auto-sum, do not type over)</t>
  </si>
  <si>
    <t>Wild votes</t>
  </si>
  <si>
    <t>Wild share</t>
  </si>
  <si>
    <t>Actual Wild votes</t>
  </si>
  <si>
    <t>Actual Mackenzie votes</t>
  </si>
  <si>
    <t>Actual total votes</t>
  </si>
  <si>
    <t>Actual Wild share</t>
  </si>
  <si>
    <t>Error (points, predicted minus actual)</t>
  </si>
  <si>
    <t>Backtest district total</t>
  </si>
  <si>
    <t>Actual cells are blank where no 2024 result covers the same ground as the current precinct.</t>
  </si>
  <si>
    <t>PA-07 2024 House Backtest, Precinct-Level (model trained on 2018-2022 results only)</t>
  </si>
  <si>
    <t>Candidates: Wild | Mackenzie   |   District totals are formulas over the precinct rows.</t>
  </si>
  <si>
    <t>95/5 forest blend, anchored on own 2022 result</t>
  </si>
  <si>
    <t>No actual: 2024 code also carries the Park split votes</t>
  </si>
  <si>
    <t>No actual: its 2024 votes are counted in 17th Ward 4th District</t>
  </si>
  <si>
    <t>No actual: no separate 2024 result under this precinct code</t>
  </si>
  <si>
    <t>No actual: no precinct code and 3 registrants</t>
  </si>
  <si>
    <t>No actual: 2024 votes do not match current boundaries</t>
  </si>
  <si>
    <t>No actual: precinct redrawn, no 2024 precinct matches it</t>
  </si>
  <si>
    <t>95/5 forest blend, anchored on town 2022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</si>
</sst>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sqref="A1:I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14" customWidth="1"/>
    <col min="4" max="4" width="16" customWidth="1"/>
    <col min="6" max="6" width="12" customWidth="1"/>
    <col min="7" max="7" width="13" customWidth="1"/>
    <col min="8" max="8" width="15" customWidth="1"/>
    <col min="9" max="9" width="26" customWidth="1"/>
    <col min="10" max="10" width="8.6640625" customWidth="1"/>
  </cols>
  <sheetData>
    <row r="1" spans="1:9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7" t="s">
        <v>2</v>
      </c>
      <c r="B3" s="8"/>
      <c r="C3" s="8"/>
      <c r="D3" s="8"/>
      <c r="E3" s="8"/>
      <c r="F3" s="8"/>
      <c r="G3" s="8"/>
      <c r="H3" s="8"/>
      <c r="I3" s="8"/>
    </row>
    <row r="4" spans="1:9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7" t="s">
        <v>11</v>
      </c>
      <c r="B6" s="8"/>
      <c r="C6" s="8"/>
      <c r="D6" s="8"/>
      <c r="E6" s="8"/>
      <c r="F6" s="8"/>
      <c r="G6" s="8"/>
      <c r="H6" s="8"/>
      <c r="I6" s="8"/>
    </row>
    <row r="7" spans="1:9" x14ac:dyDescent="0.2">
      <c r="A7" s="1" t="s">
        <v>12</v>
      </c>
      <c r="B7" s="1"/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</row>
    <row r="8" spans="1:9" x14ac:dyDescent="0.2">
      <c r="A8" s="1" t="s">
        <v>20</v>
      </c>
      <c r="B8" s="1" t="s">
        <v>21</v>
      </c>
      <c r="C8" s="2">
        <f>SUM(C12:C100)</f>
        <v>155384</v>
      </c>
      <c r="D8" s="2">
        <f>SUM(D12:D100)</f>
        <v>150315</v>
      </c>
      <c r="E8" s="2">
        <f>SUM(E12:E100)</f>
        <v>0</v>
      </c>
      <c r="F8" s="2">
        <f>C8+D8+E8</f>
        <v>305699</v>
      </c>
      <c r="G8" s="3">
        <f>IF(F8=0,"",C8/F8)</f>
        <v>0.50829083510250284</v>
      </c>
      <c r="H8" s="3">
        <f>IF(F8=0,"",D8/F8)</f>
        <v>0.49170916489749722</v>
      </c>
      <c r="I8" s="1" t="s">
        <v>22</v>
      </c>
    </row>
    <row r="9" spans="1:9" x14ac:dyDescent="0.2">
      <c r="A9" s="7" t="s">
        <v>23</v>
      </c>
      <c r="B9" s="8"/>
      <c r="C9" s="8"/>
      <c r="D9" s="8"/>
      <c r="E9" s="8"/>
      <c r="F9" s="8"/>
      <c r="G9" s="8"/>
      <c r="H9" s="8"/>
      <c r="I9" s="8"/>
    </row>
    <row r="10" spans="1:9" x14ac:dyDescent="0.2">
      <c r="A10" s="7" t="s">
        <v>24</v>
      </c>
      <c r="B10" s="8"/>
      <c r="C10" s="8"/>
      <c r="D10" s="8"/>
      <c r="E10" s="8"/>
      <c r="F10" s="8"/>
      <c r="G10" s="8"/>
      <c r="H10" s="8"/>
      <c r="I10" s="8"/>
    </row>
    <row r="11" spans="1:9" ht="31.5" customHeight="1" x14ac:dyDescent="0.2">
      <c r="A11" s="1" t="s">
        <v>25</v>
      </c>
      <c r="B11" s="1" t="s">
        <v>26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27</v>
      </c>
    </row>
    <row r="12" spans="1:9" x14ac:dyDescent="0.2">
      <c r="A12" s="1" t="s">
        <v>28</v>
      </c>
      <c r="B12" s="1" t="s">
        <v>29</v>
      </c>
      <c r="C12" s="2">
        <v>148</v>
      </c>
      <c r="D12" s="2">
        <v>216</v>
      </c>
      <c r="E12" s="2"/>
      <c r="F12" s="2">
        <v>364</v>
      </c>
      <c r="G12" s="3">
        <v>0.40659340659340659</v>
      </c>
      <c r="H12" s="3">
        <v>0.59340659340659341</v>
      </c>
      <c r="I12" s="1" t="s">
        <v>30</v>
      </c>
    </row>
    <row r="13" spans="1:9" x14ac:dyDescent="0.2">
      <c r="A13" s="1" t="s">
        <v>28</v>
      </c>
      <c r="B13" s="1" t="s">
        <v>31</v>
      </c>
      <c r="C13" s="2">
        <v>100</v>
      </c>
      <c r="D13" s="2">
        <v>230</v>
      </c>
      <c r="E13" s="2"/>
      <c r="F13" s="2">
        <v>330</v>
      </c>
      <c r="G13" s="3">
        <v>0.30303030303030298</v>
      </c>
      <c r="H13" s="3">
        <v>0.69696969696969702</v>
      </c>
      <c r="I13" s="1" t="s">
        <v>30</v>
      </c>
    </row>
    <row r="14" spans="1:9" x14ac:dyDescent="0.2">
      <c r="A14" s="1" t="s">
        <v>28</v>
      </c>
      <c r="B14" s="1" t="s">
        <v>32</v>
      </c>
      <c r="C14" s="2">
        <v>121</v>
      </c>
      <c r="D14" s="2">
        <v>235</v>
      </c>
      <c r="E14" s="2"/>
      <c r="F14" s="2">
        <v>356</v>
      </c>
      <c r="G14" s="3">
        <v>0.3398876404494382</v>
      </c>
      <c r="H14" s="3">
        <v>0.6601123595505618</v>
      </c>
      <c r="I14" s="1" t="s">
        <v>30</v>
      </c>
    </row>
    <row r="15" spans="1:9" x14ac:dyDescent="0.2">
      <c r="A15" s="1" t="s">
        <v>28</v>
      </c>
      <c r="B15" s="1" t="s">
        <v>33</v>
      </c>
      <c r="C15" s="2">
        <v>377</v>
      </c>
      <c r="D15" s="2">
        <v>958</v>
      </c>
      <c r="E15" s="2"/>
      <c r="F15" s="2">
        <v>1335</v>
      </c>
      <c r="G15" s="3">
        <v>0.28239700374531829</v>
      </c>
      <c r="H15" s="3">
        <v>0.7176029962546816</v>
      </c>
      <c r="I15" s="1" t="s">
        <v>30</v>
      </c>
    </row>
    <row r="16" spans="1:9" x14ac:dyDescent="0.2">
      <c r="A16" s="1" t="s">
        <v>28</v>
      </c>
      <c r="B16" s="1" t="s">
        <v>34</v>
      </c>
      <c r="C16" s="2">
        <v>33</v>
      </c>
      <c r="D16" s="2">
        <v>61</v>
      </c>
      <c r="E16" s="2"/>
      <c r="F16" s="2">
        <v>94</v>
      </c>
      <c r="G16" s="3">
        <v>0.35106382978723399</v>
      </c>
      <c r="H16" s="3">
        <v>0.64893617021276595</v>
      </c>
      <c r="I16" s="1" t="s">
        <v>30</v>
      </c>
    </row>
    <row r="17" spans="1:9" x14ac:dyDescent="0.2">
      <c r="A17" s="1" t="s">
        <v>28</v>
      </c>
      <c r="B17" s="1" t="s">
        <v>35</v>
      </c>
      <c r="C17" s="2">
        <v>592</v>
      </c>
      <c r="D17" s="2">
        <v>1390</v>
      </c>
      <c r="E17" s="2"/>
      <c r="F17" s="2">
        <v>1982</v>
      </c>
      <c r="G17" s="3">
        <v>0.29868819374369332</v>
      </c>
      <c r="H17" s="3">
        <v>0.70131180625630674</v>
      </c>
      <c r="I17" s="1" t="s">
        <v>30</v>
      </c>
    </row>
    <row r="18" spans="1:9" x14ac:dyDescent="0.2">
      <c r="A18" s="1" t="s">
        <v>28</v>
      </c>
      <c r="B18" s="1" t="s">
        <v>36</v>
      </c>
      <c r="C18" s="2">
        <v>947</v>
      </c>
      <c r="D18" s="2">
        <v>1161</v>
      </c>
      <c r="E18" s="2"/>
      <c r="F18" s="2">
        <v>2108</v>
      </c>
      <c r="G18" s="3">
        <v>0.44924098671726748</v>
      </c>
      <c r="H18" s="3">
        <v>0.55075901328273247</v>
      </c>
      <c r="I18" s="1" t="s">
        <v>30</v>
      </c>
    </row>
    <row r="19" spans="1:9" x14ac:dyDescent="0.2">
      <c r="A19" s="1" t="s">
        <v>28</v>
      </c>
      <c r="B19" s="1" t="s">
        <v>37</v>
      </c>
      <c r="C19" s="2">
        <v>290</v>
      </c>
      <c r="D19" s="2">
        <v>515</v>
      </c>
      <c r="E19" s="2"/>
      <c r="F19" s="2">
        <v>805</v>
      </c>
      <c r="G19" s="3">
        <v>0.36024844720496901</v>
      </c>
      <c r="H19" s="3">
        <v>0.63975155279503104</v>
      </c>
      <c r="I19" s="1" t="s">
        <v>30</v>
      </c>
    </row>
    <row r="20" spans="1:9" x14ac:dyDescent="0.2">
      <c r="A20" s="1" t="s">
        <v>28</v>
      </c>
      <c r="B20" s="1" t="s">
        <v>38</v>
      </c>
      <c r="C20" s="2">
        <v>457</v>
      </c>
      <c r="D20" s="2">
        <v>626</v>
      </c>
      <c r="E20" s="2"/>
      <c r="F20" s="2">
        <v>1083</v>
      </c>
      <c r="G20" s="3">
        <v>0.42197599261311181</v>
      </c>
      <c r="H20" s="3">
        <v>0.57802400738688831</v>
      </c>
      <c r="I20" s="1" t="s">
        <v>30</v>
      </c>
    </row>
    <row r="21" spans="1:9" x14ac:dyDescent="0.2">
      <c r="A21" s="1" t="s">
        <v>28</v>
      </c>
      <c r="B21" s="1" t="s">
        <v>39</v>
      </c>
      <c r="C21" s="2">
        <v>34</v>
      </c>
      <c r="D21" s="2">
        <v>84</v>
      </c>
      <c r="E21" s="2"/>
      <c r="F21" s="2">
        <v>118</v>
      </c>
      <c r="G21" s="3">
        <v>0.28813559322033899</v>
      </c>
      <c r="H21" s="3">
        <v>0.71186440677966101</v>
      </c>
      <c r="I21" s="1" t="s">
        <v>30</v>
      </c>
    </row>
    <row r="22" spans="1:9" x14ac:dyDescent="0.2">
      <c r="A22" s="1" t="s">
        <v>28</v>
      </c>
      <c r="B22" s="1" t="s">
        <v>40</v>
      </c>
      <c r="C22" s="2">
        <v>59</v>
      </c>
      <c r="D22" s="2">
        <v>178</v>
      </c>
      <c r="E22" s="2"/>
      <c r="F22" s="2">
        <v>237</v>
      </c>
      <c r="G22" s="3">
        <v>0.24894514767932491</v>
      </c>
      <c r="H22" s="3">
        <v>0.75105485232067515</v>
      </c>
      <c r="I22" s="1" t="s">
        <v>30</v>
      </c>
    </row>
    <row r="23" spans="1:9" x14ac:dyDescent="0.2">
      <c r="A23" s="1" t="s">
        <v>28</v>
      </c>
      <c r="B23" s="1" t="s">
        <v>41</v>
      </c>
      <c r="C23" s="2">
        <v>730</v>
      </c>
      <c r="D23" s="2">
        <v>1024</v>
      </c>
      <c r="E23" s="2"/>
      <c r="F23" s="2">
        <v>1754</v>
      </c>
      <c r="G23" s="3">
        <v>0.41619156214367159</v>
      </c>
      <c r="H23" s="3">
        <v>0.58380843785632841</v>
      </c>
      <c r="I23" s="1" t="s">
        <v>30</v>
      </c>
    </row>
    <row r="24" spans="1:9" x14ac:dyDescent="0.2">
      <c r="A24" s="1" t="s">
        <v>28</v>
      </c>
      <c r="B24" s="1" t="s">
        <v>42</v>
      </c>
      <c r="C24" s="2">
        <v>431</v>
      </c>
      <c r="D24" s="2">
        <v>970</v>
      </c>
      <c r="E24" s="2"/>
      <c r="F24" s="2">
        <v>1401</v>
      </c>
      <c r="G24" s="3">
        <v>0.30763740185581728</v>
      </c>
      <c r="H24" s="3">
        <v>0.69236259814418277</v>
      </c>
      <c r="I24" s="1" t="s">
        <v>30</v>
      </c>
    </row>
    <row r="25" spans="1:9" x14ac:dyDescent="0.2">
      <c r="A25" s="1" t="s">
        <v>28</v>
      </c>
      <c r="B25" s="1" t="s">
        <v>43</v>
      </c>
      <c r="C25" s="2">
        <v>578</v>
      </c>
      <c r="D25" s="2">
        <v>1301</v>
      </c>
      <c r="E25" s="2"/>
      <c r="F25" s="2">
        <v>1879</v>
      </c>
      <c r="G25" s="3">
        <v>0.3076104310803619</v>
      </c>
      <c r="H25" s="3">
        <v>0.6923895689196381</v>
      </c>
      <c r="I25" s="1" t="s">
        <v>30</v>
      </c>
    </row>
    <row r="26" spans="1:9" x14ac:dyDescent="0.2">
      <c r="A26" s="1" t="s">
        <v>28</v>
      </c>
      <c r="B26" s="1" t="s">
        <v>44</v>
      </c>
      <c r="C26" s="2">
        <v>509</v>
      </c>
      <c r="D26" s="2">
        <v>706</v>
      </c>
      <c r="E26" s="2"/>
      <c r="F26" s="2">
        <v>1215</v>
      </c>
      <c r="G26" s="3">
        <v>0.4189300411522634</v>
      </c>
      <c r="H26" s="3">
        <v>0.5810699588477366</v>
      </c>
      <c r="I26" s="1" t="s">
        <v>30</v>
      </c>
    </row>
    <row r="27" spans="1:9" x14ac:dyDescent="0.2">
      <c r="A27" s="1" t="s">
        <v>28</v>
      </c>
      <c r="B27" s="1" t="s">
        <v>45</v>
      </c>
      <c r="C27" s="2">
        <v>130</v>
      </c>
      <c r="D27" s="2">
        <v>400</v>
      </c>
      <c r="E27" s="2"/>
      <c r="F27" s="2">
        <v>530</v>
      </c>
      <c r="G27" s="3">
        <v>0.2452830188679245</v>
      </c>
      <c r="H27" s="3">
        <v>0.75471698113207553</v>
      </c>
      <c r="I27" s="1" t="s">
        <v>30</v>
      </c>
    </row>
    <row r="28" spans="1:9" x14ac:dyDescent="0.2">
      <c r="A28" s="1" t="s">
        <v>28</v>
      </c>
      <c r="B28" s="1" t="s">
        <v>46</v>
      </c>
      <c r="C28" s="2">
        <v>738</v>
      </c>
      <c r="D28" s="2">
        <v>1253</v>
      </c>
      <c r="E28" s="2"/>
      <c r="F28" s="2">
        <v>1991</v>
      </c>
      <c r="G28" s="3">
        <v>0.37066800602712208</v>
      </c>
      <c r="H28" s="3">
        <v>0.62933199397287798</v>
      </c>
      <c r="I28" s="1" t="s">
        <v>30</v>
      </c>
    </row>
    <row r="29" spans="1:9" x14ac:dyDescent="0.2">
      <c r="A29" s="1" t="s">
        <v>28</v>
      </c>
      <c r="B29" s="1" t="s">
        <v>47</v>
      </c>
      <c r="C29" s="2">
        <v>60</v>
      </c>
      <c r="D29" s="2">
        <v>125</v>
      </c>
      <c r="E29" s="2"/>
      <c r="F29" s="2">
        <v>185</v>
      </c>
      <c r="G29" s="3">
        <v>0.32432432432432429</v>
      </c>
      <c r="H29" s="3">
        <v>0.67567567567567566</v>
      </c>
      <c r="I29" s="1" t="s">
        <v>30</v>
      </c>
    </row>
    <row r="30" spans="1:9" x14ac:dyDescent="0.2">
      <c r="A30" s="1" t="s">
        <v>28</v>
      </c>
      <c r="B30" s="1" t="s">
        <v>48</v>
      </c>
      <c r="C30" s="2">
        <v>1687</v>
      </c>
      <c r="D30" s="2">
        <v>2785</v>
      </c>
      <c r="E30" s="2"/>
      <c r="F30" s="2">
        <v>4472</v>
      </c>
      <c r="G30" s="3">
        <v>0.37723613595706618</v>
      </c>
      <c r="H30" s="3">
        <v>0.62276386404293382</v>
      </c>
      <c r="I30" s="1" t="s">
        <v>30</v>
      </c>
    </row>
    <row r="31" spans="1:9" x14ac:dyDescent="0.2">
      <c r="A31" s="1" t="s">
        <v>28</v>
      </c>
      <c r="B31" s="1" t="s">
        <v>49</v>
      </c>
      <c r="C31" s="2">
        <v>563</v>
      </c>
      <c r="D31" s="2">
        <v>730</v>
      </c>
      <c r="E31" s="2"/>
      <c r="F31" s="2">
        <v>1293</v>
      </c>
      <c r="G31" s="3">
        <v>0.43542150038669758</v>
      </c>
      <c r="H31" s="3">
        <v>0.56457849961330242</v>
      </c>
      <c r="I31" s="1" t="s">
        <v>30</v>
      </c>
    </row>
    <row r="32" spans="1:9" x14ac:dyDescent="0.2">
      <c r="A32" s="1" t="s">
        <v>28</v>
      </c>
      <c r="B32" s="1" t="s">
        <v>50</v>
      </c>
      <c r="C32" s="2">
        <v>703</v>
      </c>
      <c r="D32" s="2">
        <v>1556</v>
      </c>
      <c r="E32" s="2"/>
      <c r="F32" s="2">
        <v>2259</v>
      </c>
      <c r="G32" s="3">
        <v>0.31119964586100052</v>
      </c>
      <c r="H32" s="3">
        <v>0.68880035413899954</v>
      </c>
      <c r="I32" s="1" t="s">
        <v>30</v>
      </c>
    </row>
    <row r="33" spans="1:9" x14ac:dyDescent="0.2">
      <c r="A33" s="1" t="s">
        <v>28</v>
      </c>
      <c r="B33" s="1" t="s">
        <v>51</v>
      </c>
      <c r="C33" s="2">
        <v>288</v>
      </c>
      <c r="D33" s="2">
        <v>626</v>
      </c>
      <c r="E33" s="2"/>
      <c r="F33" s="2">
        <v>914</v>
      </c>
      <c r="G33" s="3">
        <v>0.31509846827133481</v>
      </c>
      <c r="H33" s="3">
        <v>0.68490153172866519</v>
      </c>
      <c r="I33" s="1" t="s">
        <v>30</v>
      </c>
    </row>
    <row r="34" spans="1:9" x14ac:dyDescent="0.2">
      <c r="A34" s="1" t="s">
        <v>28</v>
      </c>
      <c r="B34" s="1" t="s">
        <v>52</v>
      </c>
      <c r="C34" s="2">
        <v>41</v>
      </c>
      <c r="D34" s="2">
        <v>66</v>
      </c>
      <c r="E34" s="2"/>
      <c r="F34" s="2">
        <v>107</v>
      </c>
      <c r="G34" s="3">
        <v>0.38317757009345788</v>
      </c>
      <c r="H34" s="3">
        <v>0.61682242990654201</v>
      </c>
      <c r="I34" s="1" t="s">
        <v>30</v>
      </c>
    </row>
    <row r="35" spans="1:9" x14ac:dyDescent="0.2">
      <c r="A35" s="1" t="s">
        <v>53</v>
      </c>
      <c r="B35" s="1" t="s">
        <v>54</v>
      </c>
      <c r="C35" s="2">
        <v>495</v>
      </c>
      <c r="D35" s="2">
        <v>566</v>
      </c>
      <c r="E35" s="2"/>
      <c r="F35" s="2">
        <v>1061</v>
      </c>
      <c r="G35" s="3">
        <v>0.46654099905749291</v>
      </c>
      <c r="H35" s="3">
        <v>0.53345900094250709</v>
      </c>
      <c r="I35" s="1" t="s">
        <v>30</v>
      </c>
    </row>
    <row r="36" spans="1:9" x14ac:dyDescent="0.2">
      <c r="A36" s="1" t="s">
        <v>53</v>
      </c>
      <c r="B36" s="1" t="s">
        <v>55</v>
      </c>
      <c r="C36" s="2">
        <v>16610</v>
      </c>
      <c r="D36" s="2">
        <v>8764</v>
      </c>
      <c r="E36" s="2"/>
      <c r="F36" s="2">
        <v>25374</v>
      </c>
      <c r="G36" s="3">
        <v>0.65460707811145269</v>
      </c>
      <c r="H36" s="3">
        <v>0.34539292188854731</v>
      </c>
      <c r="I36" s="1" t="s">
        <v>30</v>
      </c>
    </row>
    <row r="37" spans="1:9" x14ac:dyDescent="0.2">
      <c r="A37" s="1" t="s">
        <v>53</v>
      </c>
      <c r="B37" s="1" t="s">
        <v>56</v>
      </c>
      <c r="C37" s="2">
        <v>5145</v>
      </c>
      <c r="D37" s="2">
        <v>2831</v>
      </c>
      <c r="E37" s="2"/>
      <c r="F37" s="2">
        <v>7976</v>
      </c>
      <c r="G37" s="3">
        <v>0.64506018054162484</v>
      </c>
      <c r="H37" s="3">
        <v>0.35493981945837511</v>
      </c>
      <c r="I37" s="1" t="s">
        <v>30</v>
      </c>
    </row>
    <row r="38" spans="1:9" x14ac:dyDescent="0.2">
      <c r="A38" s="1" t="s">
        <v>53</v>
      </c>
      <c r="B38" s="1" t="s">
        <v>57</v>
      </c>
      <c r="C38" s="2">
        <v>1154</v>
      </c>
      <c r="D38" s="2">
        <v>1023</v>
      </c>
      <c r="E38" s="2"/>
      <c r="F38" s="2">
        <v>2177</v>
      </c>
      <c r="G38" s="3">
        <v>0.53008727606798345</v>
      </c>
      <c r="H38" s="3">
        <v>0.46991272393201661</v>
      </c>
      <c r="I38" s="1" t="s">
        <v>30</v>
      </c>
    </row>
    <row r="39" spans="1:9" x14ac:dyDescent="0.2">
      <c r="A39" s="1" t="s">
        <v>53</v>
      </c>
      <c r="B39" s="1" t="s">
        <v>58</v>
      </c>
      <c r="C39" s="2">
        <v>637</v>
      </c>
      <c r="D39" s="2">
        <v>634</v>
      </c>
      <c r="E39" s="2"/>
      <c r="F39" s="2">
        <v>1271</v>
      </c>
      <c r="G39" s="3">
        <v>0.50118017309205354</v>
      </c>
      <c r="H39" s="3">
        <v>0.49881982690794652</v>
      </c>
      <c r="I39" s="1" t="s">
        <v>30</v>
      </c>
    </row>
    <row r="40" spans="1:9" x14ac:dyDescent="0.2">
      <c r="A40" s="1" t="s">
        <v>53</v>
      </c>
      <c r="B40" s="1" t="s">
        <v>59</v>
      </c>
      <c r="C40" s="2">
        <v>710</v>
      </c>
      <c r="D40" s="2">
        <v>654</v>
      </c>
      <c r="E40" s="2"/>
      <c r="F40" s="2">
        <v>1364</v>
      </c>
      <c r="G40" s="3">
        <v>0.52052785923753664</v>
      </c>
      <c r="H40" s="3">
        <v>0.47947214076246342</v>
      </c>
      <c r="I40" s="1" t="s">
        <v>30</v>
      </c>
    </row>
    <row r="41" spans="1:9" x14ac:dyDescent="0.2">
      <c r="A41" s="1" t="s">
        <v>53</v>
      </c>
      <c r="B41" s="1" t="s">
        <v>60</v>
      </c>
      <c r="C41" s="2">
        <v>2953</v>
      </c>
      <c r="D41" s="2">
        <v>2435</v>
      </c>
      <c r="E41" s="2"/>
      <c r="F41" s="2">
        <v>5388</v>
      </c>
      <c r="G41" s="3">
        <v>0.54806978470675571</v>
      </c>
      <c r="H41" s="3">
        <v>0.45193021529324418</v>
      </c>
      <c r="I41" s="1" t="s">
        <v>30</v>
      </c>
    </row>
    <row r="42" spans="1:9" x14ac:dyDescent="0.2">
      <c r="A42" s="1" t="s">
        <v>53</v>
      </c>
      <c r="B42" s="1" t="s">
        <v>61</v>
      </c>
      <c r="C42" s="2">
        <v>1044</v>
      </c>
      <c r="D42" s="2">
        <v>561</v>
      </c>
      <c r="E42" s="2"/>
      <c r="F42" s="2">
        <v>1605</v>
      </c>
      <c r="G42" s="3">
        <v>0.6504672897196262</v>
      </c>
      <c r="H42" s="3">
        <v>0.34953271028037391</v>
      </c>
      <c r="I42" s="1" t="s">
        <v>30</v>
      </c>
    </row>
    <row r="43" spans="1:9" x14ac:dyDescent="0.2">
      <c r="A43" s="1" t="s">
        <v>53</v>
      </c>
      <c r="B43" s="1" t="s">
        <v>62</v>
      </c>
      <c r="C43" s="2">
        <v>267</v>
      </c>
      <c r="D43" s="2">
        <v>217</v>
      </c>
      <c r="E43" s="2"/>
      <c r="F43" s="2">
        <v>484</v>
      </c>
      <c r="G43" s="3">
        <v>0.55165289256198347</v>
      </c>
      <c r="H43" s="3">
        <v>0.44834710743801648</v>
      </c>
      <c r="I43" s="1" t="s">
        <v>30</v>
      </c>
    </row>
    <row r="44" spans="1:9" x14ac:dyDescent="0.2">
      <c r="A44" s="1" t="s">
        <v>53</v>
      </c>
      <c r="B44" s="1" t="s">
        <v>63</v>
      </c>
      <c r="C44" s="2">
        <v>543</v>
      </c>
      <c r="D44" s="2">
        <v>1113</v>
      </c>
      <c r="E44" s="2"/>
      <c r="F44" s="2">
        <v>1656</v>
      </c>
      <c r="G44" s="3">
        <v>0.32789855072463769</v>
      </c>
      <c r="H44" s="3">
        <v>0.67210144927536231</v>
      </c>
      <c r="I44" s="1" t="s">
        <v>30</v>
      </c>
    </row>
    <row r="45" spans="1:9" x14ac:dyDescent="0.2">
      <c r="A45" s="1" t="s">
        <v>53</v>
      </c>
      <c r="B45" s="1" t="s">
        <v>64</v>
      </c>
      <c r="C45" s="2">
        <v>8437</v>
      </c>
      <c r="D45" s="2">
        <v>7897</v>
      </c>
      <c r="E45" s="2"/>
      <c r="F45" s="2">
        <v>16334</v>
      </c>
      <c r="G45" s="3">
        <v>0.51652993755356924</v>
      </c>
      <c r="H45" s="3">
        <v>0.48347006244643081</v>
      </c>
      <c r="I45" s="1" t="s">
        <v>30</v>
      </c>
    </row>
    <row r="46" spans="1:9" x14ac:dyDescent="0.2">
      <c r="A46" s="1" t="s">
        <v>53</v>
      </c>
      <c r="B46" s="1" t="s">
        <v>65</v>
      </c>
      <c r="C46" s="2">
        <v>906</v>
      </c>
      <c r="D46" s="2">
        <v>1298</v>
      </c>
      <c r="E46" s="2"/>
      <c r="F46" s="2">
        <v>2204</v>
      </c>
      <c r="G46" s="3">
        <v>0.41107078039927403</v>
      </c>
      <c r="H46" s="3">
        <v>0.58892921960072597</v>
      </c>
      <c r="I46" s="1" t="s">
        <v>30</v>
      </c>
    </row>
    <row r="47" spans="1:9" x14ac:dyDescent="0.2">
      <c r="A47" s="1" t="s">
        <v>53</v>
      </c>
      <c r="B47" s="1" t="s">
        <v>66</v>
      </c>
      <c r="C47" s="2">
        <v>467</v>
      </c>
      <c r="D47" s="2">
        <v>770</v>
      </c>
      <c r="E47" s="2"/>
      <c r="F47" s="2">
        <v>1237</v>
      </c>
      <c r="G47" s="3">
        <v>0.37752627324171378</v>
      </c>
      <c r="H47" s="3">
        <v>0.62247372675828616</v>
      </c>
      <c r="I47" s="1" t="s">
        <v>30</v>
      </c>
    </row>
    <row r="48" spans="1:9" x14ac:dyDescent="0.2">
      <c r="A48" s="1" t="s">
        <v>53</v>
      </c>
      <c r="B48" s="1" t="s">
        <v>67</v>
      </c>
      <c r="C48" s="2">
        <v>722</v>
      </c>
      <c r="D48" s="2">
        <v>1470</v>
      </c>
      <c r="E48" s="2"/>
      <c r="F48" s="2">
        <v>2192</v>
      </c>
      <c r="G48" s="3">
        <v>0.32937956204379559</v>
      </c>
      <c r="H48" s="3">
        <v>0.67062043795620441</v>
      </c>
      <c r="I48" s="1" t="s">
        <v>30</v>
      </c>
    </row>
    <row r="49" spans="1:9" x14ac:dyDescent="0.2">
      <c r="A49" s="1" t="s">
        <v>53</v>
      </c>
      <c r="B49" s="1" t="s">
        <v>68</v>
      </c>
      <c r="C49" s="2">
        <v>823</v>
      </c>
      <c r="D49" s="2">
        <v>690</v>
      </c>
      <c r="E49" s="2"/>
      <c r="F49" s="2">
        <v>1513</v>
      </c>
      <c r="G49" s="3">
        <v>0.5439524124256444</v>
      </c>
      <c r="H49" s="3">
        <v>0.4560475875743556</v>
      </c>
      <c r="I49" s="1" t="s">
        <v>30</v>
      </c>
    </row>
    <row r="50" spans="1:9" x14ac:dyDescent="0.2">
      <c r="A50" s="1" t="s">
        <v>53</v>
      </c>
      <c r="B50" s="1" t="s">
        <v>69</v>
      </c>
      <c r="C50" s="2">
        <v>3385</v>
      </c>
      <c r="D50" s="2">
        <v>4512</v>
      </c>
      <c r="E50" s="2"/>
      <c r="F50" s="2">
        <v>7897</v>
      </c>
      <c r="G50" s="3">
        <v>0.42864378878054959</v>
      </c>
      <c r="H50" s="3">
        <v>0.57135621121945046</v>
      </c>
      <c r="I50" s="1" t="s">
        <v>30</v>
      </c>
    </row>
    <row r="51" spans="1:9" x14ac:dyDescent="0.2">
      <c r="A51" s="1" t="s">
        <v>53</v>
      </c>
      <c r="B51" s="1" t="s">
        <v>70</v>
      </c>
      <c r="C51" s="2">
        <v>3316</v>
      </c>
      <c r="D51" s="2">
        <v>3114</v>
      </c>
      <c r="E51" s="2"/>
      <c r="F51" s="2">
        <v>6430</v>
      </c>
      <c r="G51" s="3">
        <v>0.51570762052877139</v>
      </c>
      <c r="H51" s="3">
        <v>0.48429237947122861</v>
      </c>
      <c r="I51" s="1" t="s">
        <v>30</v>
      </c>
    </row>
    <row r="52" spans="1:9" x14ac:dyDescent="0.2">
      <c r="A52" s="1" t="s">
        <v>53</v>
      </c>
      <c r="B52" s="1" t="s">
        <v>71</v>
      </c>
      <c r="C52" s="2">
        <v>598</v>
      </c>
      <c r="D52" s="2">
        <v>793</v>
      </c>
      <c r="E52" s="2"/>
      <c r="F52" s="2">
        <v>1391</v>
      </c>
      <c r="G52" s="3">
        <v>0.42990654205607481</v>
      </c>
      <c r="H52" s="3">
        <v>0.57009345794392519</v>
      </c>
      <c r="I52" s="1" t="s">
        <v>30</v>
      </c>
    </row>
    <row r="53" spans="1:9" x14ac:dyDescent="0.2">
      <c r="A53" s="1" t="s">
        <v>53</v>
      </c>
      <c r="B53" s="1" t="s">
        <v>72</v>
      </c>
      <c r="C53" s="2">
        <v>5774</v>
      </c>
      <c r="D53" s="2">
        <v>4712</v>
      </c>
      <c r="E53" s="2"/>
      <c r="F53" s="2">
        <v>10486</v>
      </c>
      <c r="G53" s="3">
        <v>0.55063894716765216</v>
      </c>
      <c r="H53" s="3">
        <v>0.4493610528323479</v>
      </c>
      <c r="I53" s="1" t="s">
        <v>30</v>
      </c>
    </row>
    <row r="54" spans="1:9" x14ac:dyDescent="0.2">
      <c r="A54" s="1" t="s">
        <v>53</v>
      </c>
      <c r="B54" s="1" t="s">
        <v>73</v>
      </c>
      <c r="C54" s="2">
        <v>6392</v>
      </c>
      <c r="D54" s="2">
        <v>5638</v>
      </c>
      <c r="E54" s="2"/>
      <c r="F54" s="2">
        <v>12030</v>
      </c>
      <c r="G54" s="3">
        <v>0.53133832086450539</v>
      </c>
      <c r="H54" s="3">
        <v>0.46866167913549461</v>
      </c>
      <c r="I54" s="1" t="s">
        <v>30</v>
      </c>
    </row>
    <row r="55" spans="1:9" x14ac:dyDescent="0.2">
      <c r="A55" s="1" t="s">
        <v>53</v>
      </c>
      <c r="B55" s="1" t="s">
        <v>74</v>
      </c>
      <c r="C55" s="2">
        <v>2103</v>
      </c>
      <c r="D55" s="2">
        <v>2511</v>
      </c>
      <c r="E55" s="2"/>
      <c r="F55" s="2">
        <v>4614</v>
      </c>
      <c r="G55" s="3">
        <v>0.45578673602080622</v>
      </c>
      <c r="H55" s="3">
        <v>0.54421326397919378</v>
      </c>
      <c r="I55" s="1" t="s">
        <v>30</v>
      </c>
    </row>
    <row r="56" spans="1:9" x14ac:dyDescent="0.2">
      <c r="A56" s="1" t="s">
        <v>53</v>
      </c>
      <c r="B56" s="1" t="s">
        <v>75</v>
      </c>
      <c r="C56" s="2">
        <v>4794</v>
      </c>
      <c r="D56" s="2">
        <v>4550</v>
      </c>
      <c r="E56" s="2"/>
      <c r="F56" s="2">
        <v>9344</v>
      </c>
      <c r="G56" s="3">
        <v>0.51305650684931503</v>
      </c>
      <c r="H56" s="3">
        <v>0.48694349315068491</v>
      </c>
      <c r="I56" s="1" t="s">
        <v>30</v>
      </c>
    </row>
    <row r="57" spans="1:9" x14ac:dyDescent="0.2">
      <c r="A57" s="1" t="s">
        <v>53</v>
      </c>
      <c r="B57" s="1" t="s">
        <v>76</v>
      </c>
      <c r="C57" s="2">
        <v>1062</v>
      </c>
      <c r="D57" s="2">
        <v>2041</v>
      </c>
      <c r="E57" s="2"/>
      <c r="F57" s="2">
        <v>3103</v>
      </c>
      <c r="G57" s="3">
        <v>0.34224943602964869</v>
      </c>
      <c r="H57" s="3">
        <v>0.65775056397035125</v>
      </c>
      <c r="I57" s="1" t="s">
        <v>30</v>
      </c>
    </row>
    <row r="58" spans="1:9" x14ac:dyDescent="0.2">
      <c r="A58" s="1" t="s">
        <v>53</v>
      </c>
      <c r="B58" s="1" t="s">
        <v>77</v>
      </c>
      <c r="C58" s="2">
        <v>1001</v>
      </c>
      <c r="D58" s="2">
        <v>1739</v>
      </c>
      <c r="E58" s="2"/>
      <c r="F58" s="2">
        <v>2740</v>
      </c>
      <c r="G58" s="3">
        <v>0.36532846715328471</v>
      </c>
      <c r="H58" s="3">
        <v>0.63467153284671529</v>
      </c>
      <c r="I58" s="1" t="s">
        <v>30</v>
      </c>
    </row>
    <row r="59" spans="1:9" x14ac:dyDescent="0.2">
      <c r="A59" s="1" t="s">
        <v>53</v>
      </c>
      <c r="B59" s="1" t="s">
        <v>78</v>
      </c>
      <c r="C59" s="2">
        <v>5505</v>
      </c>
      <c r="D59" s="2">
        <v>4999</v>
      </c>
      <c r="E59" s="2"/>
      <c r="F59" s="2">
        <v>10504</v>
      </c>
      <c r="G59" s="3">
        <v>0.52408606245239908</v>
      </c>
      <c r="H59" s="3">
        <v>0.47591393754760092</v>
      </c>
      <c r="I59" s="1" t="s">
        <v>30</v>
      </c>
    </row>
    <row r="60" spans="1:9" x14ac:dyDescent="0.2">
      <c r="A60" s="1" t="s">
        <v>79</v>
      </c>
      <c r="B60" s="1" t="s">
        <v>80</v>
      </c>
      <c r="C60" s="2">
        <v>1099</v>
      </c>
      <c r="D60" s="2">
        <v>2052</v>
      </c>
      <c r="E60" s="2"/>
      <c r="F60" s="2">
        <v>3151</v>
      </c>
      <c r="G60" s="3">
        <v>0.34877816566169467</v>
      </c>
      <c r="H60" s="3">
        <v>0.65122183433830527</v>
      </c>
      <c r="I60" s="1" t="s">
        <v>30</v>
      </c>
    </row>
    <row r="61" spans="1:9" x14ac:dyDescent="0.2">
      <c r="A61" s="1" t="s">
        <v>79</v>
      </c>
      <c r="B61" s="1" t="s">
        <v>81</v>
      </c>
      <c r="C61" s="2">
        <v>389</v>
      </c>
      <c r="D61" s="2">
        <v>845</v>
      </c>
      <c r="E61" s="2"/>
      <c r="F61" s="2">
        <v>1234</v>
      </c>
      <c r="G61" s="3">
        <v>0.31523500810372768</v>
      </c>
      <c r="H61" s="3">
        <v>0.68476499189627227</v>
      </c>
      <c r="I61" s="1" t="s">
        <v>30</v>
      </c>
    </row>
    <row r="62" spans="1:9" x14ac:dyDescent="0.2">
      <c r="A62" s="1" t="s">
        <v>79</v>
      </c>
      <c r="B62" s="1" t="s">
        <v>82</v>
      </c>
      <c r="C62" s="2">
        <v>428</v>
      </c>
      <c r="D62" s="2">
        <v>743</v>
      </c>
      <c r="E62" s="2"/>
      <c r="F62" s="2">
        <v>1171</v>
      </c>
      <c r="G62" s="3">
        <v>0.36549957301451752</v>
      </c>
      <c r="H62" s="3">
        <v>0.63450042698548248</v>
      </c>
      <c r="I62" s="1" t="s">
        <v>30</v>
      </c>
    </row>
    <row r="63" spans="1:9" x14ac:dyDescent="0.2">
      <c r="A63" s="1" t="s">
        <v>83</v>
      </c>
      <c r="B63" s="1" t="s">
        <v>84</v>
      </c>
      <c r="C63" s="2">
        <v>1214</v>
      </c>
      <c r="D63" s="2">
        <v>1493</v>
      </c>
      <c r="E63" s="2"/>
      <c r="F63" s="2">
        <v>2707</v>
      </c>
      <c r="G63" s="3">
        <v>0.44846693756926492</v>
      </c>
      <c r="H63" s="3">
        <v>0.55153306243073508</v>
      </c>
      <c r="I63" s="1" t="s">
        <v>30</v>
      </c>
    </row>
    <row r="64" spans="1:9" x14ac:dyDescent="0.2">
      <c r="A64" s="1" t="s">
        <v>83</v>
      </c>
      <c r="B64" s="1" t="s">
        <v>85</v>
      </c>
      <c r="C64" s="2">
        <v>743</v>
      </c>
      <c r="D64" s="2">
        <v>945</v>
      </c>
      <c r="E64" s="2"/>
      <c r="F64" s="2">
        <v>1688</v>
      </c>
      <c r="G64" s="3">
        <v>0.44016587677725122</v>
      </c>
      <c r="H64" s="3">
        <v>0.55983412322274884</v>
      </c>
      <c r="I64" s="1" t="s">
        <v>30</v>
      </c>
    </row>
    <row r="65" spans="1:9" x14ac:dyDescent="0.2">
      <c r="A65" s="1" t="s">
        <v>83</v>
      </c>
      <c r="B65" s="1" t="s">
        <v>86</v>
      </c>
      <c r="C65" s="2">
        <v>504</v>
      </c>
      <c r="D65" s="2">
        <v>512</v>
      </c>
      <c r="E65" s="2"/>
      <c r="F65" s="2">
        <v>1016</v>
      </c>
      <c r="G65" s="3">
        <v>0.49606299212598431</v>
      </c>
      <c r="H65" s="3">
        <v>0.50393700787401574</v>
      </c>
      <c r="I65" s="1" t="s">
        <v>30</v>
      </c>
    </row>
    <row r="66" spans="1:9" x14ac:dyDescent="0.2">
      <c r="A66" s="1" t="s">
        <v>83</v>
      </c>
      <c r="B66" s="1" t="s">
        <v>56</v>
      </c>
      <c r="C66" s="2">
        <v>12391</v>
      </c>
      <c r="D66" s="2">
        <v>6142</v>
      </c>
      <c r="E66" s="2"/>
      <c r="F66" s="2">
        <v>18533</v>
      </c>
      <c r="G66" s="3">
        <v>0.66859116171154154</v>
      </c>
      <c r="H66" s="3">
        <v>0.33140883828845841</v>
      </c>
      <c r="I66" s="1" t="s">
        <v>30</v>
      </c>
    </row>
    <row r="67" spans="1:9" x14ac:dyDescent="0.2">
      <c r="A67" s="1" t="s">
        <v>83</v>
      </c>
      <c r="B67" s="1" t="s">
        <v>87</v>
      </c>
      <c r="C67" s="2">
        <v>7114</v>
      </c>
      <c r="D67" s="2">
        <v>5634</v>
      </c>
      <c r="E67" s="2"/>
      <c r="F67" s="2">
        <v>12748</v>
      </c>
      <c r="G67" s="3">
        <v>0.5580483213053028</v>
      </c>
      <c r="H67" s="3">
        <v>0.4419516786946972</v>
      </c>
      <c r="I67" s="1" t="s">
        <v>30</v>
      </c>
    </row>
    <row r="68" spans="1:9" x14ac:dyDescent="0.2">
      <c r="A68" s="1" t="s">
        <v>83</v>
      </c>
      <c r="B68" s="1" t="s">
        <v>88</v>
      </c>
      <c r="C68" s="2">
        <v>1815</v>
      </c>
      <c r="D68" s="2">
        <v>2607</v>
      </c>
      <c r="E68" s="2"/>
      <c r="F68" s="2">
        <v>4422</v>
      </c>
      <c r="G68" s="3">
        <v>0.41044776119402993</v>
      </c>
      <c r="H68" s="3">
        <v>0.58955223880597019</v>
      </c>
      <c r="I68" s="1" t="s">
        <v>30</v>
      </c>
    </row>
    <row r="69" spans="1:9" x14ac:dyDescent="0.2">
      <c r="A69" s="1" t="s">
        <v>83</v>
      </c>
      <c r="B69" s="1" t="s">
        <v>89</v>
      </c>
      <c r="C69" s="2">
        <v>34</v>
      </c>
      <c r="D69" s="2">
        <v>63</v>
      </c>
      <c r="E69" s="2"/>
      <c r="F69" s="2">
        <v>97</v>
      </c>
      <c r="G69" s="3">
        <v>0.35051546391752569</v>
      </c>
      <c r="H69" s="3">
        <v>0.64948453608247425</v>
      </c>
      <c r="I69" s="1" t="s">
        <v>30</v>
      </c>
    </row>
    <row r="70" spans="1:9" x14ac:dyDescent="0.2">
      <c r="A70" s="1" t="s">
        <v>83</v>
      </c>
      <c r="B70" s="1" t="s">
        <v>90</v>
      </c>
      <c r="C70" s="2">
        <v>1192</v>
      </c>
      <c r="D70" s="2">
        <v>1449</v>
      </c>
      <c r="E70" s="2"/>
      <c r="F70" s="2">
        <v>2641</v>
      </c>
      <c r="G70" s="3">
        <v>0.45134418780764862</v>
      </c>
      <c r="H70" s="3">
        <v>0.54865581219235138</v>
      </c>
      <c r="I70" s="1" t="s">
        <v>30</v>
      </c>
    </row>
    <row r="71" spans="1:9" x14ac:dyDescent="0.2">
      <c r="A71" s="1" t="s">
        <v>83</v>
      </c>
      <c r="B71" s="1" t="s">
        <v>91</v>
      </c>
      <c r="C71" s="2">
        <v>154</v>
      </c>
      <c r="D71" s="2">
        <v>207</v>
      </c>
      <c r="E71" s="2"/>
      <c r="F71" s="2">
        <v>361</v>
      </c>
      <c r="G71" s="3">
        <v>0.4265927977839335</v>
      </c>
      <c r="H71" s="3">
        <v>0.57340720221606645</v>
      </c>
      <c r="I71" s="1" t="s">
        <v>30</v>
      </c>
    </row>
    <row r="72" spans="1:9" x14ac:dyDescent="0.2">
      <c r="A72" s="1" t="s">
        <v>83</v>
      </c>
      <c r="B72" s="1" t="s">
        <v>92</v>
      </c>
      <c r="C72" s="2">
        <v>5093</v>
      </c>
      <c r="D72" s="2">
        <v>2204</v>
      </c>
      <c r="E72" s="2"/>
      <c r="F72" s="2">
        <v>7297</v>
      </c>
      <c r="G72" s="3">
        <v>0.69795806495820201</v>
      </c>
      <c r="H72" s="3">
        <v>0.30204193504179799</v>
      </c>
      <c r="I72" s="1" t="s">
        <v>30</v>
      </c>
    </row>
    <row r="73" spans="1:9" x14ac:dyDescent="0.2">
      <c r="A73" s="1" t="s">
        <v>83</v>
      </c>
      <c r="B73" s="1" t="s">
        <v>93</v>
      </c>
      <c r="C73" s="2">
        <v>4456</v>
      </c>
      <c r="D73" s="2">
        <v>3719</v>
      </c>
      <c r="E73" s="2"/>
      <c r="F73" s="2">
        <v>8175</v>
      </c>
      <c r="G73" s="3">
        <v>0.54507645259938842</v>
      </c>
      <c r="H73" s="3">
        <v>0.45492354740061158</v>
      </c>
      <c r="I73" s="1" t="s">
        <v>30</v>
      </c>
    </row>
    <row r="74" spans="1:9" x14ac:dyDescent="0.2">
      <c r="A74" s="1" t="s">
        <v>83</v>
      </c>
      <c r="B74" s="1" t="s">
        <v>94</v>
      </c>
      <c r="C74" s="2">
        <v>498</v>
      </c>
      <c r="D74" s="2">
        <v>314</v>
      </c>
      <c r="E74" s="2"/>
      <c r="F74" s="2">
        <v>812</v>
      </c>
      <c r="G74" s="3">
        <v>0.61330049261083741</v>
      </c>
      <c r="H74" s="3">
        <v>0.38669950738916259</v>
      </c>
      <c r="I74" s="1" t="s">
        <v>30</v>
      </c>
    </row>
    <row r="75" spans="1:9" x14ac:dyDescent="0.2">
      <c r="A75" s="1" t="s">
        <v>83</v>
      </c>
      <c r="B75" s="1" t="s">
        <v>95</v>
      </c>
      <c r="C75" s="2">
        <v>78</v>
      </c>
      <c r="D75" s="2">
        <v>66</v>
      </c>
      <c r="E75" s="2"/>
      <c r="F75" s="2">
        <v>144</v>
      </c>
      <c r="G75" s="3">
        <v>0.54166666666666663</v>
      </c>
      <c r="H75" s="3">
        <v>0.45833333333333331</v>
      </c>
      <c r="I75" s="1" t="s">
        <v>30</v>
      </c>
    </row>
    <row r="76" spans="1:9" x14ac:dyDescent="0.2">
      <c r="A76" s="1" t="s">
        <v>83</v>
      </c>
      <c r="B76" s="1" t="s">
        <v>62</v>
      </c>
      <c r="C76" s="2">
        <v>3640</v>
      </c>
      <c r="D76" s="2">
        <v>2783</v>
      </c>
      <c r="E76" s="2"/>
      <c r="F76" s="2">
        <v>6423</v>
      </c>
      <c r="G76" s="3">
        <v>0.56671337381286002</v>
      </c>
      <c r="H76" s="3">
        <v>0.43328662618713998</v>
      </c>
      <c r="I76" s="1" t="s">
        <v>30</v>
      </c>
    </row>
    <row r="77" spans="1:9" x14ac:dyDescent="0.2">
      <c r="A77" s="1" t="s">
        <v>83</v>
      </c>
      <c r="B77" s="1" t="s">
        <v>96</v>
      </c>
      <c r="C77" s="2">
        <v>1385</v>
      </c>
      <c r="D77" s="2">
        <v>1243</v>
      </c>
      <c r="E77" s="2"/>
      <c r="F77" s="2">
        <v>2628</v>
      </c>
      <c r="G77" s="3">
        <v>0.52701674277016741</v>
      </c>
      <c r="H77" s="3">
        <v>0.47298325722983259</v>
      </c>
      <c r="I77" s="1" t="s">
        <v>30</v>
      </c>
    </row>
    <row r="78" spans="1:9" x14ac:dyDescent="0.2">
      <c r="A78" s="1" t="s">
        <v>83</v>
      </c>
      <c r="B78" s="1" t="s">
        <v>97</v>
      </c>
      <c r="C78" s="2">
        <v>1916</v>
      </c>
      <c r="D78" s="2">
        <v>3424</v>
      </c>
      <c r="E78" s="2"/>
      <c r="F78" s="2">
        <v>5340</v>
      </c>
      <c r="G78" s="3">
        <v>0.3588014981273408</v>
      </c>
      <c r="H78" s="3">
        <v>0.64119850187265914</v>
      </c>
      <c r="I78" s="1" t="s">
        <v>30</v>
      </c>
    </row>
    <row r="79" spans="1:9" x14ac:dyDescent="0.2">
      <c r="A79" s="1" t="s">
        <v>83</v>
      </c>
      <c r="B79" s="1" t="s">
        <v>98</v>
      </c>
      <c r="C79" s="2">
        <v>523</v>
      </c>
      <c r="D79" s="2">
        <v>915</v>
      </c>
      <c r="E79" s="2"/>
      <c r="F79" s="2">
        <v>1438</v>
      </c>
      <c r="G79" s="3">
        <v>0.36369958275382469</v>
      </c>
      <c r="H79" s="3">
        <v>0.63630041724617525</v>
      </c>
      <c r="I79" s="1" t="s">
        <v>30</v>
      </c>
    </row>
    <row r="80" spans="1:9" x14ac:dyDescent="0.2">
      <c r="A80" s="1" t="s">
        <v>83</v>
      </c>
      <c r="B80" s="1" t="s">
        <v>99</v>
      </c>
      <c r="C80" s="2">
        <v>1785</v>
      </c>
      <c r="D80" s="2">
        <v>1937</v>
      </c>
      <c r="E80" s="2"/>
      <c r="F80" s="2">
        <v>3722</v>
      </c>
      <c r="G80" s="3">
        <v>0.4795808704997313</v>
      </c>
      <c r="H80" s="3">
        <v>0.5204191295002687</v>
      </c>
      <c r="I80" s="1" t="s">
        <v>30</v>
      </c>
    </row>
    <row r="81" spans="1:9" x14ac:dyDescent="0.2">
      <c r="A81" s="1" t="s">
        <v>83</v>
      </c>
      <c r="B81" s="1" t="s">
        <v>100</v>
      </c>
      <c r="C81" s="2">
        <v>2958</v>
      </c>
      <c r="D81" s="2">
        <v>2967</v>
      </c>
      <c r="E81" s="2"/>
      <c r="F81" s="2">
        <v>5925</v>
      </c>
      <c r="G81" s="3">
        <v>0.49924050632911388</v>
      </c>
      <c r="H81" s="3">
        <v>0.50075949367088612</v>
      </c>
      <c r="I81" s="1" t="s">
        <v>30</v>
      </c>
    </row>
    <row r="82" spans="1:9" x14ac:dyDescent="0.2">
      <c r="A82" s="1" t="s">
        <v>83</v>
      </c>
      <c r="B82" s="1" t="s">
        <v>101</v>
      </c>
      <c r="C82" s="2">
        <v>1712</v>
      </c>
      <c r="D82" s="2">
        <v>3136</v>
      </c>
      <c r="E82" s="2"/>
      <c r="F82" s="2">
        <v>4848</v>
      </c>
      <c r="G82" s="3">
        <v>0.35313531353135308</v>
      </c>
      <c r="H82" s="3">
        <v>0.64686468646864681</v>
      </c>
      <c r="I82" s="1" t="s">
        <v>30</v>
      </c>
    </row>
    <row r="83" spans="1:9" x14ac:dyDescent="0.2">
      <c r="A83" s="1" t="s">
        <v>83</v>
      </c>
      <c r="B83" s="1" t="s">
        <v>102</v>
      </c>
      <c r="C83" s="2">
        <v>1283</v>
      </c>
      <c r="D83" s="2">
        <v>1232</v>
      </c>
      <c r="E83" s="2"/>
      <c r="F83" s="2">
        <v>2515</v>
      </c>
      <c r="G83" s="3">
        <v>0.51013916500994039</v>
      </c>
      <c r="H83" s="3">
        <v>0.48986083499005972</v>
      </c>
      <c r="I83" s="1" t="s">
        <v>30</v>
      </c>
    </row>
    <row r="84" spans="1:9" x14ac:dyDescent="0.2">
      <c r="A84" s="1" t="s">
        <v>83</v>
      </c>
      <c r="B84" s="1" t="s">
        <v>103</v>
      </c>
      <c r="C84" s="2">
        <v>733</v>
      </c>
      <c r="D84" s="2">
        <v>695</v>
      </c>
      <c r="E84" s="2"/>
      <c r="F84" s="2">
        <v>1428</v>
      </c>
      <c r="G84" s="3">
        <v>0.51330532212885149</v>
      </c>
      <c r="H84" s="3">
        <v>0.48669467787114851</v>
      </c>
      <c r="I84" s="1" t="s">
        <v>30</v>
      </c>
    </row>
    <row r="85" spans="1:9" x14ac:dyDescent="0.2">
      <c r="A85" s="1" t="s">
        <v>83</v>
      </c>
      <c r="B85" s="1" t="s">
        <v>104</v>
      </c>
      <c r="C85" s="2">
        <v>2019</v>
      </c>
      <c r="D85" s="2">
        <v>2145</v>
      </c>
      <c r="E85" s="2"/>
      <c r="F85" s="2">
        <v>4164</v>
      </c>
      <c r="G85" s="3">
        <v>0.48487031700288191</v>
      </c>
      <c r="H85" s="3">
        <v>0.51512968299711814</v>
      </c>
      <c r="I85" s="1" t="s">
        <v>30</v>
      </c>
    </row>
    <row r="86" spans="1:9" x14ac:dyDescent="0.2">
      <c r="A86" s="1" t="s">
        <v>83</v>
      </c>
      <c r="B86" s="1" t="s">
        <v>105</v>
      </c>
      <c r="C86" s="2">
        <v>5794</v>
      </c>
      <c r="D86" s="2">
        <v>4863</v>
      </c>
      <c r="E86" s="2"/>
      <c r="F86" s="2">
        <v>10657</v>
      </c>
      <c r="G86" s="3">
        <v>0.54368021019048518</v>
      </c>
      <c r="H86" s="3">
        <v>0.45631978980951488</v>
      </c>
      <c r="I86" s="1" t="s">
        <v>30</v>
      </c>
    </row>
    <row r="87" spans="1:9" x14ac:dyDescent="0.2">
      <c r="A87" s="1" t="s">
        <v>83</v>
      </c>
      <c r="B87" s="1" t="s">
        <v>106</v>
      </c>
      <c r="C87" s="2">
        <v>538</v>
      </c>
      <c r="D87" s="2">
        <v>824</v>
      </c>
      <c r="E87" s="2"/>
      <c r="F87" s="2">
        <v>1362</v>
      </c>
      <c r="G87" s="3">
        <v>0.39500734214390598</v>
      </c>
      <c r="H87" s="3">
        <v>0.60499265785609402</v>
      </c>
      <c r="I87" s="1" t="s">
        <v>30</v>
      </c>
    </row>
    <row r="88" spans="1:9" x14ac:dyDescent="0.2">
      <c r="A88" s="1" t="s">
        <v>83</v>
      </c>
      <c r="B88" s="1" t="s">
        <v>107</v>
      </c>
      <c r="C88" s="2">
        <v>1156</v>
      </c>
      <c r="D88" s="2">
        <v>1965</v>
      </c>
      <c r="E88" s="2"/>
      <c r="F88" s="2">
        <v>3121</v>
      </c>
      <c r="G88" s="3">
        <v>0.37039410445370069</v>
      </c>
      <c r="H88" s="3">
        <v>0.62960589554629931</v>
      </c>
      <c r="I88" s="1" t="s">
        <v>30</v>
      </c>
    </row>
    <row r="89" spans="1:9" x14ac:dyDescent="0.2">
      <c r="A89" s="1" t="s">
        <v>83</v>
      </c>
      <c r="B89" s="1" t="s">
        <v>108</v>
      </c>
      <c r="C89" s="2">
        <v>73</v>
      </c>
      <c r="D89" s="2">
        <v>123</v>
      </c>
      <c r="E89" s="2"/>
      <c r="F89" s="2">
        <v>196</v>
      </c>
      <c r="G89" s="3">
        <v>0.37244897959183682</v>
      </c>
      <c r="H89" s="3">
        <v>0.62755102040816324</v>
      </c>
      <c r="I89" s="1" t="s">
        <v>30</v>
      </c>
    </row>
    <row r="90" spans="1:9" x14ac:dyDescent="0.2">
      <c r="A90" s="1" t="s">
        <v>83</v>
      </c>
      <c r="B90" s="1" t="s">
        <v>109</v>
      </c>
      <c r="C90" s="2">
        <v>268</v>
      </c>
      <c r="D90" s="2">
        <v>416</v>
      </c>
      <c r="E90" s="2"/>
      <c r="F90" s="2">
        <v>684</v>
      </c>
      <c r="G90" s="3">
        <v>0.391812865497076</v>
      </c>
      <c r="H90" s="3">
        <v>0.60818713450292394</v>
      </c>
      <c r="I90" s="1" t="s">
        <v>30</v>
      </c>
    </row>
    <row r="91" spans="1:9" x14ac:dyDescent="0.2">
      <c r="A91" s="1" t="s">
        <v>83</v>
      </c>
      <c r="B91" s="1" t="s">
        <v>110</v>
      </c>
      <c r="C91" s="2">
        <v>165</v>
      </c>
      <c r="D91" s="2">
        <v>223</v>
      </c>
      <c r="E91" s="2"/>
      <c r="F91" s="2">
        <v>388</v>
      </c>
      <c r="G91" s="3">
        <v>0.42525773195876287</v>
      </c>
      <c r="H91" s="3">
        <v>0.57474226804123707</v>
      </c>
      <c r="I91" s="1" t="s">
        <v>30</v>
      </c>
    </row>
    <row r="92" spans="1:9" x14ac:dyDescent="0.2">
      <c r="A92" s="1" t="s">
        <v>83</v>
      </c>
      <c r="B92" s="1" t="s">
        <v>111</v>
      </c>
      <c r="C92" s="2">
        <v>267</v>
      </c>
      <c r="D92" s="2">
        <v>335</v>
      </c>
      <c r="E92" s="2"/>
      <c r="F92" s="2">
        <v>602</v>
      </c>
      <c r="G92" s="3">
        <v>0.4435215946843854</v>
      </c>
      <c r="H92" s="3">
        <v>0.55647840531561465</v>
      </c>
      <c r="I92" s="1" t="s">
        <v>30</v>
      </c>
    </row>
    <row r="93" spans="1:9" x14ac:dyDescent="0.2">
      <c r="A93" s="1" t="s">
        <v>83</v>
      </c>
      <c r="B93" s="1" t="s">
        <v>112</v>
      </c>
      <c r="C93" s="2">
        <v>1046</v>
      </c>
      <c r="D93" s="2">
        <v>2100</v>
      </c>
      <c r="E93" s="2"/>
      <c r="F93" s="2">
        <v>3146</v>
      </c>
      <c r="G93" s="3">
        <v>0.33248569612205969</v>
      </c>
      <c r="H93" s="3">
        <v>0.6675143038779402</v>
      </c>
      <c r="I93" s="1" t="s">
        <v>30</v>
      </c>
    </row>
    <row r="94" spans="1:9" x14ac:dyDescent="0.2">
      <c r="A94" s="1" t="s">
        <v>83</v>
      </c>
      <c r="B94" s="1" t="s">
        <v>113</v>
      </c>
      <c r="C94" s="2">
        <v>1689</v>
      </c>
      <c r="D94" s="2">
        <v>1589</v>
      </c>
      <c r="E94" s="2"/>
      <c r="F94" s="2">
        <v>3278</v>
      </c>
      <c r="G94" s="3">
        <v>0.51525320317266621</v>
      </c>
      <c r="H94" s="3">
        <v>0.48474679682733368</v>
      </c>
      <c r="I94" s="1" t="s">
        <v>30</v>
      </c>
    </row>
    <row r="95" spans="1:9" x14ac:dyDescent="0.2">
      <c r="A95" s="1" t="s">
        <v>83</v>
      </c>
      <c r="B95" s="1" t="s">
        <v>114</v>
      </c>
      <c r="C95" s="2">
        <v>317</v>
      </c>
      <c r="D95" s="2">
        <v>444</v>
      </c>
      <c r="E95" s="2"/>
      <c r="F95" s="2">
        <v>761</v>
      </c>
      <c r="G95" s="3">
        <v>0.41655716162943501</v>
      </c>
      <c r="H95" s="3">
        <v>0.5834428383705651</v>
      </c>
      <c r="I95" s="1" t="s">
        <v>30</v>
      </c>
    </row>
    <row r="96" spans="1:9" x14ac:dyDescent="0.2">
      <c r="A96" s="1" t="s">
        <v>83</v>
      </c>
      <c r="B96" s="1" t="s">
        <v>115</v>
      </c>
      <c r="C96" s="2">
        <v>855</v>
      </c>
      <c r="D96" s="2">
        <v>1532</v>
      </c>
      <c r="E96" s="2"/>
      <c r="F96" s="2">
        <v>2387</v>
      </c>
      <c r="G96" s="3">
        <v>0.3581901968998743</v>
      </c>
      <c r="H96" s="3">
        <v>0.6418098031001257</v>
      </c>
      <c r="I96" s="1" t="s">
        <v>30</v>
      </c>
    </row>
    <row r="97" spans="1:9" x14ac:dyDescent="0.2">
      <c r="A97" s="1" t="s">
        <v>83</v>
      </c>
      <c r="B97" s="1" t="s">
        <v>116</v>
      </c>
      <c r="C97" s="2">
        <v>218</v>
      </c>
      <c r="D97" s="2">
        <v>221</v>
      </c>
      <c r="E97" s="2"/>
      <c r="F97" s="2">
        <v>439</v>
      </c>
      <c r="G97" s="3">
        <v>0.49658314350797272</v>
      </c>
      <c r="H97" s="3">
        <v>0.50341685649202739</v>
      </c>
      <c r="I97" s="1" t="s">
        <v>30</v>
      </c>
    </row>
    <row r="98" spans="1:9" x14ac:dyDescent="0.2">
      <c r="A98" s="1" t="s">
        <v>83</v>
      </c>
      <c r="B98" s="1" t="s">
        <v>117</v>
      </c>
      <c r="C98" s="2">
        <v>1542</v>
      </c>
      <c r="D98" s="2">
        <v>1824</v>
      </c>
      <c r="E98" s="2"/>
      <c r="F98" s="2">
        <v>3366</v>
      </c>
      <c r="G98" s="3">
        <v>0.45811051693404642</v>
      </c>
      <c r="H98" s="3">
        <v>0.54188948306595364</v>
      </c>
      <c r="I98" s="1" t="s">
        <v>30</v>
      </c>
    </row>
    <row r="99" spans="1:9" x14ac:dyDescent="0.2">
      <c r="A99" s="1" t="s">
        <v>83</v>
      </c>
      <c r="B99" s="1" t="s">
        <v>118</v>
      </c>
      <c r="C99" s="2">
        <v>1332</v>
      </c>
      <c r="D99" s="2">
        <v>1019</v>
      </c>
      <c r="E99" s="2"/>
      <c r="F99" s="2">
        <v>2351</v>
      </c>
      <c r="G99" s="3">
        <v>0.56656741811994893</v>
      </c>
      <c r="H99" s="3">
        <v>0.43343258188005102</v>
      </c>
      <c r="I99" s="1" t="s">
        <v>30</v>
      </c>
    </row>
    <row r="100" spans="1:9" x14ac:dyDescent="0.2">
      <c r="A100" s="1" t="s">
        <v>83</v>
      </c>
      <c r="B100" s="1" t="s">
        <v>119</v>
      </c>
      <c r="C100" s="2">
        <v>509</v>
      </c>
      <c r="D100" s="2">
        <v>637</v>
      </c>
      <c r="E100" s="2"/>
      <c r="F100" s="2">
        <v>1146</v>
      </c>
      <c r="G100" s="3">
        <v>0.44415357766143099</v>
      </c>
      <c r="H100" s="3">
        <v>0.55584642233856896</v>
      </c>
      <c r="I100" s="1" t="s">
        <v>30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1"/>
  <sheetViews>
    <sheetView workbookViewId="0"/>
  </sheetViews>
  <sheetFormatPr baseColWidth="10" defaultColWidth="8.83203125" defaultRowHeight="15" x14ac:dyDescent="0.2"/>
  <cols>
    <col min="1" max="1" width="12" customWidth="1"/>
    <col min="2" max="2" width="26" customWidth="1"/>
    <col min="3" max="3" width="31.5" customWidth="1"/>
    <col min="4" max="4" width="14" customWidth="1"/>
    <col min="5" max="5" width="16" customWidth="1"/>
    <col min="6" max="6" width="12" customWidth="1"/>
    <col min="7" max="7" width="13" customWidth="1"/>
    <col min="8" max="8" width="15" customWidth="1"/>
    <col min="9" max="9" width="37.1640625" customWidth="1"/>
    <col min="10" max="10" width="8.6640625" customWidth="1"/>
  </cols>
  <sheetData>
    <row r="1" spans="1:9" x14ac:dyDescent="0.2">
      <c r="A1" s="7" t="s">
        <v>120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1" t="s">
        <v>121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7" t="s">
        <v>122</v>
      </c>
      <c r="B3" s="8"/>
      <c r="C3" s="8"/>
      <c r="D3" s="8"/>
      <c r="E3" s="8"/>
      <c r="F3" s="8"/>
      <c r="G3" s="8"/>
      <c r="H3" s="8"/>
      <c r="I3" s="8"/>
    </row>
    <row r="4" spans="1:9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</v>
      </c>
      <c r="G4" s="1" t="s">
        <v>10</v>
      </c>
      <c r="H4" s="1"/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7" t="s">
        <v>11</v>
      </c>
      <c r="B6" s="8"/>
      <c r="C6" s="8"/>
      <c r="D6" s="8"/>
      <c r="E6" s="8"/>
      <c r="F6" s="8"/>
      <c r="G6" s="8"/>
      <c r="H6" s="8"/>
      <c r="I6" s="8"/>
    </row>
    <row r="7" spans="1:9" x14ac:dyDescent="0.2">
      <c r="A7" s="1" t="s">
        <v>12</v>
      </c>
      <c r="B7" s="1" t="s">
        <v>123</v>
      </c>
      <c r="C7" s="1" t="s">
        <v>124</v>
      </c>
      <c r="D7" s="1" t="s">
        <v>13</v>
      </c>
      <c r="E7" s="1" t="s">
        <v>14</v>
      </c>
      <c r="F7" s="1" t="s">
        <v>16</v>
      </c>
      <c r="G7" s="1" t="s">
        <v>17</v>
      </c>
      <c r="H7" s="1" t="s">
        <v>18</v>
      </c>
      <c r="I7" s="1" t="s">
        <v>19</v>
      </c>
    </row>
    <row r="8" spans="1:9" x14ac:dyDescent="0.2">
      <c r="A8" s="1" t="s">
        <v>20</v>
      </c>
      <c r="B8" s="1" t="s">
        <v>125</v>
      </c>
      <c r="C8" s="1"/>
      <c r="D8" s="2">
        <f>SUM(D12:D381)</f>
        <v>155384</v>
      </c>
      <c r="E8" s="2">
        <f>SUM(E12:E381)</f>
        <v>150315</v>
      </c>
      <c r="F8" s="2">
        <f>D8+E8</f>
        <v>305699</v>
      </c>
      <c r="G8" s="3">
        <f>IF(F8=0,"",D8/F8)</f>
        <v>0.50829083510250284</v>
      </c>
      <c r="H8" s="3">
        <f>IF(F8=0,"",E8/F8)</f>
        <v>0.49170916489749722</v>
      </c>
      <c r="I8" s="1" t="s">
        <v>22</v>
      </c>
    </row>
    <row r="9" spans="1:9" x14ac:dyDescent="0.2">
      <c r="A9" s="7" t="s">
        <v>126</v>
      </c>
      <c r="B9" s="8"/>
      <c r="C9" s="8"/>
      <c r="D9" s="8"/>
      <c r="E9" s="8"/>
      <c r="F9" s="8"/>
      <c r="G9" s="8"/>
      <c r="H9" s="8"/>
      <c r="I9" s="8"/>
    </row>
    <row r="10" spans="1:9" x14ac:dyDescent="0.2">
      <c r="A10" s="7" t="s">
        <v>127</v>
      </c>
      <c r="B10" s="8"/>
      <c r="C10" s="8"/>
      <c r="D10" s="8"/>
      <c r="E10" s="8"/>
      <c r="F10" s="8"/>
      <c r="G10" s="8"/>
      <c r="H10" s="8"/>
      <c r="I10" s="8"/>
    </row>
    <row r="11" spans="1:9" ht="31.5" customHeight="1" x14ac:dyDescent="0.2">
      <c r="A11" s="1" t="s">
        <v>25</v>
      </c>
      <c r="B11" s="1" t="s">
        <v>26</v>
      </c>
      <c r="C11" s="1" t="s">
        <v>128</v>
      </c>
      <c r="D11" s="1" t="s">
        <v>13</v>
      </c>
      <c r="E11" s="1" t="s">
        <v>14</v>
      </c>
      <c r="F11" s="1" t="s">
        <v>16</v>
      </c>
      <c r="G11" s="1" t="s">
        <v>17</v>
      </c>
      <c r="H11" s="1" t="s">
        <v>18</v>
      </c>
      <c r="I11" s="1" t="s">
        <v>27</v>
      </c>
    </row>
    <row r="12" spans="1:9" x14ac:dyDescent="0.2">
      <c r="A12" s="1" t="s">
        <v>28</v>
      </c>
      <c r="B12" s="1" t="s">
        <v>29</v>
      </c>
      <c r="C12" s="1" t="s">
        <v>29</v>
      </c>
      <c r="D12" s="2">
        <v>148</v>
      </c>
      <c r="E12" s="2">
        <v>216</v>
      </c>
      <c r="F12" s="2">
        <f t="shared" ref="F12:F75" si="0">IF(COUNTA(D12:E12)=0,"",SUM(D12:E12))</f>
        <v>364</v>
      </c>
      <c r="G12" s="3">
        <f t="shared" ref="G12:G75" si="1">IF(OR(F12="",F12=0),"",D12/F12)</f>
        <v>0.40659340659340659</v>
      </c>
      <c r="H12" s="3">
        <f t="shared" ref="H12:H75" si="2">IF(OR(F12="",F12=0),"",E12/F12)</f>
        <v>0.59340659340659341</v>
      </c>
      <c r="I12" s="1" t="s">
        <v>129</v>
      </c>
    </row>
    <row r="13" spans="1:9" x14ac:dyDescent="0.2">
      <c r="A13" s="1" t="s">
        <v>28</v>
      </c>
      <c r="B13" s="1" t="s">
        <v>31</v>
      </c>
      <c r="C13" s="1" t="s">
        <v>31</v>
      </c>
      <c r="D13" s="2">
        <v>100</v>
      </c>
      <c r="E13" s="2">
        <v>230</v>
      </c>
      <c r="F13" s="2">
        <f t="shared" si="0"/>
        <v>330</v>
      </c>
      <c r="G13" s="3">
        <f t="shared" si="1"/>
        <v>0.30303030303030304</v>
      </c>
      <c r="H13" s="3">
        <f t="shared" si="2"/>
        <v>0.69696969696969702</v>
      </c>
      <c r="I13" s="1" t="s">
        <v>129</v>
      </c>
    </row>
    <row r="14" spans="1:9" x14ac:dyDescent="0.2">
      <c r="A14" s="1" t="s">
        <v>28</v>
      </c>
      <c r="B14" s="1" t="s">
        <v>32</v>
      </c>
      <c r="C14" s="1" t="s">
        <v>32</v>
      </c>
      <c r="D14" s="2">
        <v>121</v>
      </c>
      <c r="E14" s="2">
        <v>235</v>
      </c>
      <c r="F14" s="2">
        <f t="shared" si="0"/>
        <v>356</v>
      </c>
      <c r="G14" s="3">
        <f t="shared" si="1"/>
        <v>0.3398876404494382</v>
      </c>
      <c r="H14" s="3">
        <f t="shared" si="2"/>
        <v>0.6601123595505618</v>
      </c>
      <c r="I14" s="1" t="s">
        <v>129</v>
      </c>
    </row>
    <row r="15" spans="1:9" x14ac:dyDescent="0.2">
      <c r="A15" s="1" t="s">
        <v>28</v>
      </c>
      <c r="B15" s="1" t="s">
        <v>33</v>
      </c>
      <c r="C15" s="1" t="s">
        <v>130</v>
      </c>
      <c r="D15" s="2">
        <v>197</v>
      </c>
      <c r="E15" s="2">
        <v>534</v>
      </c>
      <c r="F15" s="2">
        <f t="shared" si="0"/>
        <v>731</v>
      </c>
      <c r="G15" s="3">
        <f t="shared" si="1"/>
        <v>0.26949384404924759</v>
      </c>
      <c r="H15" s="3">
        <f t="shared" si="2"/>
        <v>0.73050615595075241</v>
      </c>
      <c r="I15" s="1" t="s">
        <v>129</v>
      </c>
    </row>
    <row r="16" spans="1:9" x14ac:dyDescent="0.2">
      <c r="A16" s="1" t="s">
        <v>28</v>
      </c>
      <c r="B16" s="1" t="s">
        <v>33</v>
      </c>
      <c r="C16" s="1" t="s">
        <v>131</v>
      </c>
      <c r="D16" s="2">
        <v>180</v>
      </c>
      <c r="E16" s="2">
        <v>424</v>
      </c>
      <c r="F16" s="2">
        <f t="shared" si="0"/>
        <v>604</v>
      </c>
      <c r="G16" s="3">
        <f t="shared" si="1"/>
        <v>0.29801324503311261</v>
      </c>
      <c r="H16" s="3">
        <f t="shared" si="2"/>
        <v>0.70198675496688745</v>
      </c>
      <c r="I16" s="1" t="s">
        <v>129</v>
      </c>
    </row>
    <row r="17" spans="1:9" x14ac:dyDescent="0.2">
      <c r="A17" s="1" t="s">
        <v>28</v>
      </c>
      <c r="B17" s="1" t="s">
        <v>34</v>
      </c>
      <c r="C17" s="1" t="s">
        <v>34</v>
      </c>
      <c r="D17" s="2">
        <v>33</v>
      </c>
      <c r="E17" s="2">
        <v>61</v>
      </c>
      <c r="F17" s="2">
        <f t="shared" si="0"/>
        <v>94</v>
      </c>
      <c r="G17" s="3">
        <f t="shared" si="1"/>
        <v>0.35106382978723405</v>
      </c>
      <c r="H17" s="3">
        <f t="shared" si="2"/>
        <v>0.64893617021276595</v>
      </c>
      <c r="I17" s="1" t="s">
        <v>129</v>
      </c>
    </row>
    <row r="18" spans="1:9" x14ac:dyDescent="0.2">
      <c r="A18" s="1" t="s">
        <v>28</v>
      </c>
      <c r="B18" s="1" t="s">
        <v>35</v>
      </c>
      <c r="C18" s="1" t="s">
        <v>132</v>
      </c>
      <c r="D18" s="2">
        <v>258</v>
      </c>
      <c r="E18" s="2">
        <v>593</v>
      </c>
      <c r="F18" s="2">
        <f t="shared" si="0"/>
        <v>851</v>
      </c>
      <c r="G18" s="3">
        <f t="shared" si="1"/>
        <v>0.30317273795534666</v>
      </c>
      <c r="H18" s="3">
        <f t="shared" si="2"/>
        <v>0.69682726204465339</v>
      </c>
      <c r="I18" s="1" t="s">
        <v>129</v>
      </c>
    </row>
    <row r="19" spans="1:9" x14ac:dyDescent="0.2">
      <c r="A19" s="1" t="s">
        <v>28</v>
      </c>
      <c r="B19" s="1" t="s">
        <v>35</v>
      </c>
      <c r="C19" s="1" t="s">
        <v>133</v>
      </c>
      <c r="D19" s="2">
        <v>135</v>
      </c>
      <c r="E19" s="2">
        <v>326</v>
      </c>
      <c r="F19" s="2">
        <f t="shared" si="0"/>
        <v>461</v>
      </c>
      <c r="G19" s="3">
        <f t="shared" si="1"/>
        <v>0.29284164859002171</v>
      </c>
      <c r="H19" s="3">
        <f t="shared" si="2"/>
        <v>0.70715835140997829</v>
      </c>
      <c r="I19" s="1" t="s">
        <v>129</v>
      </c>
    </row>
    <row r="20" spans="1:9" x14ac:dyDescent="0.2">
      <c r="A20" s="1" t="s">
        <v>28</v>
      </c>
      <c r="B20" s="1" t="s">
        <v>35</v>
      </c>
      <c r="C20" s="1" t="s">
        <v>134</v>
      </c>
      <c r="D20" s="2">
        <v>199</v>
      </c>
      <c r="E20" s="2">
        <v>471</v>
      </c>
      <c r="F20" s="2">
        <f t="shared" si="0"/>
        <v>670</v>
      </c>
      <c r="G20" s="3">
        <f t="shared" si="1"/>
        <v>0.29701492537313434</v>
      </c>
      <c r="H20" s="3">
        <f t="shared" si="2"/>
        <v>0.70298507462686566</v>
      </c>
      <c r="I20" s="1" t="s">
        <v>129</v>
      </c>
    </row>
    <row r="21" spans="1:9" x14ac:dyDescent="0.2">
      <c r="A21" s="1" t="s">
        <v>28</v>
      </c>
      <c r="B21" s="1" t="s">
        <v>36</v>
      </c>
      <c r="C21" s="1" t="s">
        <v>135</v>
      </c>
      <c r="D21" s="2">
        <v>196</v>
      </c>
      <c r="E21" s="2">
        <v>230</v>
      </c>
      <c r="F21" s="2">
        <f t="shared" si="0"/>
        <v>426</v>
      </c>
      <c r="G21" s="3">
        <f t="shared" si="1"/>
        <v>0.460093896713615</v>
      </c>
      <c r="H21" s="3">
        <f t="shared" si="2"/>
        <v>0.539906103286385</v>
      </c>
      <c r="I21" s="1" t="s">
        <v>129</v>
      </c>
    </row>
    <row r="22" spans="1:9" x14ac:dyDescent="0.2">
      <c r="A22" s="1" t="s">
        <v>28</v>
      </c>
      <c r="B22" s="1" t="s">
        <v>36</v>
      </c>
      <c r="C22" s="1" t="s">
        <v>136</v>
      </c>
      <c r="D22" s="2">
        <v>134</v>
      </c>
      <c r="E22" s="2">
        <v>168</v>
      </c>
      <c r="F22" s="2">
        <f t="shared" si="0"/>
        <v>302</v>
      </c>
      <c r="G22" s="3">
        <f t="shared" si="1"/>
        <v>0.44370860927152317</v>
      </c>
      <c r="H22" s="3">
        <f t="shared" si="2"/>
        <v>0.55629139072847678</v>
      </c>
      <c r="I22" s="1" t="s">
        <v>129</v>
      </c>
    </row>
    <row r="23" spans="1:9" x14ac:dyDescent="0.2">
      <c r="A23" s="1" t="s">
        <v>28</v>
      </c>
      <c r="B23" s="1" t="s">
        <v>36</v>
      </c>
      <c r="C23" s="1" t="s">
        <v>137</v>
      </c>
      <c r="D23" s="2">
        <v>258</v>
      </c>
      <c r="E23" s="2">
        <v>383</v>
      </c>
      <c r="F23" s="2">
        <f t="shared" si="0"/>
        <v>641</v>
      </c>
      <c r="G23" s="3">
        <f t="shared" si="1"/>
        <v>0.40249609984399376</v>
      </c>
      <c r="H23" s="3">
        <f t="shared" si="2"/>
        <v>0.5975039001560063</v>
      </c>
      <c r="I23" s="1" t="s">
        <v>129</v>
      </c>
    </row>
    <row r="24" spans="1:9" x14ac:dyDescent="0.2">
      <c r="A24" s="1" t="s">
        <v>28</v>
      </c>
      <c r="B24" s="1" t="s">
        <v>36</v>
      </c>
      <c r="C24" s="1" t="s">
        <v>138</v>
      </c>
      <c r="D24" s="2">
        <v>117</v>
      </c>
      <c r="E24" s="2">
        <v>104</v>
      </c>
      <c r="F24" s="2">
        <f t="shared" si="0"/>
        <v>221</v>
      </c>
      <c r="G24" s="3">
        <f t="shared" si="1"/>
        <v>0.52941176470588236</v>
      </c>
      <c r="H24" s="3">
        <f t="shared" si="2"/>
        <v>0.47058823529411764</v>
      </c>
      <c r="I24" s="1" t="s">
        <v>129</v>
      </c>
    </row>
    <row r="25" spans="1:9" x14ac:dyDescent="0.2">
      <c r="A25" s="1" t="s">
        <v>28</v>
      </c>
      <c r="B25" s="1" t="s">
        <v>36</v>
      </c>
      <c r="C25" s="1" t="s">
        <v>139</v>
      </c>
      <c r="D25" s="2">
        <v>242</v>
      </c>
      <c r="E25" s="2">
        <v>276</v>
      </c>
      <c r="F25" s="2">
        <f t="shared" si="0"/>
        <v>518</v>
      </c>
      <c r="G25" s="3">
        <f t="shared" si="1"/>
        <v>0.46718146718146719</v>
      </c>
      <c r="H25" s="3">
        <f t="shared" si="2"/>
        <v>0.53281853281853286</v>
      </c>
      <c r="I25" s="1" t="s">
        <v>129</v>
      </c>
    </row>
    <row r="26" spans="1:9" x14ac:dyDescent="0.2">
      <c r="A26" s="1" t="s">
        <v>28</v>
      </c>
      <c r="B26" s="1" t="s">
        <v>37</v>
      </c>
      <c r="C26" s="1" t="s">
        <v>140</v>
      </c>
      <c r="D26" s="2">
        <v>98</v>
      </c>
      <c r="E26" s="2">
        <v>152</v>
      </c>
      <c r="F26" s="2">
        <f t="shared" si="0"/>
        <v>250</v>
      </c>
      <c r="G26" s="3">
        <f t="shared" si="1"/>
        <v>0.39200000000000002</v>
      </c>
      <c r="H26" s="3">
        <f t="shared" si="2"/>
        <v>0.60799999999999998</v>
      </c>
      <c r="I26" s="1" t="s">
        <v>129</v>
      </c>
    </row>
    <row r="27" spans="1:9" x14ac:dyDescent="0.2">
      <c r="A27" s="1" t="s">
        <v>28</v>
      </c>
      <c r="B27" s="1" t="s">
        <v>37</v>
      </c>
      <c r="C27" s="1" t="s">
        <v>141</v>
      </c>
      <c r="D27" s="2">
        <v>192</v>
      </c>
      <c r="E27" s="2">
        <v>363</v>
      </c>
      <c r="F27" s="2">
        <f t="shared" si="0"/>
        <v>555</v>
      </c>
      <c r="G27" s="3">
        <f t="shared" si="1"/>
        <v>0.34594594594594597</v>
      </c>
      <c r="H27" s="3">
        <f t="shared" si="2"/>
        <v>0.65405405405405403</v>
      </c>
      <c r="I27" s="1" t="s">
        <v>129</v>
      </c>
    </row>
    <row r="28" spans="1:9" x14ac:dyDescent="0.2">
      <c r="A28" s="1" t="s">
        <v>28</v>
      </c>
      <c r="B28" s="1" t="s">
        <v>38</v>
      </c>
      <c r="C28" s="1" t="s">
        <v>142</v>
      </c>
      <c r="D28" s="2">
        <v>222</v>
      </c>
      <c r="E28" s="2">
        <v>308</v>
      </c>
      <c r="F28" s="2">
        <f t="shared" si="0"/>
        <v>530</v>
      </c>
      <c r="G28" s="3">
        <f t="shared" si="1"/>
        <v>0.4188679245283019</v>
      </c>
      <c r="H28" s="3">
        <f t="shared" si="2"/>
        <v>0.5811320754716981</v>
      </c>
      <c r="I28" s="1" t="s">
        <v>129</v>
      </c>
    </row>
    <row r="29" spans="1:9" x14ac:dyDescent="0.2">
      <c r="A29" s="1" t="s">
        <v>28</v>
      </c>
      <c r="B29" s="1" t="s">
        <v>38</v>
      </c>
      <c r="C29" s="1" t="s">
        <v>143</v>
      </c>
      <c r="D29" s="2">
        <v>126</v>
      </c>
      <c r="E29" s="2">
        <v>175</v>
      </c>
      <c r="F29" s="2">
        <f t="shared" si="0"/>
        <v>301</v>
      </c>
      <c r="G29" s="3">
        <f t="shared" si="1"/>
        <v>0.41860465116279072</v>
      </c>
      <c r="H29" s="3">
        <f t="shared" si="2"/>
        <v>0.58139534883720934</v>
      </c>
      <c r="I29" s="1" t="s">
        <v>129</v>
      </c>
    </row>
    <row r="30" spans="1:9" x14ac:dyDescent="0.2">
      <c r="A30" s="1" t="s">
        <v>28</v>
      </c>
      <c r="B30" s="1" t="s">
        <v>38</v>
      </c>
      <c r="C30" s="1" t="s">
        <v>144</v>
      </c>
      <c r="D30" s="2">
        <v>109</v>
      </c>
      <c r="E30" s="2">
        <v>143</v>
      </c>
      <c r="F30" s="2">
        <f t="shared" si="0"/>
        <v>252</v>
      </c>
      <c r="G30" s="3">
        <f t="shared" si="1"/>
        <v>0.43253968253968256</v>
      </c>
      <c r="H30" s="3">
        <f t="shared" si="2"/>
        <v>0.56746031746031744</v>
      </c>
      <c r="I30" s="1" t="s">
        <v>129</v>
      </c>
    </row>
    <row r="31" spans="1:9" x14ac:dyDescent="0.2">
      <c r="A31" s="1" t="s">
        <v>28</v>
      </c>
      <c r="B31" s="1" t="s">
        <v>39</v>
      </c>
      <c r="C31" s="1" t="s">
        <v>39</v>
      </c>
      <c r="D31" s="2">
        <v>34</v>
      </c>
      <c r="E31" s="2">
        <v>84</v>
      </c>
      <c r="F31" s="2">
        <f t="shared" si="0"/>
        <v>118</v>
      </c>
      <c r="G31" s="3">
        <f t="shared" si="1"/>
        <v>0.28813559322033899</v>
      </c>
      <c r="H31" s="3">
        <f t="shared" si="2"/>
        <v>0.71186440677966101</v>
      </c>
      <c r="I31" s="1" t="s">
        <v>129</v>
      </c>
    </row>
    <row r="32" spans="1:9" x14ac:dyDescent="0.2">
      <c r="A32" s="1" t="s">
        <v>28</v>
      </c>
      <c r="B32" s="1" t="s">
        <v>40</v>
      </c>
      <c r="C32" s="1" t="s">
        <v>40</v>
      </c>
      <c r="D32" s="2">
        <v>59</v>
      </c>
      <c r="E32" s="2">
        <v>178</v>
      </c>
      <c r="F32" s="2">
        <f t="shared" si="0"/>
        <v>237</v>
      </c>
      <c r="G32" s="3">
        <f t="shared" si="1"/>
        <v>0.24894514767932491</v>
      </c>
      <c r="H32" s="3">
        <f t="shared" si="2"/>
        <v>0.75105485232067515</v>
      </c>
      <c r="I32" s="1" t="s">
        <v>129</v>
      </c>
    </row>
    <row r="33" spans="1:9" x14ac:dyDescent="0.2">
      <c r="A33" s="1" t="s">
        <v>28</v>
      </c>
      <c r="B33" s="1" t="s">
        <v>41</v>
      </c>
      <c r="C33" s="1" t="s">
        <v>145</v>
      </c>
      <c r="D33" s="2">
        <v>247</v>
      </c>
      <c r="E33" s="2">
        <v>342</v>
      </c>
      <c r="F33" s="2">
        <f t="shared" si="0"/>
        <v>589</v>
      </c>
      <c r="G33" s="3">
        <f t="shared" si="1"/>
        <v>0.41935483870967744</v>
      </c>
      <c r="H33" s="3">
        <f t="shared" si="2"/>
        <v>0.58064516129032262</v>
      </c>
      <c r="I33" s="1" t="s">
        <v>129</v>
      </c>
    </row>
    <row r="34" spans="1:9" x14ac:dyDescent="0.2">
      <c r="A34" s="1" t="s">
        <v>28</v>
      </c>
      <c r="B34" s="1" t="s">
        <v>41</v>
      </c>
      <c r="C34" s="1" t="s">
        <v>146</v>
      </c>
      <c r="D34" s="2">
        <v>241</v>
      </c>
      <c r="E34" s="2">
        <v>326</v>
      </c>
      <c r="F34" s="2">
        <f t="shared" si="0"/>
        <v>567</v>
      </c>
      <c r="G34" s="3">
        <f t="shared" si="1"/>
        <v>0.42504409171075835</v>
      </c>
      <c r="H34" s="3">
        <f t="shared" si="2"/>
        <v>0.57495590828924159</v>
      </c>
      <c r="I34" s="1" t="s">
        <v>129</v>
      </c>
    </row>
    <row r="35" spans="1:9" x14ac:dyDescent="0.2">
      <c r="A35" s="1" t="s">
        <v>28</v>
      </c>
      <c r="B35" s="1" t="s">
        <v>41</v>
      </c>
      <c r="C35" s="1" t="s">
        <v>147</v>
      </c>
      <c r="D35" s="2">
        <v>242</v>
      </c>
      <c r="E35" s="2">
        <v>356</v>
      </c>
      <c r="F35" s="2">
        <f t="shared" si="0"/>
        <v>598</v>
      </c>
      <c r="G35" s="3">
        <f t="shared" si="1"/>
        <v>0.40468227424749165</v>
      </c>
      <c r="H35" s="3">
        <f t="shared" si="2"/>
        <v>0.59531772575250841</v>
      </c>
      <c r="I35" s="1" t="s">
        <v>129</v>
      </c>
    </row>
    <row r="36" spans="1:9" x14ac:dyDescent="0.2">
      <c r="A36" s="1" t="s">
        <v>28</v>
      </c>
      <c r="B36" s="1" t="s">
        <v>42</v>
      </c>
      <c r="C36" s="1" t="s">
        <v>148</v>
      </c>
      <c r="D36" s="2">
        <v>248</v>
      </c>
      <c r="E36" s="2">
        <v>586</v>
      </c>
      <c r="F36" s="2">
        <f t="shared" si="0"/>
        <v>834</v>
      </c>
      <c r="G36" s="3">
        <f t="shared" si="1"/>
        <v>0.29736211031175058</v>
      </c>
      <c r="H36" s="3">
        <f t="shared" si="2"/>
        <v>0.70263788968824936</v>
      </c>
      <c r="I36" s="1" t="s">
        <v>129</v>
      </c>
    </row>
    <row r="37" spans="1:9" x14ac:dyDescent="0.2">
      <c r="A37" s="1" t="s">
        <v>28</v>
      </c>
      <c r="B37" s="1" t="s">
        <v>42</v>
      </c>
      <c r="C37" s="1" t="s">
        <v>149</v>
      </c>
      <c r="D37" s="2">
        <v>183</v>
      </c>
      <c r="E37" s="2">
        <v>384</v>
      </c>
      <c r="F37" s="2">
        <f t="shared" si="0"/>
        <v>567</v>
      </c>
      <c r="G37" s="3">
        <f t="shared" si="1"/>
        <v>0.32275132275132273</v>
      </c>
      <c r="H37" s="3">
        <f t="shared" si="2"/>
        <v>0.67724867724867721</v>
      </c>
      <c r="I37" s="1" t="s">
        <v>129</v>
      </c>
    </row>
    <row r="38" spans="1:9" x14ac:dyDescent="0.2">
      <c r="A38" s="1" t="s">
        <v>28</v>
      </c>
      <c r="B38" s="1" t="s">
        <v>43</v>
      </c>
      <c r="C38" s="1" t="s">
        <v>150</v>
      </c>
      <c r="D38" s="2">
        <v>115</v>
      </c>
      <c r="E38" s="2">
        <v>293</v>
      </c>
      <c r="F38" s="2">
        <f t="shared" si="0"/>
        <v>408</v>
      </c>
      <c r="G38" s="3">
        <f t="shared" si="1"/>
        <v>0.28186274509803921</v>
      </c>
      <c r="H38" s="3">
        <f t="shared" si="2"/>
        <v>0.71813725490196079</v>
      </c>
      <c r="I38" s="1" t="s">
        <v>129</v>
      </c>
    </row>
    <row r="39" spans="1:9" x14ac:dyDescent="0.2">
      <c r="A39" s="1" t="s">
        <v>28</v>
      </c>
      <c r="B39" s="1" t="s">
        <v>43</v>
      </c>
      <c r="C39" s="1" t="s">
        <v>151</v>
      </c>
      <c r="D39" s="2">
        <v>99</v>
      </c>
      <c r="E39" s="2">
        <v>218</v>
      </c>
      <c r="F39" s="2">
        <f t="shared" si="0"/>
        <v>317</v>
      </c>
      <c r="G39" s="3">
        <f t="shared" si="1"/>
        <v>0.31230283911671924</v>
      </c>
      <c r="H39" s="3">
        <f t="shared" si="2"/>
        <v>0.68769716088328081</v>
      </c>
      <c r="I39" s="1" t="s">
        <v>129</v>
      </c>
    </row>
    <row r="40" spans="1:9" x14ac:dyDescent="0.2">
      <c r="A40" s="1" t="s">
        <v>28</v>
      </c>
      <c r="B40" s="1" t="s">
        <v>43</v>
      </c>
      <c r="C40" s="1" t="s">
        <v>152</v>
      </c>
      <c r="D40" s="2">
        <v>364</v>
      </c>
      <c r="E40" s="2">
        <v>790</v>
      </c>
      <c r="F40" s="2">
        <f t="shared" si="0"/>
        <v>1154</v>
      </c>
      <c r="G40" s="3">
        <f t="shared" si="1"/>
        <v>0.31542461005199307</v>
      </c>
      <c r="H40" s="3">
        <f t="shared" si="2"/>
        <v>0.68457538994800693</v>
      </c>
      <c r="I40" s="1" t="s">
        <v>129</v>
      </c>
    </row>
    <row r="41" spans="1:9" x14ac:dyDescent="0.2">
      <c r="A41" s="1" t="s">
        <v>28</v>
      </c>
      <c r="B41" s="1" t="s">
        <v>44</v>
      </c>
      <c r="C41" s="1" t="s">
        <v>153</v>
      </c>
      <c r="D41" s="2">
        <v>246</v>
      </c>
      <c r="E41" s="2">
        <v>336</v>
      </c>
      <c r="F41" s="2">
        <f t="shared" si="0"/>
        <v>582</v>
      </c>
      <c r="G41" s="3">
        <f t="shared" si="1"/>
        <v>0.42268041237113402</v>
      </c>
      <c r="H41" s="3">
        <f t="shared" si="2"/>
        <v>0.57731958762886593</v>
      </c>
      <c r="I41" s="1" t="s">
        <v>129</v>
      </c>
    </row>
    <row r="42" spans="1:9" x14ac:dyDescent="0.2">
      <c r="A42" s="1" t="s">
        <v>28</v>
      </c>
      <c r="B42" s="1" t="s">
        <v>44</v>
      </c>
      <c r="C42" s="1" t="s">
        <v>154</v>
      </c>
      <c r="D42" s="2">
        <v>263</v>
      </c>
      <c r="E42" s="2">
        <v>370</v>
      </c>
      <c r="F42" s="2">
        <f t="shared" si="0"/>
        <v>633</v>
      </c>
      <c r="G42" s="3">
        <f t="shared" si="1"/>
        <v>0.4154818325434439</v>
      </c>
      <c r="H42" s="3">
        <f t="shared" si="2"/>
        <v>0.58451816745655605</v>
      </c>
      <c r="I42" s="1" t="s">
        <v>129</v>
      </c>
    </row>
    <row r="43" spans="1:9" x14ac:dyDescent="0.2">
      <c r="A43" s="1" t="s">
        <v>28</v>
      </c>
      <c r="B43" s="1" t="s">
        <v>45</v>
      </c>
      <c r="C43" s="1" t="s">
        <v>45</v>
      </c>
      <c r="D43" s="2">
        <v>130</v>
      </c>
      <c r="E43" s="2">
        <v>400</v>
      </c>
      <c r="F43" s="2">
        <f t="shared" si="0"/>
        <v>530</v>
      </c>
      <c r="G43" s="3">
        <f t="shared" si="1"/>
        <v>0.24528301886792453</v>
      </c>
      <c r="H43" s="3">
        <f t="shared" si="2"/>
        <v>0.75471698113207553</v>
      </c>
      <c r="I43" s="1" t="s">
        <v>129</v>
      </c>
    </row>
    <row r="44" spans="1:9" x14ac:dyDescent="0.2">
      <c r="A44" s="1" t="s">
        <v>28</v>
      </c>
      <c r="B44" s="1" t="s">
        <v>46</v>
      </c>
      <c r="C44" s="1" t="s">
        <v>155</v>
      </c>
      <c r="D44" s="2">
        <v>240</v>
      </c>
      <c r="E44" s="2">
        <v>459</v>
      </c>
      <c r="F44" s="2">
        <f t="shared" si="0"/>
        <v>699</v>
      </c>
      <c r="G44" s="3">
        <f t="shared" si="1"/>
        <v>0.34334763948497854</v>
      </c>
      <c r="H44" s="3">
        <f t="shared" si="2"/>
        <v>0.6566523605150214</v>
      </c>
      <c r="I44" s="1" t="s">
        <v>129</v>
      </c>
    </row>
    <row r="45" spans="1:9" x14ac:dyDescent="0.2">
      <c r="A45" s="1" t="s">
        <v>28</v>
      </c>
      <c r="B45" s="1" t="s">
        <v>46</v>
      </c>
      <c r="C45" s="1" t="s">
        <v>156</v>
      </c>
      <c r="D45" s="2">
        <v>384</v>
      </c>
      <c r="E45" s="2">
        <v>586</v>
      </c>
      <c r="F45" s="2">
        <f t="shared" si="0"/>
        <v>970</v>
      </c>
      <c r="G45" s="3">
        <f t="shared" si="1"/>
        <v>0.3958762886597938</v>
      </c>
      <c r="H45" s="3">
        <f t="shared" si="2"/>
        <v>0.60412371134020615</v>
      </c>
      <c r="I45" s="1" t="s">
        <v>129</v>
      </c>
    </row>
    <row r="46" spans="1:9" x14ac:dyDescent="0.2">
      <c r="A46" s="1" t="s">
        <v>28</v>
      </c>
      <c r="B46" s="1" t="s">
        <v>46</v>
      </c>
      <c r="C46" s="1" t="s">
        <v>157</v>
      </c>
      <c r="D46" s="2">
        <v>114</v>
      </c>
      <c r="E46" s="2">
        <v>208</v>
      </c>
      <c r="F46" s="2">
        <f t="shared" si="0"/>
        <v>322</v>
      </c>
      <c r="G46" s="3">
        <f t="shared" si="1"/>
        <v>0.35403726708074534</v>
      </c>
      <c r="H46" s="3">
        <f t="shared" si="2"/>
        <v>0.64596273291925466</v>
      </c>
      <c r="I46" s="1" t="s">
        <v>129</v>
      </c>
    </row>
    <row r="47" spans="1:9" x14ac:dyDescent="0.2">
      <c r="A47" s="1" t="s">
        <v>28</v>
      </c>
      <c r="B47" s="1" t="s">
        <v>47</v>
      </c>
      <c r="C47" s="1" t="s">
        <v>47</v>
      </c>
      <c r="D47" s="2">
        <v>60</v>
      </c>
      <c r="E47" s="2">
        <v>125</v>
      </c>
      <c r="F47" s="2">
        <f t="shared" si="0"/>
        <v>185</v>
      </c>
      <c r="G47" s="3">
        <f t="shared" si="1"/>
        <v>0.32432432432432434</v>
      </c>
      <c r="H47" s="3">
        <f t="shared" si="2"/>
        <v>0.67567567567567566</v>
      </c>
      <c r="I47" s="1" t="s">
        <v>129</v>
      </c>
    </row>
    <row r="48" spans="1:9" x14ac:dyDescent="0.2">
      <c r="A48" s="1" t="s">
        <v>28</v>
      </c>
      <c r="B48" s="1" t="s">
        <v>48</v>
      </c>
      <c r="C48" s="1" t="s">
        <v>158</v>
      </c>
      <c r="D48" s="2">
        <v>346</v>
      </c>
      <c r="E48" s="2">
        <v>517</v>
      </c>
      <c r="F48" s="2">
        <f t="shared" si="0"/>
        <v>863</v>
      </c>
      <c r="G48" s="3">
        <f t="shared" si="1"/>
        <v>0.40092699884125144</v>
      </c>
      <c r="H48" s="3">
        <f t="shared" si="2"/>
        <v>0.59907300115874851</v>
      </c>
      <c r="I48" s="1" t="s">
        <v>129</v>
      </c>
    </row>
    <row r="49" spans="1:9" x14ac:dyDescent="0.2">
      <c r="A49" s="1" t="s">
        <v>28</v>
      </c>
      <c r="B49" s="1" t="s">
        <v>48</v>
      </c>
      <c r="C49" s="1" t="s">
        <v>159</v>
      </c>
      <c r="D49" s="2">
        <v>246</v>
      </c>
      <c r="E49" s="2">
        <v>397</v>
      </c>
      <c r="F49" s="2">
        <f t="shared" si="0"/>
        <v>643</v>
      </c>
      <c r="G49" s="3">
        <f t="shared" si="1"/>
        <v>0.38258164852255055</v>
      </c>
      <c r="H49" s="3">
        <f t="shared" si="2"/>
        <v>0.6174183514774495</v>
      </c>
      <c r="I49" s="1" t="s">
        <v>129</v>
      </c>
    </row>
    <row r="50" spans="1:9" x14ac:dyDescent="0.2">
      <c r="A50" s="1" t="s">
        <v>28</v>
      </c>
      <c r="B50" s="1" t="s">
        <v>48</v>
      </c>
      <c r="C50" s="1" t="s">
        <v>160</v>
      </c>
      <c r="D50" s="2">
        <v>380</v>
      </c>
      <c r="E50" s="2">
        <v>605</v>
      </c>
      <c r="F50" s="2">
        <f t="shared" si="0"/>
        <v>985</v>
      </c>
      <c r="G50" s="3">
        <f t="shared" si="1"/>
        <v>0.38578680203045684</v>
      </c>
      <c r="H50" s="3">
        <f t="shared" si="2"/>
        <v>0.6142131979695431</v>
      </c>
      <c r="I50" s="1" t="s">
        <v>129</v>
      </c>
    </row>
    <row r="51" spans="1:9" x14ac:dyDescent="0.2">
      <c r="A51" s="1" t="s">
        <v>28</v>
      </c>
      <c r="B51" s="1" t="s">
        <v>48</v>
      </c>
      <c r="C51" s="1" t="s">
        <v>161</v>
      </c>
      <c r="D51" s="2">
        <v>368</v>
      </c>
      <c r="E51" s="2">
        <v>706</v>
      </c>
      <c r="F51" s="2">
        <f t="shared" si="0"/>
        <v>1074</v>
      </c>
      <c r="G51" s="3">
        <f t="shared" si="1"/>
        <v>0.34264432029795161</v>
      </c>
      <c r="H51" s="3">
        <f t="shared" si="2"/>
        <v>0.65735567970204845</v>
      </c>
      <c r="I51" s="1" t="s">
        <v>129</v>
      </c>
    </row>
    <row r="52" spans="1:9" x14ac:dyDescent="0.2">
      <c r="A52" s="1" t="s">
        <v>28</v>
      </c>
      <c r="B52" s="1" t="s">
        <v>48</v>
      </c>
      <c r="C52" s="1" t="s">
        <v>162</v>
      </c>
      <c r="D52" s="2">
        <v>347</v>
      </c>
      <c r="E52" s="2">
        <v>560</v>
      </c>
      <c r="F52" s="2">
        <f t="shared" si="0"/>
        <v>907</v>
      </c>
      <c r="G52" s="3">
        <f t="shared" si="1"/>
        <v>0.38257993384785005</v>
      </c>
      <c r="H52" s="3">
        <f t="shared" si="2"/>
        <v>0.61742006615214995</v>
      </c>
      <c r="I52" s="1" t="s">
        <v>129</v>
      </c>
    </row>
    <row r="53" spans="1:9" x14ac:dyDescent="0.2">
      <c r="A53" s="1" t="s">
        <v>28</v>
      </c>
      <c r="B53" s="1" t="s">
        <v>49</v>
      </c>
      <c r="C53" s="1" t="s">
        <v>163</v>
      </c>
      <c r="D53" s="2">
        <v>141</v>
      </c>
      <c r="E53" s="2">
        <v>160</v>
      </c>
      <c r="F53" s="2">
        <f t="shared" si="0"/>
        <v>301</v>
      </c>
      <c r="G53" s="3">
        <f t="shared" si="1"/>
        <v>0.46843853820598008</v>
      </c>
      <c r="H53" s="3">
        <f t="shared" si="2"/>
        <v>0.53156146179401997</v>
      </c>
      <c r="I53" s="1" t="s">
        <v>129</v>
      </c>
    </row>
    <row r="54" spans="1:9" x14ac:dyDescent="0.2">
      <c r="A54" s="1" t="s">
        <v>28</v>
      </c>
      <c r="B54" s="1" t="s">
        <v>49</v>
      </c>
      <c r="C54" s="1" t="s">
        <v>164</v>
      </c>
      <c r="D54" s="2">
        <v>153</v>
      </c>
      <c r="E54" s="2">
        <v>163</v>
      </c>
      <c r="F54" s="2">
        <f t="shared" si="0"/>
        <v>316</v>
      </c>
      <c r="G54" s="3">
        <f t="shared" si="1"/>
        <v>0.48417721518987344</v>
      </c>
      <c r="H54" s="3">
        <f t="shared" si="2"/>
        <v>0.51582278481012656</v>
      </c>
      <c r="I54" s="1" t="s">
        <v>129</v>
      </c>
    </row>
    <row r="55" spans="1:9" x14ac:dyDescent="0.2">
      <c r="A55" s="1" t="s">
        <v>28</v>
      </c>
      <c r="B55" s="1" t="s">
        <v>49</v>
      </c>
      <c r="C55" s="1" t="s">
        <v>165</v>
      </c>
      <c r="D55" s="2">
        <v>95</v>
      </c>
      <c r="E55" s="2">
        <v>164</v>
      </c>
      <c r="F55" s="2">
        <f t="shared" si="0"/>
        <v>259</v>
      </c>
      <c r="G55" s="3">
        <f t="shared" si="1"/>
        <v>0.36679536679536678</v>
      </c>
      <c r="H55" s="3">
        <f t="shared" si="2"/>
        <v>0.63320463320463316</v>
      </c>
      <c r="I55" s="1" t="s">
        <v>129</v>
      </c>
    </row>
    <row r="56" spans="1:9" x14ac:dyDescent="0.2">
      <c r="A56" s="1" t="s">
        <v>28</v>
      </c>
      <c r="B56" s="1" t="s">
        <v>49</v>
      </c>
      <c r="C56" s="1" t="s">
        <v>166</v>
      </c>
      <c r="D56" s="2">
        <v>174</v>
      </c>
      <c r="E56" s="2">
        <v>243</v>
      </c>
      <c r="F56" s="2">
        <f t="shared" si="0"/>
        <v>417</v>
      </c>
      <c r="G56" s="3">
        <f t="shared" si="1"/>
        <v>0.41726618705035973</v>
      </c>
      <c r="H56" s="3">
        <f t="shared" si="2"/>
        <v>0.58273381294964033</v>
      </c>
      <c r="I56" s="1" t="s">
        <v>129</v>
      </c>
    </row>
    <row r="57" spans="1:9" x14ac:dyDescent="0.2">
      <c r="A57" s="1" t="s">
        <v>28</v>
      </c>
      <c r="B57" s="1" t="s">
        <v>50</v>
      </c>
      <c r="C57" s="1" t="s">
        <v>167</v>
      </c>
      <c r="D57" s="2">
        <v>260</v>
      </c>
      <c r="E57" s="2">
        <v>517</v>
      </c>
      <c r="F57" s="2">
        <f t="shared" si="0"/>
        <v>777</v>
      </c>
      <c r="G57" s="3">
        <f t="shared" si="1"/>
        <v>0.33462033462033464</v>
      </c>
      <c r="H57" s="3">
        <f t="shared" si="2"/>
        <v>0.66537966537966542</v>
      </c>
      <c r="I57" s="1" t="s">
        <v>129</v>
      </c>
    </row>
    <row r="58" spans="1:9" x14ac:dyDescent="0.2">
      <c r="A58" s="1" t="s">
        <v>28</v>
      </c>
      <c r="B58" s="1" t="s">
        <v>50</v>
      </c>
      <c r="C58" s="1" t="s">
        <v>168</v>
      </c>
      <c r="D58" s="2">
        <v>225</v>
      </c>
      <c r="E58" s="2">
        <v>547</v>
      </c>
      <c r="F58" s="2">
        <f t="shared" si="0"/>
        <v>772</v>
      </c>
      <c r="G58" s="3">
        <f t="shared" si="1"/>
        <v>0.29145077720207252</v>
      </c>
      <c r="H58" s="3">
        <f t="shared" si="2"/>
        <v>0.70854922279792742</v>
      </c>
      <c r="I58" s="1" t="s">
        <v>129</v>
      </c>
    </row>
    <row r="59" spans="1:9" x14ac:dyDescent="0.2">
      <c r="A59" s="1" t="s">
        <v>28</v>
      </c>
      <c r="B59" s="1" t="s">
        <v>50</v>
      </c>
      <c r="C59" s="1" t="s">
        <v>169</v>
      </c>
      <c r="D59" s="2">
        <v>218</v>
      </c>
      <c r="E59" s="2">
        <v>492</v>
      </c>
      <c r="F59" s="2">
        <f t="shared" si="0"/>
        <v>710</v>
      </c>
      <c r="G59" s="3">
        <f t="shared" si="1"/>
        <v>0.30704225352112674</v>
      </c>
      <c r="H59" s="3">
        <f t="shared" si="2"/>
        <v>0.6929577464788732</v>
      </c>
      <c r="I59" s="1" t="s">
        <v>129</v>
      </c>
    </row>
    <row r="60" spans="1:9" x14ac:dyDescent="0.2">
      <c r="A60" s="1" t="s">
        <v>28</v>
      </c>
      <c r="B60" s="1" t="s">
        <v>51</v>
      </c>
      <c r="C60" s="1" t="s">
        <v>170</v>
      </c>
      <c r="D60" s="2">
        <v>196</v>
      </c>
      <c r="E60" s="2">
        <v>405</v>
      </c>
      <c r="F60" s="2">
        <f t="shared" si="0"/>
        <v>601</v>
      </c>
      <c r="G60" s="3">
        <f t="shared" si="1"/>
        <v>0.32612312811980032</v>
      </c>
      <c r="H60" s="3">
        <f t="shared" si="2"/>
        <v>0.67387687188019962</v>
      </c>
      <c r="I60" s="1" t="s">
        <v>129</v>
      </c>
    </row>
    <row r="61" spans="1:9" x14ac:dyDescent="0.2">
      <c r="A61" s="1" t="s">
        <v>28</v>
      </c>
      <c r="B61" s="1" t="s">
        <v>51</v>
      </c>
      <c r="C61" s="1" t="s">
        <v>171</v>
      </c>
      <c r="D61" s="2">
        <v>92</v>
      </c>
      <c r="E61" s="2">
        <v>221</v>
      </c>
      <c r="F61" s="2">
        <f t="shared" si="0"/>
        <v>313</v>
      </c>
      <c r="G61" s="3">
        <f t="shared" si="1"/>
        <v>0.29392971246006389</v>
      </c>
      <c r="H61" s="3">
        <f t="shared" si="2"/>
        <v>0.70607028753993606</v>
      </c>
      <c r="I61" s="1" t="s">
        <v>129</v>
      </c>
    </row>
    <row r="62" spans="1:9" x14ac:dyDescent="0.2">
      <c r="A62" s="1" t="s">
        <v>28</v>
      </c>
      <c r="B62" s="1" t="s">
        <v>52</v>
      </c>
      <c r="C62" s="1" t="s">
        <v>52</v>
      </c>
      <c r="D62" s="2">
        <v>41</v>
      </c>
      <c r="E62" s="2">
        <v>66</v>
      </c>
      <c r="F62" s="2">
        <f t="shared" si="0"/>
        <v>107</v>
      </c>
      <c r="G62" s="3">
        <f t="shared" si="1"/>
        <v>0.38317757009345793</v>
      </c>
      <c r="H62" s="3">
        <f t="shared" si="2"/>
        <v>0.61682242990654201</v>
      </c>
      <c r="I62" s="1" t="s">
        <v>129</v>
      </c>
    </row>
    <row r="63" spans="1:9" x14ac:dyDescent="0.2">
      <c r="A63" s="1" t="s">
        <v>53</v>
      </c>
      <c r="B63" s="1" t="s">
        <v>54</v>
      </c>
      <c r="C63" s="1" t="s">
        <v>54</v>
      </c>
      <c r="D63" s="2">
        <v>495</v>
      </c>
      <c r="E63" s="2">
        <v>566</v>
      </c>
      <c r="F63" s="2">
        <f t="shared" si="0"/>
        <v>1061</v>
      </c>
      <c r="G63" s="3">
        <f t="shared" si="1"/>
        <v>0.46654099905749291</v>
      </c>
      <c r="H63" s="3">
        <f t="shared" si="2"/>
        <v>0.53345900094250709</v>
      </c>
      <c r="I63" s="1" t="s">
        <v>129</v>
      </c>
    </row>
    <row r="64" spans="1:9" x14ac:dyDescent="0.2">
      <c r="A64" s="1" t="s">
        <v>53</v>
      </c>
      <c r="B64" s="1" t="s">
        <v>55</v>
      </c>
      <c r="C64" s="1" t="s">
        <v>172</v>
      </c>
      <c r="D64" s="2">
        <v>232</v>
      </c>
      <c r="E64" s="2">
        <v>99</v>
      </c>
      <c r="F64" s="2">
        <f t="shared" si="0"/>
        <v>331</v>
      </c>
      <c r="G64" s="3">
        <f t="shared" si="1"/>
        <v>0.70090634441087618</v>
      </c>
      <c r="H64" s="3">
        <f t="shared" si="2"/>
        <v>0.29909365558912387</v>
      </c>
      <c r="I64" s="1" t="s">
        <v>129</v>
      </c>
    </row>
    <row r="65" spans="1:9" x14ac:dyDescent="0.2">
      <c r="A65" s="1" t="s">
        <v>53</v>
      </c>
      <c r="B65" s="1" t="s">
        <v>55</v>
      </c>
      <c r="C65" s="1" t="s">
        <v>173</v>
      </c>
      <c r="D65" s="2">
        <v>149</v>
      </c>
      <c r="E65" s="2">
        <v>75</v>
      </c>
      <c r="F65" s="2">
        <f t="shared" si="0"/>
        <v>224</v>
      </c>
      <c r="G65" s="3">
        <f t="shared" si="1"/>
        <v>0.6651785714285714</v>
      </c>
      <c r="H65" s="3">
        <f t="shared" si="2"/>
        <v>0.33482142857142855</v>
      </c>
      <c r="I65" s="1" t="s">
        <v>129</v>
      </c>
    </row>
    <row r="66" spans="1:9" x14ac:dyDescent="0.2">
      <c r="A66" s="1" t="s">
        <v>53</v>
      </c>
      <c r="B66" s="1" t="s">
        <v>55</v>
      </c>
      <c r="C66" s="1" t="s">
        <v>174</v>
      </c>
      <c r="D66" s="2">
        <v>176</v>
      </c>
      <c r="E66" s="2">
        <v>78</v>
      </c>
      <c r="F66" s="2">
        <f t="shared" si="0"/>
        <v>254</v>
      </c>
      <c r="G66" s="3">
        <f t="shared" si="1"/>
        <v>0.69291338582677164</v>
      </c>
      <c r="H66" s="3">
        <f t="shared" si="2"/>
        <v>0.30708661417322836</v>
      </c>
      <c r="I66" s="1" t="s">
        <v>129</v>
      </c>
    </row>
    <row r="67" spans="1:9" x14ac:dyDescent="0.2">
      <c r="A67" s="1" t="s">
        <v>53</v>
      </c>
      <c r="B67" s="1" t="s">
        <v>55</v>
      </c>
      <c r="C67" s="1" t="s">
        <v>175</v>
      </c>
      <c r="D67" s="2">
        <v>156</v>
      </c>
      <c r="E67" s="2">
        <v>75</v>
      </c>
      <c r="F67" s="2">
        <f t="shared" si="0"/>
        <v>231</v>
      </c>
      <c r="G67" s="3">
        <f t="shared" si="1"/>
        <v>0.67532467532467533</v>
      </c>
      <c r="H67" s="3">
        <f t="shared" si="2"/>
        <v>0.32467532467532467</v>
      </c>
      <c r="I67" s="1" t="s">
        <v>129</v>
      </c>
    </row>
    <row r="68" spans="1:9" x14ac:dyDescent="0.2">
      <c r="A68" s="1" t="s">
        <v>53</v>
      </c>
      <c r="B68" s="1" t="s">
        <v>55</v>
      </c>
      <c r="C68" s="1" t="s">
        <v>176</v>
      </c>
      <c r="D68" s="2">
        <v>178</v>
      </c>
      <c r="E68" s="2">
        <v>72</v>
      </c>
      <c r="F68" s="2">
        <f t="shared" si="0"/>
        <v>250</v>
      </c>
      <c r="G68" s="3">
        <f t="shared" si="1"/>
        <v>0.71199999999999997</v>
      </c>
      <c r="H68" s="3">
        <f t="shared" si="2"/>
        <v>0.28799999999999998</v>
      </c>
      <c r="I68" s="1" t="s">
        <v>129</v>
      </c>
    </row>
    <row r="69" spans="1:9" x14ac:dyDescent="0.2">
      <c r="A69" s="1" t="s">
        <v>53</v>
      </c>
      <c r="B69" s="1" t="s">
        <v>55</v>
      </c>
      <c r="C69" s="1" t="s">
        <v>177</v>
      </c>
      <c r="D69" s="2">
        <v>245</v>
      </c>
      <c r="E69" s="2">
        <v>107</v>
      </c>
      <c r="F69" s="2">
        <f t="shared" si="0"/>
        <v>352</v>
      </c>
      <c r="G69" s="3">
        <f t="shared" si="1"/>
        <v>0.69602272727272729</v>
      </c>
      <c r="H69" s="3">
        <f t="shared" si="2"/>
        <v>0.30397727272727271</v>
      </c>
      <c r="I69" s="1" t="s">
        <v>129</v>
      </c>
    </row>
    <row r="70" spans="1:9" x14ac:dyDescent="0.2">
      <c r="A70" s="1" t="s">
        <v>53</v>
      </c>
      <c r="B70" s="1" t="s">
        <v>55</v>
      </c>
      <c r="C70" s="1" t="s">
        <v>178</v>
      </c>
      <c r="D70" s="2">
        <v>657</v>
      </c>
      <c r="E70" s="2">
        <v>225</v>
      </c>
      <c r="F70" s="2">
        <f t="shared" si="0"/>
        <v>882</v>
      </c>
      <c r="G70" s="3">
        <f t="shared" si="1"/>
        <v>0.74489795918367352</v>
      </c>
      <c r="H70" s="3">
        <f t="shared" si="2"/>
        <v>0.25510204081632654</v>
      </c>
      <c r="I70" s="1" t="s">
        <v>129</v>
      </c>
    </row>
    <row r="71" spans="1:9" x14ac:dyDescent="0.2">
      <c r="A71" s="1" t="s">
        <v>53</v>
      </c>
      <c r="B71" s="1" t="s">
        <v>55</v>
      </c>
      <c r="C71" s="1" t="s">
        <v>179</v>
      </c>
      <c r="D71" s="2">
        <v>258</v>
      </c>
      <c r="E71" s="2">
        <v>129</v>
      </c>
      <c r="F71" s="2">
        <f t="shared" si="0"/>
        <v>387</v>
      </c>
      <c r="G71" s="3">
        <f t="shared" si="1"/>
        <v>0.66666666666666663</v>
      </c>
      <c r="H71" s="3">
        <f t="shared" si="2"/>
        <v>0.33333333333333331</v>
      </c>
      <c r="I71" s="1" t="s">
        <v>129</v>
      </c>
    </row>
    <row r="72" spans="1:9" x14ac:dyDescent="0.2">
      <c r="A72" s="1" t="s">
        <v>53</v>
      </c>
      <c r="B72" s="1" t="s">
        <v>55</v>
      </c>
      <c r="C72" s="1" t="s">
        <v>180</v>
      </c>
      <c r="D72" s="2">
        <v>424</v>
      </c>
      <c r="E72" s="2">
        <v>255</v>
      </c>
      <c r="F72" s="2">
        <f t="shared" si="0"/>
        <v>679</v>
      </c>
      <c r="G72" s="3">
        <f t="shared" si="1"/>
        <v>0.62444771723122239</v>
      </c>
      <c r="H72" s="3">
        <f t="shared" si="2"/>
        <v>0.37555228276877761</v>
      </c>
      <c r="I72" s="1" t="s">
        <v>129</v>
      </c>
    </row>
    <row r="73" spans="1:9" x14ac:dyDescent="0.2">
      <c r="A73" s="1" t="s">
        <v>53</v>
      </c>
      <c r="B73" s="1" t="s">
        <v>55</v>
      </c>
      <c r="C73" s="1" t="s">
        <v>181</v>
      </c>
      <c r="D73" s="2">
        <v>335</v>
      </c>
      <c r="E73" s="2">
        <v>189</v>
      </c>
      <c r="F73" s="2">
        <f t="shared" si="0"/>
        <v>524</v>
      </c>
      <c r="G73" s="3">
        <f t="shared" si="1"/>
        <v>0.63931297709923662</v>
      </c>
      <c r="H73" s="3">
        <f t="shared" si="2"/>
        <v>0.36068702290076338</v>
      </c>
      <c r="I73" s="1" t="s">
        <v>129</v>
      </c>
    </row>
    <row r="74" spans="1:9" x14ac:dyDescent="0.2">
      <c r="A74" s="1" t="s">
        <v>53</v>
      </c>
      <c r="B74" s="1" t="s">
        <v>55</v>
      </c>
      <c r="C74" s="1" t="s">
        <v>182</v>
      </c>
      <c r="D74" s="2">
        <v>257</v>
      </c>
      <c r="E74" s="2">
        <v>118</v>
      </c>
      <c r="F74" s="2">
        <f t="shared" si="0"/>
        <v>375</v>
      </c>
      <c r="G74" s="3">
        <f t="shared" si="1"/>
        <v>0.68533333333333335</v>
      </c>
      <c r="H74" s="3">
        <f t="shared" si="2"/>
        <v>0.31466666666666665</v>
      </c>
      <c r="I74" s="1" t="s">
        <v>129</v>
      </c>
    </row>
    <row r="75" spans="1:9" x14ac:dyDescent="0.2">
      <c r="A75" s="1" t="s">
        <v>53</v>
      </c>
      <c r="B75" s="1" t="s">
        <v>55</v>
      </c>
      <c r="C75" s="1" t="s">
        <v>183</v>
      </c>
      <c r="D75" s="2">
        <v>326</v>
      </c>
      <c r="E75" s="2">
        <v>172</v>
      </c>
      <c r="F75" s="2">
        <f t="shared" si="0"/>
        <v>498</v>
      </c>
      <c r="G75" s="3">
        <f t="shared" si="1"/>
        <v>0.65461847389558236</v>
      </c>
      <c r="H75" s="3">
        <f t="shared" si="2"/>
        <v>0.34538152610441769</v>
      </c>
      <c r="I75" s="1" t="s">
        <v>129</v>
      </c>
    </row>
    <row r="76" spans="1:9" x14ac:dyDescent="0.2">
      <c r="A76" s="1" t="s">
        <v>53</v>
      </c>
      <c r="B76" s="1" t="s">
        <v>55</v>
      </c>
      <c r="C76" s="1" t="s">
        <v>184</v>
      </c>
      <c r="D76" s="2">
        <v>316</v>
      </c>
      <c r="E76" s="2">
        <v>172</v>
      </c>
      <c r="F76" s="2">
        <f t="shared" ref="F76:F139" si="3">IF(COUNTA(D76:E76)=0,"",SUM(D76:E76))</f>
        <v>488</v>
      </c>
      <c r="G76" s="3">
        <f t="shared" ref="G76:G139" si="4">IF(OR(F76="",F76=0),"",D76/F76)</f>
        <v>0.64754098360655743</v>
      </c>
      <c r="H76" s="3">
        <f t="shared" ref="H76:H139" si="5">IF(OR(F76="",F76=0),"",E76/F76)</f>
        <v>0.35245901639344263</v>
      </c>
      <c r="I76" s="1" t="s">
        <v>129</v>
      </c>
    </row>
    <row r="77" spans="1:9" x14ac:dyDescent="0.2">
      <c r="A77" s="1" t="s">
        <v>53</v>
      </c>
      <c r="B77" s="1" t="s">
        <v>55</v>
      </c>
      <c r="C77" s="1" t="s">
        <v>185</v>
      </c>
      <c r="D77" s="2">
        <v>330</v>
      </c>
      <c r="E77" s="2">
        <v>235</v>
      </c>
      <c r="F77" s="2">
        <f t="shared" si="3"/>
        <v>565</v>
      </c>
      <c r="G77" s="3">
        <f t="shared" si="4"/>
        <v>0.58407079646017701</v>
      </c>
      <c r="H77" s="3">
        <f t="shared" si="5"/>
        <v>0.41592920353982299</v>
      </c>
      <c r="I77" s="1" t="s">
        <v>129</v>
      </c>
    </row>
    <row r="78" spans="1:9" x14ac:dyDescent="0.2">
      <c r="A78" s="1" t="s">
        <v>53</v>
      </c>
      <c r="B78" s="1" t="s">
        <v>55</v>
      </c>
      <c r="C78" s="1" t="s">
        <v>186</v>
      </c>
      <c r="D78" s="2">
        <v>258</v>
      </c>
      <c r="E78" s="2">
        <v>156</v>
      </c>
      <c r="F78" s="2">
        <f t="shared" si="3"/>
        <v>414</v>
      </c>
      <c r="G78" s="3">
        <f t="shared" si="4"/>
        <v>0.62318840579710144</v>
      </c>
      <c r="H78" s="3">
        <f t="shared" si="5"/>
        <v>0.37681159420289856</v>
      </c>
      <c r="I78" s="1" t="s">
        <v>129</v>
      </c>
    </row>
    <row r="79" spans="1:9" x14ac:dyDescent="0.2">
      <c r="A79" s="1" t="s">
        <v>53</v>
      </c>
      <c r="B79" s="1" t="s">
        <v>55</v>
      </c>
      <c r="C79" s="1" t="s">
        <v>187</v>
      </c>
      <c r="D79" s="2">
        <v>273</v>
      </c>
      <c r="E79" s="2">
        <v>127</v>
      </c>
      <c r="F79" s="2">
        <f t="shared" si="3"/>
        <v>400</v>
      </c>
      <c r="G79" s="3">
        <f t="shared" si="4"/>
        <v>0.6825</v>
      </c>
      <c r="H79" s="3">
        <f t="shared" si="5"/>
        <v>0.3175</v>
      </c>
      <c r="I79" s="1" t="s">
        <v>129</v>
      </c>
    </row>
    <row r="80" spans="1:9" x14ac:dyDescent="0.2">
      <c r="A80" s="1" t="s">
        <v>53</v>
      </c>
      <c r="B80" s="1" t="s">
        <v>55</v>
      </c>
      <c r="C80" s="1" t="s">
        <v>188</v>
      </c>
      <c r="D80" s="2">
        <v>185</v>
      </c>
      <c r="E80" s="2">
        <v>103</v>
      </c>
      <c r="F80" s="2">
        <f t="shared" si="3"/>
        <v>288</v>
      </c>
      <c r="G80" s="3">
        <f t="shared" si="4"/>
        <v>0.64236111111111116</v>
      </c>
      <c r="H80" s="3">
        <f t="shared" si="5"/>
        <v>0.3576388888888889</v>
      </c>
      <c r="I80" s="1" t="s">
        <v>129</v>
      </c>
    </row>
    <row r="81" spans="1:9" x14ac:dyDescent="0.2">
      <c r="A81" s="1" t="s">
        <v>53</v>
      </c>
      <c r="B81" s="1" t="s">
        <v>55</v>
      </c>
      <c r="C81" s="1" t="s">
        <v>189</v>
      </c>
      <c r="D81" s="2">
        <v>266</v>
      </c>
      <c r="E81" s="2">
        <v>134</v>
      </c>
      <c r="F81" s="2">
        <f t="shared" si="3"/>
        <v>400</v>
      </c>
      <c r="G81" s="3">
        <f t="shared" si="4"/>
        <v>0.66500000000000004</v>
      </c>
      <c r="H81" s="3">
        <f t="shared" si="5"/>
        <v>0.33500000000000002</v>
      </c>
      <c r="I81" s="1" t="s">
        <v>129</v>
      </c>
    </row>
    <row r="82" spans="1:9" x14ac:dyDescent="0.2">
      <c r="A82" s="1" t="s">
        <v>53</v>
      </c>
      <c r="B82" s="1" t="s">
        <v>55</v>
      </c>
      <c r="C82" s="1" t="s">
        <v>190</v>
      </c>
      <c r="D82" s="2">
        <v>204</v>
      </c>
      <c r="E82" s="2">
        <v>99</v>
      </c>
      <c r="F82" s="2">
        <f t="shared" si="3"/>
        <v>303</v>
      </c>
      <c r="G82" s="3">
        <f t="shared" si="4"/>
        <v>0.67326732673267331</v>
      </c>
      <c r="H82" s="3">
        <f t="shared" si="5"/>
        <v>0.32673267326732675</v>
      </c>
      <c r="I82" s="1" t="s">
        <v>129</v>
      </c>
    </row>
    <row r="83" spans="1:9" x14ac:dyDescent="0.2">
      <c r="A83" s="1" t="s">
        <v>53</v>
      </c>
      <c r="B83" s="1" t="s">
        <v>55</v>
      </c>
      <c r="C83" s="1" t="s">
        <v>191</v>
      </c>
      <c r="D83" s="2">
        <v>371</v>
      </c>
      <c r="E83" s="2">
        <v>198</v>
      </c>
      <c r="F83" s="2">
        <f t="shared" si="3"/>
        <v>569</v>
      </c>
      <c r="G83" s="3">
        <f t="shared" si="4"/>
        <v>0.65202108963093142</v>
      </c>
      <c r="H83" s="3">
        <f t="shared" si="5"/>
        <v>0.34797891036906853</v>
      </c>
      <c r="I83" s="1" t="s">
        <v>129</v>
      </c>
    </row>
    <row r="84" spans="1:9" x14ac:dyDescent="0.2">
      <c r="A84" s="1" t="s">
        <v>53</v>
      </c>
      <c r="B84" s="1" t="s">
        <v>55</v>
      </c>
      <c r="C84" s="1" t="s">
        <v>192</v>
      </c>
      <c r="D84" s="2">
        <v>377</v>
      </c>
      <c r="E84" s="2">
        <v>200</v>
      </c>
      <c r="F84" s="2">
        <f t="shared" si="3"/>
        <v>577</v>
      </c>
      <c r="G84" s="3">
        <f t="shared" si="4"/>
        <v>0.65337954939341425</v>
      </c>
      <c r="H84" s="3">
        <f t="shared" si="5"/>
        <v>0.34662045060658581</v>
      </c>
      <c r="I84" s="1" t="s">
        <v>129</v>
      </c>
    </row>
    <row r="85" spans="1:9" x14ac:dyDescent="0.2">
      <c r="A85" s="1" t="s">
        <v>53</v>
      </c>
      <c r="B85" s="1" t="s">
        <v>55</v>
      </c>
      <c r="C85" s="1" t="s">
        <v>193</v>
      </c>
      <c r="D85" s="2">
        <v>292</v>
      </c>
      <c r="E85" s="2">
        <v>226</v>
      </c>
      <c r="F85" s="2">
        <f t="shared" si="3"/>
        <v>518</v>
      </c>
      <c r="G85" s="3">
        <f t="shared" si="4"/>
        <v>0.56370656370656369</v>
      </c>
      <c r="H85" s="3">
        <f t="shared" si="5"/>
        <v>0.43629343629343631</v>
      </c>
      <c r="I85" s="1" t="s">
        <v>129</v>
      </c>
    </row>
    <row r="86" spans="1:9" x14ac:dyDescent="0.2">
      <c r="A86" s="1" t="s">
        <v>53</v>
      </c>
      <c r="B86" s="1" t="s">
        <v>55</v>
      </c>
      <c r="C86" s="1" t="s">
        <v>194</v>
      </c>
      <c r="D86" s="2">
        <v>374</v>
      </c>
      <c r="E86" s="2">
        <v>217</v>
      </c>
      <c r="F86" s="2">
        <f t="shared" si="3"/>
        <v>591</v>
      </c>
      <c r="G86" s="3">
        <f t="shared" si="4"/>
        <v>0.63282571912013541</v>
      </c>
      <c r="H86" s="3">
        <f t="shared" si="5"/>
        <v>0.36717428087986465</v>
      </c>
      <c r="I86" s="1" t="s">
        <v>129</v>
      </c>
    </row>
    <row r="87" spans="1:9" x14ac:dyDescent="0.2">
      <c r="A87" s="1" t="s">
        <v>53</v>
      </c>
      <c r="B87" s="1" t="s">
        <v>55</v>
      </c>
      <c r="C87" s="1" t="s">
        <v>195</v>
      </c>
      <c r="D87" s="2">
        <v>436</v>
      </c>
      <c r="E87" s="2">
        <v>261</v>
      </c>
      <c r="F87" s="2">
        <f t="shared" si="3"/>
        <v>697</v>
      </c>
      <c r="G87" s="3">
        <f t="shared" si="4"/>
        <v>0.62553802008608317</v>
      </c>
      <c r="H87" s="3">
        <f t="shared" si="5"/>
        <v>0.37446197991391678</v>
      </c>
      <c r="I87" s="1" t="s">
        <v>129</v>
      </c>
    </row>
    <row r="88" spans="1:9" x14ac:dyDescent="0.2">
      <c r="A88" s="1" t="s">
        <v>53</v>
      </c>
      <c r="B88" s="1" t="s">
        <v>55</v>
      </c>
      <c r="C88" s="1" t="s">
        <v>196</v>
      </c>
      <c r="D88" s="2">
        <v>284</v>
      </c>
      <c r="E88" s="2">
        <v>195</v>
      </c>
      <c r="F88" s="2">
        <f t="shared" si="3"/>
        <v>479</v>
      </c>
      <c r="G88" s="3">
        <f t="shared" si="4"/>
        <v>0.59290187891440504</v>
      </c>
      <c r="H88" s="3">
        <f t="shared" si="5"/>
        <v>0.40709812108559501</v>
      </c>
      <c r="I88" s="1" t="s">
        <v>129</v>
      </c>
    </row>
    <row r="89" spans="1:9" x14ac:dyDescent="0.2">
      <c r="A89" s="1" t="s">
        <v>53</v>
      </c>
      <c r="B89" s="1" t="s">
        <v>55</v>
      </c>
      <c r="C89" s="1" t="s">
        <v>197</v>
      </c>
      <c r="D89" s="2">
        <v>299</v>
      </c>
      <c r="E89" s="2">
        <v>168</v>
      </c>
      <c r="F89" s="2">
        <f t="shared" si="3"/>
        <v>467</v>
      </c>
      <c r="G89" s="3">
        <f t="shared" si="4"/>
        <v>0.64025695931477511</v>
      </c>
      <c r="H89" s="3">
        <f t="shared" si="5"/>
        <v>0.35974304068522484</v>
      </c>
      <c r="I89" s="1" t="s">
        <v>129</v>
      </c>
    </row>
    <row r="90" spans="1:9" x14ac:dyDescent="0.2">
      <c r="A90" s="1" t="s">
        <v>53</v>
      </c>
      <c r="B90" s="1" t="s">
        <v>55</v>
      </c>
      <c r="C90" s="1" t="s">
        <v>198</v>
      </c>
      <c r="D90" s="2">
        <v>516</v>
      </c>
      <c r="E90" s="2">
        <v>336</v>
      </c>
      <c r="F90" s="2">
        <f t="shared" si="3"/>
        <v>852</v>
      </c>
      <c r="G90" s="3">
        <f t="shared" si="4"/>
        <v>0.60563380281690138</v>
      </c>
      <c r="H90" s="3">
        <f t="shared" si="5"/>
        <v>0.39436619718309857</v>
      </c>
      <c r="I90" s="1" t="s">
        <v>129</v>
      </c>
    </row>
    <row r="91" spans="1:9" x14ac:dyDescent="0.2">
      <c r="A91" s="1" t="s">
        <v>53</v>
      </c>
      <c r="B91" s="1" t="s">
        <v>55</v>
      </c>
      <c r="C91" s="1" t="s">
        <v>199</v>
      </c>
      <c r="D91" s="2">
        <v>349</v>
      </c>
      <c r="E91" s="2">
        <v>167</v>
      </c>
      <c r="F91" s="2">
        <f t="shared" si="3"/>
        <v>516</v>
      </c>
      <c r="G91" s="3">
        <f t="shared" si="4"/>
        <v>0.6763565891472868</v>
      </c>
      <c r="H91" s="3">
        <f t="shared" si="5"/>
        <v>0.3236434108527132</v>
      </c>
      <c r="I91" s="1" t="s">
        <v>129</v>
      </c>
    </row>
    <row r="92" spans="1:9" x14ac:dyDescent="0.2">
      <c r="A92" s="1" t="s">
        <v>53</v>
      </c>
      <c r="B92" s="1" t="s">
        <v>55</v>
      </c>
      <c r="C92" s="1" t="s">
        <v>200</v>
      </c>
      <c r="D92" s="2">
        <v>387</v>
      </c>
      <c r="E92" s="2">
        <v>205</v>
      </c>
      <c r="F92" s="2">
        <f t="shared" si="3"/>
        <v>592</v>
      </c>
      <c r="G92" s="3">
        <f t="shared" si="4"/>
        <v>0.65371621621621623</v>
      </c>
      <c r="H92" s="3">
        <f t="shared" si="5"/>
        <v>0.34628378378378377</v>
      </c>
      <c r="I92" s="1" t="s">
        <v>129</v>
      </c>
    </row>
    <row r="93" spans="1:9" x14ac:dyDescent="0.2">
      <c r="A93" s="1" t="s">
        <v>53</v>
      </c>
      <c r="B93" s="1" t="s">
        <v>55</v>
      </c>
      <c r="C93" s="1" t="s">
        <v>201</v>
      </c>
      <c r="D93" s="2">
        <v>420</v>
      </c>
      <c r="E93" s="2">
        <v>227</v>
      </c>
      <c r="F93" s="2">
        <f t="shared" si="3"/>
        <v>647</v>
      </c>
      <c r="G93" s="3">
        <f t="shared" si="4"/>
        <v>0.6491499227202473</v>
      </c>
      <c r="H93" s="3">
        <f t="shared" si="5"/>
        <v>0.3508500772797527</v>
      </c>
      <c r="I93" s="1" t="s">
        <v>129</v>
      </c>
    </row>
    <row r="94" spans="1:9" x14ac:dyDescent="0.2">
      <c r="A94" s="1" t="s">
        <v>53</v>
      </c>
      <c r="B94" s="1" t="s">
        <v>55</v>
      </c>
      <c r="C94" s="1" t="s">
        <v>202</v>
      </c>
      <c r="D94" s="2">
        <v>334</v>
      </c>
      <c r="E94" s="2">
        <v>164</v>
      </c>
      <c r="F94" s="2">
        <f t="shared" si="3"/>
        <v>498</v>
      </c>
      <c r="G94" s="3">
        <f t="shared" si="4"/>
        <v>0.67068273092369479</v>
      </c>
      <c r="H94" s="3">
        <f t="shared" si="5"/>
        <v>0.32931726907630521</v>
      </c>
      <c r="I94" s="1" t="s">
        <v>203</v>
      </c>
    </row>
    <row r="95" spans="1:9" x14ac:dyDescent="0.2">
      <c r="A95" s="1" t="s">
        <v>53</v>
      </c>
      <c r="B95" s="1" t="s">
        <v>55</v>
      </c>
      <c r="C95" s="1" t="s">
        <v>204</v>
      </c>
      <c r="D95" s="2">
        <v>820</v>
      </c>
      <c r="E95" s="2">
        <v>404</v>
      </c>
      <c r="F95" s="2">
        <f t="shared" si="3"/>
        <v>1224</v>
      </c>
      <c r="G95" s="3">
        <f t="shared" si="4"/>
        <v>0.66993464052287577</v>
      </c>
      <c r="H95" s="3">
        <f t="shared" si="5"/>
        <v>0.33006535947712418</v>
      </c>
      <c r="I95" s="1" t="s">
        <v>203</v>
      </c>
    </row>
    <row r="96" spans="1:9" x14ac:dyDescent="0.2">
      <c r="A96" s="1" t="s">
        <v>53</v>
      </c>
      <c r="B96" s="1" t="s">
        <v>55</v>
      </c>
      <c r="C96" s="1" t="s">
        <v>205</v>
      </c>
      <c r="D96" s="2">
        <v>368</v>
      </c>
      <c r="E96" s="2">
        <v>186</v>
      </c>
      <c r="F96" s="2">
        <f t="shared" si="3"/>
        <v>554</v>
      </c>
      <c r="G96" s="3">
        <f t="shared" si="4"/>
        <v>0.66425992779783394</v>
      </c>
      <c r="H96" s="3">
        <f t="shared" si="5"/>
        <v>0.33574007220216606</v>
      </c>
      <c r="I96" s="1" t="s">
        <v>129</v>
      </c>
    </row>
    <row r="97" spans="1:9" x14ac:dyDescent="0.2">
      <c r="A97" s="1" t="s">
        <v>53</v>
      </c>
      <c r="B97" s="1" t="s">
        <v>55</v>
      </c>
      <c r="C97" s="1" t="s">
        <v>206</v>
      </c>
      <c r="D97" s="2">
        <v>460</v>
      </c>
      <c r="E97" s="2">
        <v>280</v>
      </c>
      <c r="F97" s="2">
        <f t="shared" si="3"/>
        <v>740</v>
      </c>
      <c r="G97" s="3">
        <f t="shared" si="4"/>
        <v>0.6216216216216216</v>
      </c>
      <c r="H97" s="3">
        <f t="shared" si="5"/>
        <v>0.3783783783783784</v>
      </c>
      <c r="I97" s="1" t="s">
        <v>129</v>
      </c>
    </row>
    <row r="98" spans="1:9" x14ac:dyDescent="0.2">
      <c r="A98" s="1" t="s">
        <v>53</v>
      </c>
      <c r="B98" s="1" t="s">
        <v>55</v>
      </c>
      <c r="C98" s="1" t="s">
        <v>207</v>
      </c>
      <c r="D98" s="2">
        <v>14</v>
      </c>
      <c r="E98" s="2">
        <v>7</v>
      </c>
      <c r="F98" s="2">
        <f t="shared" si="3"/>
        <v>21</v>
      </c>
      <c r="G98" s="3">
        <f t="shared" si="4"/>
        <v>0.66666666666666663</v>
      </c>
      <c r="H98" s="3">
        <f t="shared" si="5"/>
        <v>0.33333333333333331</v>
      </c>
      <c r="I98" s="1" t="s">
        <v>203</v>
      </c>
    </row>
    <row r="99" spans="1:9" x14ac:dyDescent="0.2">
      <c r="A99" s="1" t="s">
        <v>53</v>
      </c>
      <c r="B99" s="1" t="s">
        <v>55</v>
      </c>
      <c r="C99" s="1" t="s">
        <v>208</v>
      </c>
      <c r="D99" s="2">
        <v>215</v>
      </c>
      <c r="E99" s="2">
        <v>160</v>
      </c>
      <c r="F99" s="2">
        <f t="shared" si="3"/>
        <v>375</v>
      </c>
      <c r="G99" s="3">
        <f t="shared" si="4"/>
        <v>0.57333333333333336</v>
      </c>
      <c r="H99" s="3">
        <f t="shared" si="5"/>
        <v>0.42666666666666669</v>
      </c>
      <c r="I99" s="1" t="s">
        <v>129</v>
      </c>
    </row>
    <row r="100" spans="1:9" x14ac:dyDescent="0.2">
      <c r="A100" s="1" t="s">
        <v>53</v>
      </c>
      <c r="B100" s="1" t="s">
        <v>55</v>
      </c>
      <c r="C100" s="1" t="s">
        <v>209</v>
      </c>
      <c r="D100" s="2">
        <v>382</v>
      </c>
      <c r="E100" s="2">
        <v>205</v>
      </c>
      <c r="F100" s="2">
        <f t="shared" si="3"/>
        <v>587</v>
      </c>
      <c r="G100" s="3">
        <f t="shared" si="4"/>
        <v>0.65076660988074952</v>
      </c>
      <c r="H100" s="3">
        <f t="shared" si="5"/>
        <v>0.34923339011925042</v>
      </c>
      <c r="I100" s="1" t="s">
        <v>129</v>
      </c>
    </row>
    <row r="101" spans="1:9" x14ac:dyDescent="0.2">
      <c r="A101" s="1" t="s">
        <v>53</v>
      </c>
      <c r="B101" s="1" t="s">
        <v>55</v>
      </c>
      <c r="C101" s="1" t="s">
        <v>210</v>
      </c>
      <c r="D101" s="2">
        <v>258</v>
      </c>
      <c r="E101" s="2">
        <v>166</v>
      </c>
      <c r="F101" s="2">
        <f t="shared" si="3"/>
        <v>424</v>
      </c>
      <c r="G101" s="3">
        <f t="shared" si="4"/>
        <v>0.60849056603773588</v>
      </c>
      <c r="H101" s="3">
        <f t="shared" si="5"/>
        <v>0.39150943396226418</v>
      </c>
      <c r="I101" s="1" t="s">
        <v>129</v>
      </c>
    </row>
    <row r="102" spans="1:9" x14ac:dyDescent="0.2">
      <c r="A102" s="1" t="s">
        <v>53</v>
      </c>
      <c r="B102" s="1" t="s">
        <v>55</v>
      </c>
      <c r="C102" s="1" t="s">
        <v>211</v>
      </c>
      <c r="D102" s="2">
        <v>262</v>
      </c>
      <c r="E102" s="2">
        <v>144</v>
      </c>
      <c r="F102" s="2">
        <f t="shared" si="3"/>
        <v>406</v>
      </c>
      <c r="G102" s="3">
        <f t="shared" si="4"/>
        <v>0.64532019704433496</v>
      </c>
      <c r="H102" s="3">
        <f t="shared" si="5"/>
        <v>0.35467980295566504</v>
      </c>
      <c r="I102" s="1" t="s">
        <v>129</v>
      </c>
    </row>
    <row r="103" spans="1:9" x14ac:dyDescent="0.2">
      <c r="A103" s="1" t="s">
        <v>53</v>
      </c>
      <c r="B103" s="1" t="s">
        <v>55</v>
      </c>
      <c r="C103" s="1" t="s">
        <v>212</v>
      </c>
      <c r="D103" s="2">
        <v>382</v>
      </c>
      <c r="E103" s="2">
        <v>231</v>
      </c>
      <c r="F103" s="2">
        <f t="shared" si="3"/>
        <v>613</v>
      </c>
      <c r="G103" s="3">
        <f t="shared" si="4"/>
        <v>0.62316476345840133</v>
      </c>
      <c r="H103" s="3">
        <f t="shared" si="5"/>
        <v>0.37683523654159867</v>
      </c>
      <c r="I103" s="1" t="s">
        <v>129</v>
      </c>
    </row>
    <row r="104" spans="1:9" x14ac:dyDescent="0.2">
      <c r="A104" s="1" t="s">
        <v>53</v>
      </c>
      <c r="B104" s="1" t="s">
        <v>55</v>
      </c>
      <c r="C104" s="1" t="s">
        <v>213</v>
      </c>
      <c r="D104" s="2">
        <v>1</v>
      </c>
      <c r="E104" s="2">
        <v>1</v>
      </c>
      <c r="F104" s="2">
        <f t="shared" si="3"/>
        <v>2</v>
      </c>
      <c r="G104" s="3">
        <f t="shared" si="4"/>
        <v>0.5</v>
      </c>
      <c r="H104" s="3">
        <f t="shared" si="5"/>
        <v>0.5</v>
      </c>
      <c r="I104" s="1" t="s">
        <v>203</v>
      </c>
    </row>
    <row r="105" spans="1:9" x14ac:dyDescent="0.2">
      <c r="A105" s="1" t="s">
        <v>53</v>
      </c>
      <c r="B105" s="1" t="s">
        <v>55</v>
      </c>
      <c r="C105" s="1" t="s">
        <v>214</v>
      </c>
      <c r="D105" s="2">
        <v>505</v>
      </c>
      <c r="E105" s="2">
        <v>284</v>
      </c>
      <c r="F105" s="2">
        <f t="shared" si="3"/>
        <v>789</v>
      </c>
      <c r="G105" s="3">
        <f t="shared" si="4"/>
        <v>0.64005069708491757</v>
      </c>
      <c r="H105" s="3">
        <f t="shared" si="5"/>
        <v>0.35994930291508237</v>
      </c>
      <c r="I105" s="1" t="s">
        <v>129</v>
      </c>
    </row>
    <row r="106" spans="1:9" x14ac:dyDescent="0.2">
      <c r="A106" s="1" t="s">
        <v>53</v>
      </c>
      <c r="B106" s="1" t="s">
        <v>55</v>
      </c>
      <c r="C106" s="1" t="s">
        <v>215</v>
      </c>
      <c r="D106" s="2">
        <v>220</v>
      </c>
      <c r="E106" s="2">
        <v>92</v>
      </c>
      <c r="F106" s="2">
        <f t="shared" si="3"/>
        <v>312</v>
      </c>
      <c r="G106" s="3">
        <f t="shared" si="4"/>
        <v>0.70512820512820518</v>
      </c>
      <c r="H106" s="3">
        <f t="shared" si="5"/>
        <v>0.29487179487179488</v>
      </c>
      <c r="I106" s="1" t="s">
        <v>129</v>
      </c>
    </row>
    <row r="107" spans="1:9" x14ac:dyDescent="0.2">
      <c r="A107" s="1" t="s">
        <v>53</v>
      </c>
      <c r="B107" s="1" t="s">
        <v>55</v>
      </c>
      <c r="C107" s="1" t="s">
        <v>216</v>
      </c>
      <c r="D107" s="2">
        <v>165</v>
      </c>
      <c r="E107" s="2">
        <v>79</v>
      </c>
      <c r="F107" s="2">
        <f t="shared" si="3"/>
        <v>244</v>
      </c>
      <c r="G107" s="3">
        <f t="shared" si="4"/>
        <v>0.67622950819672134</v>
      </c>
      <c r="H107" s="3">
        <f t="shared" si="5"/>
        <v>0.32377049180327871</v>
      </c>
      <c r="I107" s="1" t="s">
        <v>203</v>
      </c>
    </row>
    <row r="108" spans="1:9" x14ac:dyDescent="0.2">
      <c r="A108" s="1" t="s">
        <v>53</v>
      </c>
      <c r="B108" s="1" t="s">
        <v>55</v>
      </c>
      <c r="C108" s="1" t="s">
        <v>217</v>
      </c>
      <c r="D108" s="2">
        <v>367</v>
      </c>
      <c r="E108" s="2">
        <v>149</v>
      </c>
      <c r="F108" s="2">
        <f t="shared" si="3"/>
        <v>516</v>
      </c>
      <c r="G108" s="3">
        <f t="shared" si="4"/>
        <v>0.71124031007751942</v>
      </c>
      <c r="H108" s="3">
        <f t="shared" si="5"/>
        <v>0.28875968992248063</v>
      </c>
      <c r="I108" s="1" t="s">
        <v>129</v>
      </c>
    </row>
    <row r="109" spans="1:9" x14ac:dyDescent="0.2">
      <c r="A109" s="1" t="s">
        <v>53</v>
      </c>
      <c r="B109" s="1" t="s">
        <v>55</v>
      </c>
      <c r="C109" s="1" t="s">
        <v>218</v>
      </c>
      <c r="D109" s="2">
        <v>160</v>
      </c>
      <c r="E109" s="2">
        <v>77</v>
      </c>
      <c r="F109" s="2">
        <f t="shared" si="3"/>
        <v>237</v>
      </c>
      <c r="G109" s="3">
        <f t="shared" si="4"/>
        <v>0.67510548523206748</v>
      </c>
      <c r="H109" s="3">
        <f t="shared" si="5"/>
        <v>0.32489451476793246</v>
      </c>
      <c r="I109" s="1" t="s">
        <v>129</v>
      </c>
    </row>
    <row r="110" spans="1:9" x14ac:dyDescent="0.2">
      <c r="A110" s="1" t="s">
        <v>53</v>
      </c>
      <c r="B110" s="1" t="s">
        <v>55</v>
      </c>
      <c r="C110" s="1" t="s">
        <v>219</v>
      </c>
      <c r="D110" s="2">
        <v>200</v>
      </c>
      <c r="E110" s="2">
        <v>76</v>
      </c>
      <c r="F110" s="2">
        <f t="shared" si="3"/>
        <v>276</v>
      </c>
      <c r="G110" s="3">
        <f t="shared" si="4"/>
        <v>0.72463768115942029</v>
      </c>
      <c r="H110" s="3">
        <f t="shared" si="5"/>
        <v>0.27536231884057971</v>
      </c>
      <c r="I110" s="1" t="s">
        <v>129</v>
      </c>
    </row>
    <row r="111" spans="1:9" x14ac:dyDescent="0.2">
      <c r="A111" s="1" t="s">
        <v>53</v>
      </c>
      <c r="B111" s="1" t="s">
        <v>55</v>
      </c>
      <c r="C111" s="1" t="s">
        <v>220</v>
      </c>
      <c r="D111" s="2">
        <v>89</v>
      </c>
      <c r="E111" s="2">
        <v>53</v>
      </c>
      <c r="F111" s="2">
        <f t="shared" si="3"/>
        <v>142</v>
      </c>
      <c r="G111" s="3">
        <f t="shared" si="4"/>
        <v>0.62676056338028174</v>
      </c>
      <c r="H111" s="3">
        <f t="shared" si="5"/>
        <v>0.37323943661971831</v>
      </c>
      <c r="I111" s="1" t="s">
        <v>129</v>
      </c>
    </row>
    <row r="112" spans="1:9" x14ac:dyDescent="0.2">
      <c r="A112" s="1" t="s">
        <v>53</v>
      </c>
      <c r="B112" s="1" t="s">
        <v>55</v>
      </c>
      <c r="C112" s="1" t="s">
        <v>221</v>
      </c>
      <c r="D112" s="2">
        <v>178</v>
      </c>
      <c r="E112" s="2">
        <v>104</v>
      </c>
      <c r="F112" s="2">
        <f t="shared" si="3"/>
        <v>282</v>
      </c>
      <c r="G112" s="3">
        <f t="shared" si="4"/>
        <v>0.63120567375886527</v>
      </c>
      <c r="H112" s="3">
        <f t="shared" si="5"/>
        <v>0.36879432624113473</v>
      </c>
      <c r="I112" s="1" t="s">
        <v>129</v>
      </c>
    </row>
    <row r="113" spans="1:9" x14ac:dyDescent="0.2">
      <c r="A113" s="1" t="s">
        <v>53</v>
      </c>
      <c r="B113" s="1" t="s">
        <v>55</v>
      </c>
      <c r="C113" s="1" t="s">
        <v>222</v>
      </c>
      <c r="D113" s="2">
        <v>271</v>
      </c>
      <c r="E113" s="2">
        <v>109</v>
      </c>
      <c r="F113" s="2">
        <f t="shared" si="3"/>
        <v>380</v>
      </c>
      <c r="G113" s="3">
        <f t="shared" si="4"/>
        <v>0.7131578947368421</v>
      </c>
      <c r="H113" s="3">
        <f t="shared" si="5"/>
        <v>0.2868421052631579</v>
      </c>
      <c r="I113" s="1" t="s">
        <v>129</v>
      </c>
    </row>
    <row r="114" spans="1:9" x14ac:dyDescent="0.2">
      <c r="A114" s="1" t="s">
        <v>53</v>
      </c>
      <c r="B114" s="1" t="s">
        <v>55</v>
      </c>
      <c r="C114" s="1" t="s">
        <v>223</v>
      </c>
      <c r="D114" s="2">
        <v>116</v>
      </c>
      <c r="E114" s="2">
        <v>48</v>
      </c>
      <c r="F114" s="2">
        <f t="shared" si="3"/>
        <v>164</v>
      </c>
      <c r="G114" s="3">
        <f t="shared" si="4"/>
        <v>0.70731707317073167</v>
      </c>
      <c r="H114" s="3">
        <f t="shared" si="5"/>
        <v>0.29268292682926828</v>
      </c>
      <c r="I114" s="1" t="s">
        <v>129</v>
      </c>
    </row>
    <row r="115" spans="1:9" x14ac:dyDescent="0.2">
      <c r="A115" s="1" t="s">
        <v>53</v>
      </c>
      <c r="B115" s="1" t="s">
        <v>55</v>
      </c>
      <c r="C115" s="1" t="s">
        <v>224</v>
      </c>
      <c r="D115" s="2">
        <v>123</v>
      </c>
      <c r="E115" s="2">
        <v>53</v>
      </c>
      <c r="F115" s="2">
        <f t="shared" si="3"/>
        <v>176</v>
      </c>
      <c r="G115" s="3">
        <f t="shared" si="4"/>
        <v>0.69886363636363635</v>
      </c>
      <c r="H115" s="3">
        <f t="shared" si="5"/>
        <v>0.30113636363636365</v>
      </c>
      <c r="I115" s="1" t="s">
        <v>129</v>
      </c>
    </row>
    <row r="116" spans="1:9" x14ac:dyDescent="0.2">
      <c r="A116" s="1" t="s">
        <v>53</v>
      </c>
      <c r="B116" s="1" t="s">
        <v>55</v>
      </c>
      <c r="C116" s="1" t="s">
        <v>225</v>
      </c>
      <c r="D116" s="2">
        <v>200</v>
      </c>
      <c r="E116" s="2">
        <v>78</v>
      </c>
      <c r="F116" s="2">
        <f t="shared" si="3"/>
        <v>278</v>
      </c>
      <c r="G116" s="3">
        <f t="shared" si="4"/>
        <v>0.71942446043165464</v>
      </c>
      <c r="H116" s="3">
        <f t="shared" si="5"/>
        <v>0.2805755395683453</v>
      </c>
      <c r="I116" s="1" t="s">
        <v>129</v>
      </c>
    </row>
    <row r="117" spans="1:9" x14ac:dyDescent="0.2">
      <c r="A117" s="1" t="s">
        <v>53</v>
      </c>
      <c r="B117" s="1" t="s">
        <v>55</v>
      </c>
      <c r="C117" s="1" t="s">
        <v>226</v>
      </c>
      <c r="D117" s="2">
        <v>361</v>
      </c>
      <c r="E117" s="2">
        <v>169</v>
      </c>
      <c r="F117" s="2">
        <f t="shared" si="3"/>
        <v>530</v>
      </c>
      <c r="G117" s="3">
        <f t="shared" si="4"/>
        <v>0.68113207547169807</v>
      </c>
      <c r="H117" s="3">
        <f t="shared" si="5"/>
        <v>0.31886792452830187</v>
      </c>
      <c r="I117" s="1" t="s">
        <v>129</v>
      </c>
    </row>
    <row r="118" spans="1:9" x14ac:dyDescent="0.2">
      <c r="A118" s="1" t="s">
        <v>53</v>
      </c>
      <c r="B118" s="1" t="s">
        <v>55</v>
      </c>
      <c r="C118" s="1" t="s">
        <v>227</v>
      </c>
      <c r="D118" s="2">
        <v>161</v>
      </c>
      <c r="E118" s="2">
        <v>75</v>
      </c>
      <c r="F118" s="2">
        <f t="shared" si="3"/>
        <v>236</v>
      </c>
      <c r="G118" s="3">
        <f t="shared" si="4"/>
        <v>0.68220338983050843</v>
      </c>
      <c r="H118" s="3">
        <f t="shared" si="5"/>
        <v>0.31779661016949151</v>
      </c>
      <c r="I118" s="1" t="s">
        <v>129</v>
      </c>
    </row>
    <row r="119" spans="1:9" x14ac:dyDescent="0.2">
      <c r="A119" s="1" t="s">
        <v>53</v>
      </c>
      <c r="B119" s="1" t="s">
        <v>55</v>
      </c>
      <c r="C119" s="1" t="s">
        <v>228</v>
      </c>
      <c r="D119" s="2">
        <v>168</v>
      </c>
      <c r="E119" s="2">
        <v>81</v>
      </c>
      <c r="F119" s="2">
        <f t="shared" si="3"/>
        <v>249</v>
      </c>
      <c r="G119" s="3">
        <f t="shared" si="4"/>
        <v>0.67469879518072284</v>
      </c>
      <c r="H119" s="3">
        <f t="shared" si="5"/>
        <v>0.3253012048192771</v>
      </c>
      <c r="I119" s="1" t="s">
        <v>129</v>
      </c>
    </row>
    <row r="120" spans="1:9" x14ac:dyDescent="0.2">
      <c r="A120" s="1" t="s">
        <v>53</v>
      </c>
      <c r="B120" s="1" t="s">
        <v>55</v>
      </c>
      <c r="C120" s="1" t="s">
        <v>229</v>
      </c>
      <c r="D120" s="2">
        <v>290</v>
      </c>
      <c r="E120" s="2">
        <v>170</v>
      </c>
      <c r="F120" s="2">
        <f t="shared" si="3"/>
        <v>460</v>
      </c>
      <c r="G120" s="3">
        <f t="shared" si="4"/>
        <v>0.63043478260869568</v>
      </c>
      <c r="H120" s="3">
        <f t="shared" si="5"/>
        <v>0.36956521739130432</v>
      </c>
      <c r="I120" s="1" t="s">
        <v>129</v>
      </c>
    </row>
    <row r="121" spans="1:9" x14ac:dyDescent="0.2">
      <c r="A121" s="1" t="s">
        <v>53</v>
      </c>
      <c r="B121" s="1" t="s">
        <v>55</v>
      </c>
      <c r="C121" s="1" t="s">
        <v>230</v>
      </c>
      <c r="D121" s="2">
        <v>210</v>
      </c>
      <c r="E121" s="2">
        <v>99</v>
      </c>
      <c r="F121" s="2">
        <f t="shared" si="3"/>
        <v>309</v>
      </c>
      <c r="G121" s="3">
        <f t="shared" si="4"/>
        <v>0.67961165048543692</v>
      </c>
      <c r="H121" s="3">
        <f t="shared" si="5"/>
        <v>0.32038834951456313</v>
      </c>
      <c r="I121" s="1" t="s">
        <v>129</v>
      </c>
    </row>
    <row r="122" spans="1:9" x14ac:dyDescent="0.2">
      <c r="A122" s="1" t="s">
        <v>53</v>
      </c>
      <c r="B122" s="1" t="s">
        <v>56</v>
      </c>
      <c r="C122" s="1" t="s">
        <v>231</v>
      </c>
      <c r="D122" s="2">
        <v>439</v>
      </c>
      <c r="E122" s="2">
        <v>181</v>
      </c>
      <c r="F122" s="2">
        <f t="shared" si="3"/>
        <v>620</v>
      </c>
      <c r="G122" s="3">
        <f t="shared" si="4"/>
        <v>0.70806451612903221</v>
      </c>
      <c r="H122" s="3">
        <f t="shared" si="5"/>
        <v>0.29193548387096774</v>
      </c>
      <c r="I122" s="1" t="s">
        <v>129</v>
      </c>
    </row>
    <row r="123" spans="1:9" x14ac:dyDescent="0.2">
      <c r="A123" s="1" t="s">
        <v>53</v>
      </c>
      <c r="B123" s="1" t="s">
        <v>56</v>
      </c>
      <c r="C123" s="1" t="s">
        <v>232</v>
      </c>
      <c r="D123" s="2">
        <v>306</v>
      </c>
      <c r="E123" s="2">
        <v>152</v>
      </c>
      <c r="F123" s="2">
        <f t="shared" si="3"/>
        <v>458</v>
      </c>
      <c r="G123" s="3">
        <f t="shared" si="4"/>
        <v>0.66812227074235808</v>
      </c>
      <c r="H123" s="3">
        <f t="shared" si="5"/>
        <v>0.33187772925764192</v>
      </c>
      <c r="I123" s="1" t="s">
        <v>129</v>
      </c>
    </row>
    <row r="124" spans="1:9" x14ac:dyDescent="0.2">
      <c r="A124" s="1" t="s">
        <v>53</v>
      </c>
      <c r="B124" s="1" t="s">
        <v>56</v>
      </c>
      <c r="C124" s="1" t="s">
        <v>233</v>
      </c>
      <c r="D124" s="2">
        <v>344</v>
      </c>
      <c r="E124" s="2">
        <v>138</v>
      </c>
      <c r="F124" s="2">
        <f t="shared" si="3"/>
        <v>482</v>
      </c>
      <c r="G124" s="3">
        <f t="shared" si="4"/>
        <v>0.7136929460580913</v>
      </c>
      <c r="H124" s="3">
        <f t="shared" si="5"/>
        <v>0.2863070539419087</v>
      </c>
      <c r="I124" s="1" t="s">
        <v>129</v>
      </c>
    </row>
    <row r="125" spans="1:9" x14ac:dyDescent="0.2">
      <c r="A125" s="1" t="s">
        <v>53</v>
      </c>
      <c r="B125" s="1" t="s">
        <v>56</v>
      </c>
      <c r="C125" s="1" t="s">
        <v>234</v>
      </c>
      <c r="D125" s="2">
        <v>397</v>
      </c>
      <c r="E125" s="2">
        <v>180</v>
      </c>
      <c r="F125" s="2">
        <f t="shared" si="3"/>
        <v>577</v>
      </c>
      <c r="G125" s="3">
        <f t="shared" si="4"/>
        <v>0.68804159445407276</v>
      </c>
      <c r="H125" s="3">
        <f t="shared" si="5"/>
        <v>0.31195840554592719</v>
      </c>
      <c r="I125" s="1" t="s">
        <v>129</v>
      </c>
    </row>
    <row r="126" spans="1:9" x14ac:dyDescent="0.2">
      <c r="A126" s="1" t="s">
        <v>53</v>
      </c>
      <c r="B126" s="1" t="s">
        <v>56</v>
      </c>
      <c r="C126" s="1" t="s">
        <v>235</v>
      </c>
      <c r="D126" s="2">
        <v>573</v>
      </c>
      <c r="E126" s="2">
        <v>284</v>
      </c>
      <c r="F126" s="2">
        <f t="shared" si="3"/>
        <v>857</v>
      </c>
      <c r="G126" s="3">
        <f t="shared" si="4"/>
        <v>0.66861143523920652</v>
      </c>
      <c r="H126" s="3">
        <f t="shared" si="5"/>
        <v>0.33138856476079348</v>
      </c>
      <c r="I126" s="1" t="s">
        <v>129</v>
      </c>
    </row>
    <row r="127" spans="1:9" x14ac:dyDescent="0.2">
      <c r="A127" s="1" t="s">
        <v>53</v>
      </c>
      <c r="B127" s="1" t="s">
        <v>56</v>
      </c>
      <c r="C127" s="1" t="s">
        <v>236</v>
      </c>
      <c r="D127" s="2">
        <v>408</v>
      </c>
      <c r="E127" s="2">
        <v>244</v>
      </c>
      <c r="F127" s="2">
        <f t="shared" si="3"/>
        <v>652</v>
      </c>
      <c r="G127" s="3">
        <f t="shared" si="4"/>
        <v>0.62576687116564422</v>
      </c>
      <c r="H127" s="3">
        <f t="shared" si="5"/>
        <v>0.37423312883435583</v>
      </c>
      <c r="I127" s="1" t="s">
        <v>129</v>
      </c>
    </row>
    <row r="128" spans="1:9" x14ac:dyDescent="0.2">
      <c r="A128" s="1" t="s">
        <v>53</v>
      </c>
      <c r="B128" s="1" t="s">
        <v>56</v>
      </c>
      <c r="C128" s="1" t="s">
        <v>237</v>
      </c>
      <c r="D128" s="2">
        <v>450</v>
      </c>
      <c r="E128" s="2">
        <v>276</v>
      </c>
      <c r="F128" s="2">
        <f t="shared" si="3"/>
        <v>726</v>
      </c>
      <c r="G128" s="3">
        <f t="shared" si="4"/>
        <v>0.6198347107438017</v>
      </c>
      <c r="H128" s="3">
        <f t="shared" si="5"/>
        <v>0.38016528925619836</v>
      </c>
      <c r="I128" s="1" t="s">
        <v>129</v>
      </c>
    </row>
    <row r="129" spans="1:9" x14ac:dyDescent="0.2">
      <c r="A129" s="1" t="s">
        <v>53</v>
      </c>
      <c r="B129" s="1" t="s">
        <v>56</v>
      </c>
      <c r="C129" s="1" t="s">
        <v>238</v>
      </c>
      <c r="D129" s="2">
        <v>582</v>
      </c>
      <c r="E129" s="2">
        <v>363</v>
      </c>
      <c r="F129" s="2">
        <f t="shared" si="3"/>
        <v>945</v>
      </c>
      <c r="G129" s="3">
        <f t="shared" si="4"/>
        <v>0.61587301587301591</v>
      </c>
      <c r="H129" s="3">
        <f t="shared" si="5"/>
        <v>0.38412698412698415</v>
      </c>
      <c r="I129" s="1" t="s">
        <v>129</v>
      </c>
    </row>
    <row r="130" spans="1:9" x14ac:dyDescent="0.2">
      <c r="A130" s="1" t="s">
        <v>53</v>
      </c>
      <c r="B130" s="1" t="s">
        <v>56</v>
      </c>
      <c r="C130" s="1" t="s">
        <v>239</v>
      </c>
      <c r="D130" s="2">
        <v>438</v>
      </c>
      <c r="E130" s="2">
        <v>257</v>
      </c>
      <c r="F130" s="2">
        <f t="shared" si="3"/>
        <v>695</v>
      </c>
      <c r="G130" s="3">
        <f t="shared" si="4"/>
        <v>0.63021582733812953</v>
      </c>
      <c r="H130" s="3">
        <f t="shared" si="5"/>
        <v>0.36978417266187052</v>
      </c>
      <c r="I130" s="1" t="s">
        <v>129</v>
      </c>
    </row>
    <row r="131" spans="1:9" x14ac:dyDescent="0.2">
      <c r="A131" s="1" t="s">
        <v>53</v>
      </c>
      <c r="B131" s="1" t="s">
        <v>56</v>
      </c>
      <c r="C131" s="1" t="s">
        <v>240</v>
      </c>
      <c r="D131" s="2">
        <v>350</v>
      </c>
      <c r="E131" s="2">
        <v>254</v>
      </c>
      <c r="F131" s="2">
        <f t="shared" si="3"/>
        <v>604</v>
      </c>
      <c r="G131" s="3">
        <f t="shared" si="4"/>
        <v>0.57947019867549665</v>
      </c>
      <c r="H131" s="3">
        <f t="shared" si="5"/>
        <v>0.42052980132450329</v>
      </c>
      <c r="I131" s="1" t="s">
        <v>129</v>
      </c>
    </row>
    <row r="132" spans="1:9" x14ac:dyDescent="0.2">
      <c r="A132" s="1" t="s">
        <v>53</v>
      </c>
      <c r="B132" s="1" t="s">
        <v>56</v>
      </c>
      <c r="C132" s="1" t="s">
        <v>241</v>
      </c>
      <c r="D132" s="2">
        <v>413</v>
      </c>
      <c r="E132" s="2">
        <v>230</v>
      </c>
      <c r="F132" s="2">
        <f t="shared" si="3"/>
        <v>643</v>
      </c>
      <c r="G132" s="3">
        <f t="shared" si="4"/>
        <v>0.64230171073094866</v>
      </c>
      <c r="H132" s="3">
        <f t="shared" si="5"/>
        <v>0.35769828926905134</v>
      </c>
      <c r="I132" s="1" t="s">
        <v>129</v>
      </c>
    </row>
    <row r="133" spans="1:9" x14ac:dyDescent="0.2">
      <c r="A133" s="1" t="s">
        <v>53</v>
      </c>
      <c r="B133" s="1" t="s">
        <v>56</v>
      </c>
      <c r="C133" s="1" t="s">
        <v>242</v>
      </c>
      <c r="D133" s="2">
        <v>445</v>
      </c>
      <c r="E133" s="2">
        <v>272</v>
      </c>
      <c r="F133" s="2">
        <f t="shared" si="3"/>
        <v>717</v>
      </c>
      <c r="G133" s="3">
        <f t="shared" si="4"/>
        <v>0.62064156206415622</v>
      </c>
      <c r="H133" s="3">
        <f t="shared" si="5"/>
        <v>0.37935843793584378</v>
      </c>
      <c r="I133" s="1" t="s">
        <v>129</v>
      </c>
    </row>
    <row r="134" spans="1:9" x14ac:dyDescent="0.2">
      <c r="A134" s="1" t="s">
        <v>53</v>
      </c>
      <c r="B134" s="1" t="s">
        <v>57</v>
      </c>
      <c r="C134" s="1" t="s">
        <v>243</v>
      </c>
      <c r="D134" s="2">
        <v>387</v>
      </c>
      <c r="E134" s="2">
        <v>300</v>
      </c>
      <c r="F134" s="2">
        <f t="shared" si="3"/>
        <v>687</v>
      </c>
      <c r="G134" s="3">
        <f t="shared" si="4"/>
        <v>0.5633187772925764</v>
      </c>
      <c r="H134" s="3">
        <f t="shared" si="5"/>
        <v>0.4366812227074236</v>
      </c>
      <c r="I134" s="1" t="s">
        <v>129</v>
      </c>
    </row>
    <row r="135" spans="1:9" x14ac:dyDescent="0.2">
      <c r="A135" s="1" t="s">
        <v>53</v>
      </c>
      <c r="B135" s="1" t="s">
        <v>57</v>
      </c>
      <c r="C135" s="1" t="s">
        <v>244</v>
      </c>
      <c r="D135" s="2">
        <v>358</v>
      </c>
      <c r="E135" s="2">
        <v>358</v>
      </c>
      <c r="F135" s="2">
        <f t="shared" si="3"/>
        <v>716</v>
      </c>
      <c r="G135" s="3">
        <f t="shared" si="4"/>
        <v>0.5</v>
      </c>
      <c r="H135" s="3">
        <f t="shared" si="5"/>
        <v>0.5</v>
      </c>
      <c r="I135" s="1" t="s">
        <v>129</v>
      </c>
    </row>
    <row r="136" spans="1:9" x14ac:dyDescent="0.2">
      <c r="A136" s="1" t="s">
        <v>53</v>
      </c>
      <c r="B136" s="1" t="s">
        <v>57</v>
      </c>
      <c r="C136" s="1" t="s">
        <v>245</v>
      </c>
      <c r="D136" s="2">
        <v>409</v>
      </c>
      <c r="E136" s="2">
        <v>365</v>
      </c>
      <c r="F136" s="2">
        <f t="shared" si="3"/>
        <v>774</v>
      </c>
      <c r="G136" s="3">
        <f t="shared" si="4"/>
        <v>0.5284237726098191</v>
      </c>
      <c r="H136" s="3">
        <f t="shared" si="5"/>
        <v>0.4715762273901809</v>
      </c>
      <c r="I136" s="1" t="s">
        <v>129</v>
      </c>
    </row>
    <row r="137" spans="1:9" x14ac:dyDescent="0.2">
      <c r="A137" s="1" t="s">
        <v>53</v>
      </c>
      <c r="B137" s="1" t="s">
        <v>58</v>
      </c>
      <c r="C137" s="1" t="s">
        <v>58</v>
      </c>
      <c r="D137" s="2">
        <v>637</v>
      </c>
      <c r="E137" s="2">
        <v>634</v>
      </c>
      <c r="F137" s="2">
        <f t="shared" si="3"/>
        <v>1271</v>
      </c>
      <c r="G137" s="3">
        <f t="shared" si="4"/>
        <v>0.50118017309205354</v>
      </c>
      <c r="H137" s="3">
        <f t="shared" si="5"/>
        <v>0.49881982690794652</v>
      </c>
      <c r="I137" s="1" t="s">
        <v>129</v>
      </c>
    </row>
    <row r="138" spans="1:9" x14ac:dyDescent="0.2">
      <c r="A138" s="1" t="s">
        <v>53</v>
      </c>
      <c r="B138" s="1" t="s">
        <v>59</v>
      </c>
      <c r="C138" s="1" t="s">
        <v>246</v>
      </c>
      <c r="D138" s="2">
        <v>292</v>
      </c>
      <c r="E138" s="2">
        <v>277</v>
      </c>
      <c r="F138" s="2">
        <f t="shared" si="3"/>
        <v>569</v>
      </c>
      <c r="G138" s="3">
        <f t="shared" si="4"/>
        <v>0.51318101933216165</v>
      </c>
      <c r="H138" s="3">
        <f t="shared" si="5"/>
        <v>0.4868189806678383</v>
      </c>
      <c r="I138" s="1" t="s">
        <v>129</v>
      </c>
    </row>
    <row r="139" spans="1:9" x14ac:dyDescent="0.2">
      <c r="A139" s="1" t="s">
        <v>53</v>
      </c>
      <c r="B139" s="1" t="s">
        <v>59</v>
      </c>
      <c r="C139" s="1" t="s">
        <v>247</v>
      </c>
      <c r="D139" s="2">
        <v>418</v>
      </c>
      <c r="E139" s="2">
        <v>377</v>
      </c>
      <c r="F139" s="2">
        <f t="shared" si="3"/>
        <v>795</v>
      </c>
      <c r="G139" s="3">
        <f t="shared" si="4"/>
        <v>0.52578616352201257</v>
      </c>
      <c r="H139" s="3">
        <f t="shared" si="5"/>
        <v>0.47421383647798743</v>
      </c>
      <c r="I139" s="1" t="s">
        <v>129</v>
      </c>
    </row>
    <row r="140" spans="1:9" x14ac:dyDescent="0.2">
      <c r="A140" s="1" t="s">
        <v>53</v>
      </c>
      <c r="B140" s="1" t="s">
        <v>60</v>
      </c>
      <c r="C140" s="1" t="s">
        <v>248</v>
      </c>
      <c r="D140" s="2">
        <v>446</v>
      </c>
      <c r="E140" s="2">
        <v>369</v>
      </c>
      <c r="F140" s="2">
        <f t="shared" ref="F140:F203" si="6">IF(COUNTA(D140:E140)=0,"",SUM(D140:E140))</f>
        <v>815</v>
      </c>
      <c r="G140" s="3">
        <f t="shared" ref="G140:G203" si="7">IF(OR(F140="",F140=0),"",D140/F140)</f>
        <v>0.54723926380368093</v>
      </c>
      <c r="H140" s="3">
        <f t="shared" ref="H140:H203" si="8">IF(OR(F140="",F140=0),"",E140/F140)</f>
        <v>0.45276073619631901</v>
      </c>
      <c r="I140" s="1" t="s">
        <v>129</v>
      </c>
    </row>
    <row r="141" spans="1:9" x14ac:dyDescent="0.2">
      <c r="A141" s="1" t="s">
        <v>53</v>
      </c>
      <c r="B141" s="1" t="s">
        <v>60</v>
      </c>
      <c r="C141" s="1" t="s">
        <v>249</v>
      </c>
      <c r="D141" s="2">
        <v>463</v>
      </c>
      <c r="E141" s="2">
        <v>391</v>
      </c>
      <c r="F141" s="2">
        <f t="shared" si="6"/>
        <v>854</v>
      </c>
      <c r="G141" s="3">
        <f t="shared" si="7"/>
        <v>0.54215456674473073</v>
      </c>
      <c r="H141" s="3">
        <f t="shared" si="8"/>
        <v>0.45784543325526933</v>
      </c>
      <c r="I141" s="1" t="s">
        <v>129</v>
      </c>
    </row>
    <row r="142" spans="1:9" x14ac:dyDescent="0.2">
      <c r="A142" s="1" t="s">
        <v>53</v>
      </c>
      <c r="B142" s="1" t="s">
        <v>60</v>
      </c>
      <c r="C142" s="1" t="s">
        <v>250</v>
      </c>
      <c r="D142" s="2">
        <v>639</v>
      </c>
      <c r="E142" s="2">
        <v>569</v>
      </c>
      <c r="F142" s="2">
        <f t="shared" si="6"/>
        <v>1208</v>
      </c>
      <c r="G142" s="3">
        <f t="shared" si="7"/>
        <v>0.52897350993377479</v>
      </c>
      <c r="H142" s="3">
        <f t="shared" si="8"/>
        <v>0.47102649006622516</v>
      </c>
      <c r="I142" s="1" t="s">
        <v>129</v>
      </c>
    </row>
    <row r="143" spans="1:9" x14ac:dyDescent="0.2">
      <c r="A143" s="1" t="s">
        <v>53</v>
      </c>
      <c r="B143" s="1" t="s">
        <v>60</v>
      </c>
      <c r="C143" s="1" t="s">
        <v>251</v>
      </c>
      <c r="D143" s="2">
        <v>507</v>
      </c>
      <c r="E143" s="2">
        <v>405</v>
      </c>
      <c r="F143" s="2">
        <f t="shared" si="6"/>
        <v>912</v>
      </c>
      <c r="G143" s="3">
        <f t="shared" si="7"/>
        <v>0.55592105263157898</v>
      </c>
      <c r="H143" s="3">
        <f t="shared" si="8"/>
        <v>0.44407894736842107</v>
      </c>
      <c r="I143" s="1" t="s">
        <v>129</v>
      </c>
    </row>
    <row r="144" spans="1:9" x14ac:dyDescent="0.2">
      <c r="A144" s="1" t="s">
        <v>53</v>
      </c>
      <c r="B144" s="1" t="s">
        <v>60</v>
      </c>
      <c r="C144" s="1" t="s">
        <v>252</v>
      </c>
      <c r="D144" s="2">
        <v>295</v>
      </c>
      <c r="E144" s="2">
        <v>279</v>
      </c>
      <c r="F144" s="2">
        <f t="shared" si="6"/>
        <v>574</v>
      </c>
      <c r="G144" s="3">
        <f t="shared" si="7"/>
        <v>0.51393728222996515</v>
      </c>
      <c r="H144" s="3">
        <f t="shared" si="8"/>
        <v>0.48606271777003485</v>
      </c>
      <c r="I144" s="1" t="s">
        <v>129</v>
      </c>
    </row>
    <row r="145" spans="1:9" x14ac:dyDescent="0.2">
      <c r="A145" s="1" t="s">
        <v>53</v>
      </c>
      <c r="B145" s="1" t="s">
        <v>60</v>
      </c>
      <c r="C145" s="1" t="s">
        <v>253</v>
      </c>
      <c r="D145" s="2">
        <v>603</v>
      </c>
      <c r="E145" s="2">
        <v>422</v>
      </c>
      <c r="F145" s="2">
        <f t="shared" si="6"/>
        <v>1025</v>
      </c>
      <c r="G145" s="3">
        <f t="shared" si="7"/>
        <v>0.58829268292682924</v>
      </c>
      <c r="H145" s="3">
        <f t="shared" si="8"/>
        <v>0.41170731707317071</v>
      </c>
      <c r="I145" s="1" t="s">
        <v>129</v>
      </c>
    </row>
    <row r="146" spans="1:9" x14ac:dyDescent="0.2">
      <c r="A146" s="1" t="s">
        <v>53</v>
      </c>
      <c r="B146" s="1" t="s">
        <v>61</v>
      </c>
      <c r="C146" s="1" t="s">
        <v>254</v>
      </c>
      <c r="D146" s="2">
        <v>394</v>
      </c>
      <c r="E146" s="2">
        <v>193</v>
      </c>
      <c r="F146" s="2">
        <f t="shared" si="6"/>
        <v>587</v>
      </c>
      <c r="G146" s="3">
        <f t="shared" si="7"/>
        <v>0.67120954003407152</v>
      </c>
      <c r="H146" s="3">
        <f t="shared" si="8"/>
        <v>0.32879045996592843</v>
      </c>
      <c r="I146" s="1" t="s">
        <v>129</v>
      </c>
    </row>
    <row r="147" spans="1:9" x14ac:dyDescent="0.2">
      <c r="A147" s="1" t="s">
        <v>53</v>
      </c>
      <c r="B147" s="1" t="s">
        <v>61</v>
      </c>
      <c r="C147" s="1" t="s">
        <v>255</v>
      </c>
      <c r="D147" s="2">
        <v>323</v>
      </c>
      <c r="E147" s="2">
        <v>186</v>
      </c>
      <c r="F147" s="2">
        <f t="shared" si="6"/>
        <v>509</v>
      </c>
      <c r="G147" s="3">
        <f t="shared" si="7"/>
        <v>0.63457760314341849</v>
      </c>
      <c r="H147" s="3">
        <f t="shared" si="8"/>
        <v>0.36542239685658151</v>
      </c>
      <c r="I147" s="1" t="s">
        <v>129</v>
      </c>
    </row>
    <row r="148" spans="1:9" x14ac:dyDescent="0.2">
      <c r="A148" s="1" t="s">
        <v>53</v>
      </c>
      <c r="B148" s="1" t="s">
        <v>61</v>
      </c>
      <c r="C148" s="1" t="s">
        <v>256</v>
      </c>
      <c r="D148" s="2">
        <v>327</v>
      </c>
      <c r="E148" s="2">
        <v>182</v>
      </c>
      <c r="F148" s="2">
        <f t="shared" si="6"/>
        <v>509</v>
      </c>
      <c r="G148" s="3">
        <f t="shared" si="7"/>
        <v>0.64243614931237725</v>
      </c>
      <c r="H148" s="3">
        <f t="shared" si="8"/>
        <v>0.35756385068762281</v>
      </c>
      <c r="I148" s="1" t="s">
        <v>129</v>
      </c>
    </row>
    <row r="149" spans="1:9" x14ac:dyDescent="0.2">
      <c r="A149" s="1" t="s">
        <v>53</v>
      </c>
      <c r="B149" s="1" t="s">
        <v>62</v>
      </c>
      <c r="C149" s="1" t="s">
        <v>62</v>
      </c>
      <c r="D149" s="2">
        <v>267</v>
      </c>
      <c r="E149" s="2">
        <v>217</v>
      </c>
      <c r="F149" s="2">
        <f t="shared" si="6"/>
        <v>484</v>
      </c>
      <c r="G149" s="3">
        <f t="shared" si="7"/>
        <v>0.55165289256198347</v>
      </c>
      <c r="H149" s="3">
        <f t="shared" si="8"/>
        <v>0.44834710743801653</v>
      </c>
      <c r="I149" s="1" t="s">
        <v>129</v>
      </c>
    </row>
    <row r="150" spans="1:9" x14ac:dyDescent="0.2">
      <c r="A150" s="1" t="s">
        <v>53</v>
      </c>
      <c r="B150" s="1" t="s">
        <v>63</v>
      </c>
      <c r="C150" s="1" t="s">
        <v>63</v>
      </c>
      <c r="D150" s="2">
        <v>543</v>
      </c>
      <c r="E150" s="2">
        <v>1113</v>
      </c>
      <c r="F150" s="2">
        <f t="shared" si="6"/>
        <v>1656</v>
      </c>
      <c r="G150" s="3">
        <f t="shared" si="7"/>
        <v>0.32789855072463769</v>
      </c>
      <c r="H150" s="3">
        <f t="shared" si="8"/>
        <v>0.67210144927536231</v>
      </c>
      <c r="I150" s="1" t="s">
        <v>129</v>
      </c>
    </row>
    <row r="151" spans="1:9" x14ac:dyDescent="0.2">
      <c r="A151" s="1" t="s">
        <v>53</v>
      </c>
      <c r="B151" s="1" t="s">
        <v>64</v>
      </c>
      <c r="C151" s="1" t="s">
        <v>257</v>
      </c>
      <c r="D151" s="2">
        <v>798</v>
      </c>
      <c r="E151" s="2">
        <v>769</v>
      </c>
      <c r="F151" s="2">
        <f t="shared" si="6"/>
        <v>1567</v>
      </c>
      <c r="G151" s="3">
        <f t="shared" si="7"/>
        <v>0.50925335035098918</v>
      </c>
      <c r="H151" s="3">
        <f t="shared" si="8"/>
        <v>0.49074664964901082</v>
      </c>
      <c r="I151" s="1" t="s">
        <v>129</v>
      </c>
    </row>
    <row r="152" spans="1:9" x14ac:dyDescent="0.2">
      <c r="A152" s="1" t="s">
        <v>53</v>
      </c>
      <c r="B152" s="1" t="s">
        <v>64</v>
      </c>
      <c r="C152" s="1" t="s">
        <v>258</v>
      </c>
      <c r="D152" s="2">
        <v>898</v>
      </c>
      <c r="E152" s="2">
        <v>839</v>
      </c>
      <c r="F152" s="2">
        <f t="shared" si="6"/>
        <v>1737</v>
      </c>
      <c r="G152" s="3">
        <f t="shared" si="7"/>
        <v>0.5169833045480714</v>
      </c>
      <c r="H152" s="3">
        <f t="shared" si="8"/>
        <v>0.4830166954519286</v>
      </c>
      <c r="I152" s="1" t="s">
        <v>129</v>
      </c>
    </row>
    <row r="153" spans="1:9" x14ac:dyDescent="0.2">
      <c r="A153" s="1" t="s">
        <v>53</v>
      </c>
      <c r="B153" s="1" t="s">
        <v>64</v>
      </c>
      <c r="C153" s="1" t="s">
        <v>259</v>
      </c>
      <c r="D153" s="2">
        <v>1551</v>
      </c>
      <c r="E153" s="2">
        <v>1443</v>
      </c>
      <c r="F153" s="2">
        <f t="shared" si="6"/>
        <v>2994</v>
      </c>
      <c r="G153" s="3">
        <f t="shared" si="7"/>
        <v>0.5180360721442886</v>
      </c>
      <c r="H153" s="3">
        <f t="shared" si="8"/>
        <v>0.4819639278557114</v>
      </c>
      <c r="I153" s="1" t="s">
        <v>129</v>
      </c>
    </row>
    <row r="154" spans="1:9" x14ac:dyDescent="0.2">
      <c r="A154" s="1" t="s">
        <v>53</v>
      </c>
      <c r="B154" s="1" t="s">
        <v>64</v>
      </c>
      <c r="C154" s="1" t="s">
        <v>260</v>
      </c>
      <c r="D154" s="2">
        <v>773</v>
      </c>
      <c r="E154" s="2">
        <v>760</v>
      </c>
      <c r="F154" s="2">
        <f t="shared" si="6"/>
        <v>1533</v>
      </c>
      <c r="G154" s="3">
        <f t="shared" si="7"/>
        <v>0.50424005218525769</v>
      </c>
      <c r="H154" s="3">
        <f t="shared" si="8"/>
        <v>0.49575994781474231</v>
      </c>
      <c r="I154" s="1" t="s">
        <v>129</v>
      </c>
    </row>
    <row r="155" spans="1:9" x14ac:dyDescent="0.2">
      <c r="A155" s="1" t="s">
        <v>53</v>
      </c>
      <c r="B155" s="1" t="s">
        <v>64</v>
      </c>
      <c r="C155" s="1" t="s">
        <v>261</v>
      </c>
      <c r="D155" s="2">
        <v>680</v>
      </c>
      <c r="E155" s="2">
        <v>664</v>
      </c>
      <c r="F155" s="2">
        <f t="shared" si="6"/>
        <v>1344</v>
      </c>
      <c r="G155" s="3">
        <f t="shared" si="7"/>
        <v>0.50595238095238093</v>
      </c>
      <c r="H155" s="3">
        <f t="shared" si="8"/>
        <v>0.49404761904761907</v>
      </c>
      <c r="I155" s="1" t="s">
        <v>129</v>
      </c>
    </row>
    <row r="156" spans="1:9" x14ac:dyDescent="0.2">
      <c r="A156" s="1" t="s">
        <v>53</v>
      </c>
      <c r="B156" s="1" t="s">
        <v>64</v>
      </c>
      <c r="C156" s="1" t="s">
        <v>262</v>
      </c>
      <c r="D156" s="2">
        <v>636</v>
      </c>
      <c r="E156" s="2">
        <v>561</v>
      </c>
      <c r="F156" s="2">
        <f t="shared" si="6"/>
        <v>1197</v>
      </c>
      <c r="G156" s="3">
        <f t="shared" si="7"/>
        <v>0.53132832080200498</v>
      </c>
      <c r="H156" s="3">
        <f t="shared" si="8"/>
        <v>0.46867167919799496</v>
      </c>
      <c r="I156" s="1" t="s">
        <v>129</v>
      </c>
    </row>
    <row r="157" spans="1:9" x14ac:dyDescent="0.2">
      <c r="A157" s="1" t="s">
        <v>53</v>
      </c>
      <c r="B157" s="1" t="s">
        <v>64</v>
      </c>
      <c r="C157" s="1" t="s">
        <v>263</v>
      </c>
      <c r="D157" s="2">
        <v>1227</v>
      </c>
      <c r="E157" s="2">
        <v>1194</v>
      </c>
      <c r="F157" s="2">
        <f t="shared" si="6"/>
        <v>2421</v>
      </c>
      <c r="G157" s="3">
        <f t="shared" si="7"/>
        <v>0.50681536555142503</v>
      </c>
      <c r="H157" s="3">
        <f t="shared" si="8"/>
        <v>0.49318463444857497</v>
      </c>
      <c r="I157" s="1" t="s">
        <v>129</v>
      </c>
    </row>
    <row r="158" spans="1:9" x14ac:dyDescent="0.2">
      <c r="A158" s="1" t="s">
        <v>53</v>
      </c>
      <c r="B158" s="1" t="s">
        <v>64</v>
      </c>
      <c r="C158" s="1" t="s">
        <v>264</v>
      </c>
      <c r="D158" s="2">
        <v>713</v>
      </c>
      <c r="E158" s="2">
        <v>607</v>
      </c>
      <c r="F158" s="2">
        <f t="shared" si="6"/>
        <v>1320</v>
      </c>
      <c r="G158" s="3">
        <f t="shared" si="7"/>
        <v>0.54015151515151516</v>
      </c>
      <c r="H158" s="3">
        <f t="shared" si="8"/>
        <v>0.45984848484848484</v>
      </c>
      <c r="I158" s="1" t="s">
        <v>129</v>
      </c>
    </row>
    <row r="159" spans="1:9" x14ac:dyDescent="0.2">
      <c r="A159" s="1" t="s">
        <v>53</v>
      </c>
      <c r="B159" s="1" t="s">
        <v>64</v>
      </c>
      <c r="C159" s="1" t="s">
        <v>265</v>
      </c>
      <c r="D159" s="2">
        <v>711</v>
      </c>
      <c r="E159" s="2">
        <v>642</v>
      </c>
      <c r="F159" s="2">
        <f t="shared" si="6"/>
        <v>1353</v>
      </c>
      <c r="G159" s="3">
        <f t="shared" si="7"/>
        <v>0.5254988913525499</v>
      </c>
      <c r="H159" s="3">
        <f t="shared" si="8"/>
        <v>0.4745011086474501</v>
      </c>
      <c r="I159" s="1" t="s">
        <v>129</v>
      </c>
    </row>
    <row r="160" spans="1:9" x14ac:dyDescent="0.2">
      <c r="A160" s="1" t="s">
        <v>53</v>
      </c>
      <c r="B160" s="1" t="s">
        <v>64</v>
      </c>
      <c r="C160" s="1" t="s">
        <v>266</v>
      </c>
      <c r="D160" s="2">
        <v>450</v>
      </c>
      <c r="E160" s="2">
        <v>418</v>
      </c>
      <c r="F160" s="2">
        <f t="shared" si="6"/>
        <v>868</v>
      </c>
      <c r="G160" s="3">
        <f t="shared" si="7"/>
        <v>0.51843317972350234</v>
      </c>
      <c r="H160" s="3">
        <f t="shared" si="8"/>
        <v>0.48156682027649772</v>
      </c>
      <c r="I160" s="1" t="s">
        <v>129</v>
      </c>
    </row>
    <row r="161" spans="1:9" x14ac:dyDescent="0.2">
      <c r="A161" s="1" t="s">
        <v>53</v>
      </c>
      <c r="B161" s="1" t="s">
        <v>65</v>
      </c>
      <c r="C161" s="1" t="s">
        <v>65</v>
      </c>
      <c r="D161" s="2">
        <v>906</v>
      </c>
      <c r="E161" s="2">
        <v>1298</v>
      </c>
      <c r="F161" s="2">
        <f t="shared" si="6"/>
        <v>2204</v>
      </c>
      <c r="G161" s="3">
        <f t="shared" si="7"/>
        <v>0.41107078039927403</v>
      </c>
      <c r="H161" s="3">
        <f t="shared" si="8"/>
        <v>0.58892921960072597</v>
      </c>
      <c r="I161" s="1" t="s">
        <v>129</v>
      </c>
    </row>
    <row r="162" spans="1:9" x14ac:dyDescent="0.2">
      <c r="A162" s="1" t="s">
        <v>53</v>
      </c>
      <c r="B162" s="1" t="s">
        <v>66</v>
      </c>
      <c r="C162" s="1" t="s">
        <v>66</v>
      </c>
      <c r="D162" s="2">
        <v>467</v>
      </c>
      <c r="E162" s="2">
        <v>770</v>
      </c>
      <c r="F162" s="2">
        <f t="shared" si="6"/>
        <v>1237</v>
      </c>
      <c r="G162" s="3">
        <f t="shared" si="7"/>
        <v>0.37752627324171384</v>
      </c>
      <c r="H162" s="3">
        <f t="shared" si="8"/>
        <v>0.62247372675828616</v>
      </c>
      <c r="I162" s="1" t="s">
        <v>129</v>
      </c>
    </row>
    <row r="163" spans="1:9" x14ac:dyDescent="0.2">
      <c r="A163" s="1" t="s">
        <v>53</v>
      </c>
      <c r="B163" s="1" t="s">
        <v>67</v>
      </c>
      <c r="C163" s="1" t="s">
        <v>267</v>
      </c>
      <c r="D163" s="2">
        <v>162</v>
      </c>
      <c r="E163" s="2">
        <v>390</v>
      </c>
      <c r="F163" s="2">
        <f t="shared" si="6"/>
        <v>552</v>
      </c>
      <c r="G163" s="3">
        <f t="shared" si="7"/>
        <v>0.29347826086956524</v>
      </c>
      <c r="H163" s="3">
        <f t="shared" si="8"/>
        <v>0.70652173913043481</v>
      </c>
      <c r="I163" s="1" t="s">
        <v>129</v>
      </c>
    </row>
    <row r="164" spans="1:9" x14ac:dyDescent="0.2">
      <c r="A164" s="1" t="s">
        <v>53</v>
      </c>
      <c r="B164" s="1" t="s">
        <v>67</v>
      </c>
      <c r="C164" s="1" t="s">
        <v>268</v>
      </c>
      <c r="D164" s="2">
        <v>124</v>
      </c>
      <c r="E164" s="2">
        <v>251</v>
      </c>
      <c r="F164" s="2">
        <f t="shared" si="6"/>
        <v>375</v>
      </c>
      <c r="G164" s="3">
        <f t="shared" si="7"/>
        <v>0.33066666666666666</v>
      </c>
      <c r="H164" s="3">
        <f t="shared" si="8"/>
        <v>0.66933333333333334</v>
      </c>
      <c r="I164" s="1" t="s">
        <v>129</v>
      </c>
    </row>
    <row r="165" spans="1:9" x14ac:dyDescent="0.2">
      <c r="A165" s="1" t="s">
        <v>53</v>
      </c>
      <c r="B165" s="1" t="s">
        <v>67</v>
      </c>
      <c r="C165" s="1" t="s">
        <v>269</v>
      </c>
      <c r="D165" s="2">
        <v>436</v>
      </c>
      <c r="E165" s="2">
        <v>829</v>
      </c>
      <c r="F165" s="2">
        <f t="shared" si="6"/>
        <v>1265</v>
      </c>
      <c r="G165" s="3">
        <f t="shared" si="7"/>
        <v>0.34466403162055337</v>
      </c>
      <c r="H165" s="3">
        <f t="shared" si="8"/>
        <v>0.65533596837944663</v>
      </c>
      <c r="I165" s="1" t="s">
        <v>129</v>
      </c>
    </row>
    <row r="166" spans="1:9" x14ac:dyDescent="0.2">
      <c r="A166" s="1" t="s">
        <v>53</v>
      </c>
      <c r="B166" s="1" t="s">
        <v>68</v>
      </c>
      <c r="C166" s="1" t="s">
        <v>68</v>
      </c>
      <c r="D166" s="2">
        <v>823</v>
      </c>
      <c r="E166" s="2">
        <v>690</v>
      </c>
      <c r="F166" s="2">
        <f t="shared" si="6"/>
        <v>1513</v>
      </c>
      <c r="G166" s="3">
        <f t="shared" si="7"/>
        <v>0.5439524124256444</v>
      </c>
      <c r="H166" s="3">
        <f t="shared" si="8"/>
        <v>0.4560475875743556</v>
      </c>
      <c r="I166" s="1" t="s">
        <v>129</v>
      </c>
    </row>
    <row r="167" spans="1:9" x14ac:dyDescent="0.2">
      <c r="A167" s="1" t="s">
        <v>53</v>
      </c>
      <c r="B167" s="1" t="s">
        <v>69</v>
      </c>
      <c r="C167" s="1" t="s">
        <v>270</v>
      </c>
      <c r="D167" s="2">
        <v>861</v>
      </c>
      <c r="E167" s="2">
        <v>1064</v>
      </c>
      <c r="F167" s="2">
        <f t="shared" si="6"/>
        <v>1925</v>
      </c>
      <c r="G167" s="3">
        <f t="shared" si="7"/>
        <v>0.44727272727272727</v>
      </c>
      <c r="H167" s="3">
        <f t="shared" si="8"/>
        <v>0.55272727272727273</v>
      </c>
      <c r="I167" s="1" t="s">
        <v>129</v>
      </c>
    </row>
    <row r="168" spans="1:9" x14ac:dyDescent="0.2">
      <c r="A168" s="1" t="s">
        <v>53</v>
      </c>
      <c r="B168" s="1" t="s">
        <v>69</v>
      </c>
      <c r="C168" s="1" t="s">
        <v>271</v>
      </c>
      <c r="D168" s="2">
        <v>722</v>
      </c>
      <c r="E168" s="2">
        <v>985</v>
      </c>
      <c r="F168" s="2">
        <f t="shared" si="6"/>
        <v>1707</v>
      </c>
      <c r="G168" s="3">
        <f t="shared" si="7"/>
        <v>0.42296426479203281</v>
      </c>
      <c r="H168" s="3">
        <f t="shared" si="8"/>
        <v>0.57703573520796725</v>
      </c>
      <c r="I168" s="1" t="s">
        <v>129</v>
      </c>
    </row>
    <row r="169" spans="1:9" x14ac:dyDescent="0.2">
      <c r="A169" s="1" t="s">
        <v>53</v>
      </c>
      <c r="B169" s="1" t="s">
        <v>69</v>
      </c>
      <c r="C169" s="1" t="s">
        <v>272</v>
      </c>
      <c r="D169" s="2">
        <v>374</v>
      </c>
      <c r="E169" s="2">
        <v>516</v>
      </c>
      <c r="F169" s="2">
        <f t="shared" si="6"/>
        <v>890</v>
      </c>
      <c r="G169" s="3">
        <f t="shared" si="7"/>
        <v>0.42022471910112358</v>
      </c>
      <c r="H169" s="3">
        <f t="shared" si="8"/>
        <v>0.57977528089887642</v>
      </c>
      <c r="I169" s="1" t="s">
        <v>129</v>
      </c>
    </row>
    <row r="170" spans="1:9" x14ac:dyDescent="0.2">
      <c r="A170" s="1" t="s">
        <v>53</v>
      </c>
      <c r="B170" s="1" t="s">
        <v>69</v>
      </c>
      <c r="C170" s="1" t="s">
        <v>273</v>
      </c>
      <c r="D170" s="2">
        <v>553</v>
      </c>
      <c r="E170" s="2">
        <v>761</v>
      </c>
      <c r="F170" s="2">
        <f t="shared" si="6"/>
        <v>1314</v>
      </c>
      <c r="G170" s="3">
        <f t="shared" si="7"/>
        <v>0.4208523592085236</v>
      </c>
      <c r="H170" s="3">
        <f t="shared" si="8"/>
        <v>0.5791476407914764</v>
      </c>
      <c r="I170" s="1" t="s">
        <v>129</v>
      </c>
    </row>
    <row r="171" spans="1:9" x14ac:dyDescent="0.2">
      <c r="A171" s="1" t="s">
        <v>53</v>
      </c>
      <c r="B171" s="1" t="s">
        <v>69</v>
      </c>
      <c r="C171" s="1" t="s">
        <v>274</v>
      </c>
      <c r="D171" s="2">
        <v>493</v>
      </c>
      <c r="E171" s="2">
        <v>700</v>
      </c>
      <c r="F171" s="2">
        <f t="shared" si="6"/>
        <v>1193</v>
      </c>
      <c r="G171" s="3">
        <f t="shared" si="7"/>
        <v>0.41324392288348699</v>
      </c>
      <c r="H171" s="3">
        <f t="shared" si="8"/>
        <v>0.58675607711651301</v>
      </c>
      <c r="I171" s="1" t="s">
        <v>129</v>
      </c>
    </row>
    <row r="172" spans="1:9" x14ac:dyDescent="0.2">
      <c r="A172" s="1" t="s">
        <v>53</v>
      </c>
      <c r="B172" s="1" t="s">
        <v>69</v>
      </c>
      <c r="C172" s="1" t="s">
        <v>275</v>
      </c>
      <c r="D172" s="2">
        <v>382</v>
      </c>
      <c r="E172" s="2">
        <v>486</v>
      </c>
      <c r="F172" s="2">
        <f t="shared" si="6"/>
        <v>868</v>
      </c>
      <c r="G172" s="3">
        <f t="shared" si="7"/>
        <v>0.44009216589861749</v>
      </c>
      <c r="H172" s="3">
        <f t="shared" si="8"/>
        <v>0.55990783410138245</v>
      </c>
      <c r="I172" s="1" t="s">
        <v>129</v>
      </c>
    </row>
    <row r="173" spans="1:9" x14ac:dyDescent="0.2">
      <c r="A173" s="1" t="s">
        <v>53</v>
      </c>
      <c r="B173" s="1" t="s">
        <v>70</v>
      </c>
      <c r="C173" s="1" t="s">
        <v>276</v>
      </c>
      <c r="D173" s="2">
        <v>521</v>
      </c>
      <c r="E173" s="2">
        <v>494</v>
      </c>
      <c r="F173" s="2">
        <f t="shared" si="6"/>
        <v>1015</v>
      </c>
      <c r="G173" s="3">
        <f t="shared" si="7"/>
        <v>0.51330049261083743</v>
      </c>
      <c r="H173" s="3">
        <f t="shared" si="8"/>
        <v>0.48669950738916257</v>
      </c>
      <c r="I173" s="1" t="s">
        <v>129</v>
      </c>
    </row>
    <row r="174" spans="1:9" x14ac:dyDescent="0.2">
      <c r="A174" s="1" t="s">
        <v>53</v>
      </c>
      <c r="B174" s="1" t="s">
        <v>70</v>
      </c>
      <c r="C174" s="1" t="s">
        <v>277</v>
      </c>
      <c r="D174" s="2">
        <v>622</v>
      </c>
      <c r="E174" s="2">
        <v>583</v>
      </c>
      <c r="F174" s="2">
        <f t="shared" si="6"/>
        <v>1205</v>
      </c>
      <c r="G174" s="3">
        <f t="shared" si="7"/>
        <v>0.51618257261410794</v>
      </c>
      <c r="H174" s="3">
        <f t="shared" si="8"/>
        <v>0.48381742738589212</v>
      </c>
      <c r="I174" s="1" t="s">
        <v>129</v>
      </c>
    </row>
    <row r="175" spans="1:9" x14ac:dyDescent="0.2">
      <c r="A175" s="1" t="s">
        <v>53</v>
      </c>
      <c r="B175" s="1" t="s">
        <v>70</v>
      </c>
      <c r="C175" s="1" t="s">
        <v>278</v>
      </c>
      <c r="D175" s="2">
        <v>292</v>
      </c>
      <c r="E175" s="2">
        <v>276</v>
      </c>
      <c r="F175" s="2">
        <f t="shared" si="6"/>
        <v>568</v>
      </c>
      <c r="G175" s="3">
        <f t="shared" si="7"/>
        <v>0.5140845070422535</v>
      </c>
      <c r="H175" s="3">
        <f t="shared" si="8"/>
        <v>0.4859154929577465</v>
      </c>
      <c r="I175" s="1" t="s">
        <v>129</v>
      </c>
    </row>
    <row r="176" spans="1:9" x14ac:dyDescent="0.2">
      <c r="A176" s="1" t="s">
        <v>53</v>
      </c>
      <c r="B176" s="1" t="s">
        <v>70</v>
      </c>
      <c r="C176" s="1" t="s">
        <v>279</v>
      </c>
      <c r="D176" s="2">
        <v>325</v>
      </c>
      <c r="E176" s="2">
        <v>303</v>
      </c>
      <c r="F176" s="2">
        <f t="shared" si="6"/>
        <v>628</v>
      </c>
      <c r="G176" s="3">
        <f t="shared" si="7"/>
        <v>0.51751592356687903</v>
      </c>
      <c r="H176" s="3">
        <f t="shared" si="8"/>
        <v>0.48248407643312102</v>
      </c>
      <c r="I176" s="1" t="s">
        <v>129</v>
      </c>
    </row>
    <row r="177" spans="1:9" x14ac:dyDescent="0.2">
      <c r="A177" s="1" t="s">
        <v>53</v>
      </c>
      <c r="B177" s="1" t="s">
        <v>70</v>
      </c>
      <c r="C177" s="1" t="s">
        <v>280</v>
      </c>
      <c r="D177" s="2">
        <v>443</v>
      </c>
      <c r="E177" s="2">
        <v>429</v>
      </c>
      <c r="F177" s="2">
        <f t="shared" si="6"/>
        <v>872</v>
      </c>
      <c r="G177" s="3">
        <f t="shared" si="7"/>
        <v>0.5080275229357798</v>
      </c>
      <c r="H177" s="3">
        <f t="shared" si="8"/>
        <v>0.4919724770642202</v>
      </c>
      <c r="I177" s="1" t="s">
        <v>129</v>
      </c>
    </row>
    <row r="178" spans="1:9" x14ac:dyDescent="0.2">
      <c r="A178" s="1" t="s">
        <v>53</v>
      </c>
      <c r="B178" s="1" t="s">
        <v>70</v>
      </c>
      <c r="C178" s="1" t="s">
        <v>281</v>
      </c>
      <c r="D178" s="2">
        <v>286</v>
      </c>
      <c r="E178" s="2">
        <v>294</v>
      </c>
      <c r="F178" s="2">
        <f t="shared" si="6"/>
        <v>580</v>
      </c>
      <c r="G178" s="3">
        <f t="shared" si="7"/>
        <v>0.49310344827586206</v>
      </c>
      <c r="H178" s="3">
        <f t="shared" si="8"/>
        <v>0.50689655172413794</v>
      </c>
      <c r="I178" s="1" t="s">
        <v>129</v>
      </c>
    </row>
    <row r="179" spans="1:9" x14ac:dyDescent="0.2">
      <c r="A179" s="1" t="s">
        <v>53</v>
      </c>
      <c r="B179" s="1" t="s">
        <v>70</v>
      </c>
      <c r="C179" s="1" t="s">
        <v>282</v>
      </c>
      <c r="D179" s="2">
        <v>359</v>
      </c>
      <c r="E179" s="2">
        <v>301</v>
      </c>
      <c r="F179" s="2">
        <f t="shared" si="6"/>
        <v>660</v>
      </c>
      <c r="G179" s="3">
        <f t="shared" si="7"/>
        <v>0.54393939393939394</v>
      </c>
      <c r="H179" s="3">
        <f t="shared" si="8"/>
        <v>0.45606060606060606</v>
      </c>
      <c r="I179" s="1" t="s">
        <v>129</v>
      </c>
    </row>
    <row r="180" spans="1:9" x14ac:dyDescent="0.2">
      <c r="A180" s="1" t="s">
        <v>53</v>
      </c>
      <c r="B180" s="1" t="s">
        <v>70</v>
      </c>
      <c r="C180" s="1" t="s">
        <v>283</v>
      </c>
      <c r="D180" s="2">
        <v>468</v>
      </c>
      <c r="E180" s="2">
        <v>434</v>
      </c>
      <c r="F180" s="2">
        <f t="shared" si="6"/>
        <v>902</v>
      </c>
      <c r="G180" s="3">
        <f t="shared" si="7"/>
        <v>0.51884700665188466</v>
      </c>
      <c r="H180" s="3">
        <f t="shared" si="8"/>
        <v>0.48115299334811529</v>
      </c>
      <c r="I180" s="1" t="s">
        <v>129</v>
      </c>
    </row>
    <row r="181" spans="1:9" x14ac:dyDescent="0.2">
      <c r="A181" s="1" t="s">
        <v>53</v>
      </c>
      <c r="B181" s="1" t="s">
        <v>71</v>
      </c>
      <c r="C181" s="1" t="s">
        <v>284</v>
      </c>
      <c r="D181" s="2">
        <v>177</v>
      </c>
      <c r="E181" s="2">
        <v>223</v>
      </c>
      <c r="F181" s="2">
        <f t="shared" si="6"/>
        <v>400</v>
      </c>
      <c r="G181" s="3">
        <f t="shared" si="7"/>
        <v>0.4425</v>
      </c>
      <c r="H181" s="3">
        <f t="shared" si="8"/>
        <v>0.5575</v>
      </c>
      <c r="I181" s="1" t="s">
        <v>129</v>
      </c>
    </row>
    <row r="182" spans="1:9" x14ac:dyDescent="0.2">
      <c r="A182" s="1" t="s">
        <v>53</v>
      </c>
      <c r="B182" s="1" t="s">
        <v>71</v>
      </c>
      <c r="C182" s="1" t="s">
        <v>285</v>
      </c>
      <c r="D182" s="2">
        <v>131</v>
      </c>
      <c r="E182" s="2">
        <v>183</v>
      </c>
      <c r="F182" s="2">
        <f t="shared" si="6"/>
        <v>314</v>
      </c>
      <c r="G182" s="3">
        <f t="shared" si="7"/>
        <v>0.41719745222929938</v>
      </c>
      <c r="H182" s="3">
        <f t="shared" si="8"/>
        <v>0.58280254777070062</v>
      </c>
      <c r="I182" s="1" t="s">
        <v>129</v>
      </c>
    </row>
    <row r="183" spans="1:9" x14ac:dyDescent="0.2">
      <c r="A183" s="1" t="s">
        <v>53</v>
      </c>
      <c r="B183" s="1" t="s">
        <v>71</v>
      </c>
      <c r="C183" s="1" t="s">
        <v>286</v>
      </c>
      <c r="D183" s="2">
        <v>290</v>
      </c>
      <c r="E183" s="2">
        <v>387</v>
      </c>
      <c r="F183" s="2">
        <f t="shared" si="6"/>
        <v>677</v>
      </c>
      <c r="G183" s="3">
        <f t="shared" si="7"/>
        <v>0.42836041358936483</v>
      </c>
      <c r="H183" s="3">
        <f t="shared" si="8"/>
        <v>0.57163958641063517</v>
      </c>
      <c r="I183" s="1" t="s">
        <v>129</v>
      </c>
    </row>
    <row r="184" spans="1:9" x14ac:dyDescent="0.2">
      <c r="A184" s="1" t="s">
        <v>53</v>
      </c>
      <c r="B184" s="1" t="s">
        <v>72</v>
      </c>
      <c r="C184" s="1" t="s">
        <v>287</v>
      </c>
      <c r="D184" s="2">
        <v>729</v>
      </c>
      <c r="E184" s="2">
        <v>707</v>
      </c>
      <c r="F184" s="2">
        <f t="shared" si="6"/>
        <v>1436</v>
      </c>
      <c r="G184" s="3">
        <f t="shared" si="7"/>
        <v>0.50766016713091922</v>
      </c>
      <c r="H184" s="3">
        <f t="shared" si="8"/>
        <v>0.49233983286908078</v>
      </c>
      <c r="I184" s="1" t="s">
        <v>129</v>
      </c>
    </row>
    <row r="185" spans="1:9" x14ac:dyDescent="0.2">
      <c r="A185" s="1" t="s">
        <v>53</v>
      </c>
      <c r="B185" s="1" t="s">
        <v>72</v>
      </c>
      <c r="C185" s="1" t="s">
        <v>288</v>
      </c>
      <c r="D185" s="2">
        <v>347</v>
      </c>
      <c r="E185" s="2">
        <v>322</v>
      </c>
      <c r="F185" s="2">
        <f t="shared" si="6"/>
        <v>669</v>
      </c>
      <c r="G185" s="3">
        <f t="shared" si="7"/>
        <v>0.51868460388639759</v>
      </c>
      <c r="H185" s="3">
        <f t="shared" si="8"/>
        <v>0.48131539611360241</v>
      </c>
      <c r="I185" s="1" t="s">
        <v>129</v>
      </c>
    </row>
    <row r="186" spans="1:9" x14ac:dyDescent="0.2">
      <c r="A186" s="1" t="s">
        <v>53</v>
      </c>
      <c r="B186" s="1" t="s">
        <v>72</v>
      </c>
      <c r="C186" s="1" t="s">
        <v>289</v>
      </c>
      <c r="D186" s="2">
        <v>937</v>
      </c>
      <c r="E186" s="2">
        <v>708</v>
      </c>
      <c r="F186" s="2">
        <f t="shared" si="6"/>
        <v>1645</v>
      </c>
      <c r="G186" s="3">
        <f t="shared" si="7"/>
        <v>0.56960486322188453</v>
      </c>
      <c r="H186" s="3">
        <f t="shared" si="8"/>
        <v>0.43039513677811553</v>
      </c>
      <c r="I186" s="1" t="s">
        <v>129</v>
      </c>
    </row>
    <row r="187" spans="1:9" x14ac:dyDescent="0.2">
      <c r="A187" s="1" t="s">
        <v>53</v>
      </c>
      <c r="B187" s="1" t="s">
        <v>72</v>
      </c>
      <c r="C187" s="1" t="s">
        <v>290</v>
      </c>
      <c r="D187" s="2">
        <v>431</v>
      </c>
      <c r="E187" s="2">
        <v>428</v>
      </c>
      <c r="F187" s="2">
        <f t="shared" si="6"/>
        <v>859</v>
      </c>
      <c r="G187" s="3">
        <f t="shared" si="7"/>
        <v>0.50174621653084983</v>
      </c>
      <c r="H187" s="3">
        <f t="shared" si="8"/>
        <v>0.49825378346915017</v>
      </c>
      <c r="I187" s="1" t="s">
        <v>129</v>
      </c>
    </row>
    <row r="188" spans="1:9" x14ac:dyDescent="0.2">
      <c r="A188" s="1" t="s">
        <v>53</v>
      </c>
      <c r="B188" s="1" t="s">
        <v>72</v>
      </c>
      <c r="C188" s="1" t="s">
        <v>291</v>
      </c>
      <c r="D188" s="2">
        <v>945</v>
      </c>
      <c r="E188" s="2">
        <v>605</v>
      </c>
      <c r="F188" s="2">
        <f t="shared" si="6"/>
        <v>1550</v>
      </c>
      <c r="G188" s="3">
        <f t="shared" si="7"/>
        <v>0.60967741935483866</v>
      </c>
      <c r="H188" s="3">
        <f t="shared" si="8"/>
        <v>0.39032258064516129</v>
      </c>
      <c r="I188" s="1" t="s">
        <v>129</v>
      </c>
    </row>
    <row r="189" spans="1:9" x14ac:dyDescent="0.2">
      <c r="A189" s="1" t="s">
        <v>53</v>
      </c>
      <c r="B189" s="1" t="s">
        <v>72</v>
      </c>
      <c r="C189" s="1" t="s">
        <v>292</v>
      </c>
      <c r="D189" s="2">
        <v>891</v>
      </c>
      <c r="E189" s="2">
        <v>583</v>
      </c>
      <c r="F189" s="2">
        <f t="shared" si="6"/>
        <v>1474</v>
      </c>
      <c r="G189" s="3">
        <f t="shared" si="7"/>
        <v>0.60447761194029848</v>
      </c>
      <c r="H189" s="3">
        <f t="shared" si="8"/>
        <v>0.39552238805970147</v>
      </c>
      <c r="I189" s="1" t="s">
        <v>129</v>
      </c>
    </row>
    <row r="190" spans="1:9" x14ac:dyDescent="0.2">
      <c r="A190" s="1" t="s">
        <v>53</v>
      </c>
      <c r="B190" s="1" t="s">
        <v>72</v>
      </c>
      <c r="C190" s="1" t="s">
        <v>293</v>
      </c>
      <c r="D190" s="2">
        <v>398</v>
      </c>
      <c r="E190" s="2">
        <v>364</v>
      </c>
      <c r="F190" s="2">
        <f t="shared" si="6"/>
        <v>762</v>
      </c>
      <c r="G190" s="3">
        <f t="shared" si="7"/>
        <v>0.52230971128608927</v>
      </c>
      <c r="H190" s="3">
        <f t="shared" si="8"/>
        <v>0.47769028871391078</v>
      </c>
      <c r="I190" s="1" t="s">
        <v>129</v>
      </c>
    </row>
    <row r="191" spans="1:9" x14ac:dyDescent="0.2">
      <c r="A191" s="1" t="s">
        <v>53</v>
      </c>
      <c r="B191" s="1" t="s">
        <v>72</v>
      </c>
      <c r="C191" s="1" t="s">
        <v>294</v>
      </c>
      <c r="D191" s="2">
        <v>1096</v>
      </c>
      <c r="E191" s="2">
        <v>995</v>
      </c>
      <c r="F191" s="2">
        <f t="shared" si="6"/>
        <v>2091</v>
      </c>
      <c r="G191" s="3">
        <f t="shared" si="7"/>
        <v>0.52415112386417984</v>
      </c>
      <c r="H191" s="3">
        <f t="shared" si="8"/>
        <v>0.47584887613582016</v>
      </c>
      <c r="I191" s="1" t="s">
        <v>129</v>
      </c>
    </row>
    <row r="192" spans="1:9" x14ac:dyDescent="0.2">
      <c r="A192" s="1" t="s">
        <v>53</v>
      </c>
      <c r="B192" s="1" t="s">
        <v>73</v>
      </c>
      <c r="C192" s="1" t="s">
        <v>295</v>
      </c>
      <c r="D192" s="2">
        <v>823</v>
      </c>
      <c r="E192" s="2">
        <v>743</v>
      </c>
      <c r="F192" s="2">
        <f t="shared" si="6"/>
        <v>1566</v>
      </c>
      <c r="G192" s="3">
        <f t="shared" si="7"/>
        <v>0.52554278416347378</v>
      </c>
      <c r="H192" s="3">
        <f t="shared" si="8"/>
        <v>0.47445721583652617</v>
      </c>
      <c r="I192" s="1" t="s">
        <v>129</v>
      </c>
    </row>
    <row r="193" spans="1:9" x14ac:dyDescent="0.2">
      <c r="A193" s="1" t="s">
        <v>53</v>
      </c>
      <c r="B193" s="1" t="s">
        <v>73</v>
      </c>
      <c r="C193" s="1" t="s">
        <v>296</v>
      </c>
      <c r="D193" s="2">
        <v>1118</v>
      </c>
      <c r="E193" s="2">
        <v>987</v>
      </c>
      <c r="F193" s="2">
        <f t="shared" si="6"/>
        <v>2105</v>
      </c>
      <c r="G193" s="3">
        <f t="shared" si="7"/>
        <v>0.53111638954869356</v>
      </c>
      <c r="H193" s="3">
        <f t="shared" si="8"/>
        <v>0.46888361045130639</v>
      </c>
      <c r="I193" s="1" t="s">
        <v>129</v>
      </c>
    </row>
    <row r="194" spans="1:9" x14ac:dyDescent="0.2">
      <c r="A194" s="1" t="s">
        <v>53</v>
      </c>
      <c r="B194" s="1" t="s">
        <v>73</v>
      </c>
      <c r="C194" s="1" t="s">
        <v>297</v>
      </c>
      <c r="D194" s="2">
        <v>786</v>
      </c>
      <c r="E194" s="2">
        <v>831</v>
      </c>
      <c r="F194" s="2">
        <f t="shared" si="6"/>
        <v>1617</v>
      </c>
      <c r="G194" s="3">
        <f t="shared" si="7"/>
        <v>0.48608534322820035</v>
      </c>
      <c r="H194" s="3">
        <f t="shared" si="8"/>
        <v>0.51391465677179959</v>
      </c>
      <c r="I194" s="1" t="s">
        <v>129</v>
      </c>
    </row>
    <row r="195" spans="1:9" x14ac:dyDescent="0.2">
      <c r="A195" s="1" t="s">
        <v>53</v>
      </c>
      <c r="B195" s="1" t="s">
        <v>73</v>
      </c>
      <c r="C195" s="1" t="s">
        <v>298</v>
      </c>
      <c r="D195" s="2">
        <v>577</v>
      </c>
      <c r="E195" s="2">
        <v>490</v>
      </c>
      <c r="F195" s="2">
        <f t="shared" si="6"/>
        <v>1067</v>
      </c>
      <c r="G195" s="3">
        <f t="shared" si="7"/>
        <v>0.54076850984067482</v>
      </c>
      <c r="H195" s="3">
        <f t="shared" si="8"/>
        <v>0.45923149015932518</v>
      </c>
      <c r="I195" s="1" t="s">
        <v>129</v>
      </c>
    </row>
    <row r="196" spans="1:9" x14ac:dyDescent="0.2">
      <c r="A196" s="1" t="s">
        <v>53</v>
      </c>
      <c r="B196" s="1" t="s">
        <v>73</v>
      </c>
      <c r="C196" s="1" t="s">
        <v>299</v>
      </c>
      <c r="D196" s="2">
        <v>1496</v>
      </c>
      <c r="E196" s="2">
        <v>1235</v>
      </c>
      <c r="F196" s="2">
        <f t="shared" si="6"/>
        <v>2731</v>
      </c>
      <c r="G196" s="3">
        <f t="shared" si="7"/>
        <v>0.54778469425119003</v>
      </c>
      <c r="H196" s="3">
        <f t="shared" si="8"/>
        <v>0.45221530574880997</v>
      </c>
      <c r="I196" s="1" t="s">
        <v>129</v>
      </c>
    </row>
    <row r="197" spans="1:9" x14ac:dyDescent="0.2">
      <c r="A197" s="1" t="s">
        <v>53</v>
      </c>
      <c r="B197" s="1" t="s">
        <v>73</v>
      </c>
      <c r="C197" s="1" t="s">
        <v>300</v>
      </c>
      <c r="D197" s="2">
        <v>501</v>
      </c>
      <c r="E197" s="2">
        <v>439</v>
      </c>
      <c r="F197" s="2">
        <f t="shared" si="6"/>
        <v>940</v>
      </c>
      <c r="G197" s="3">
        <f t="shared" si="7"/>
        <v>0.53297872340425534</v>
      </c>
      <c r="H197" s="3">
        <f t="shared" si="8"/>
        <v>0.46702127659574466</v>
      </c>
      <c r="I197" s="1" t="s">
        <v>129</v>
      </c>
    </row>
    <row r="198" spans="1:9" x14ac:dyDescent="0.2">
      <c r="A198" s="1" t="s">
        <v>53</v>
      </c>
      <c r="B198" s="1" t="s">
        <v>73</v>
      </c>
      <c r="C198" s="1" t="s">
        <v>301</v>
      </c>
      <c r="D198" s="2">
        <v>512</v>
      </c>
      <c r="E198" s="2">
        <v>408</v>
      </c>
      <c r="F198" s="2">
        <f t="shared" si="6"/>
        <v>920</v>
      </c>
      <c r="G198" s="3">
        <f t="shared" si="7"/>
        <v>0.55652173913043479</v>
      </c>
      <c r="H198" s="3">
        <f t="shared" si="8"/>
        <v>0.44347826086956521</v>
      </c>
      <c r="I198" s="1" t="s">
        <v>129</v>
      </c>
    </row>
    <row r="199" spans="1:9" x14ac:dyDescent="0.2">
      <c r="A199" s="1" t="s">
        <v>53</v>
      </c>
      <c r="B199" s="1" t="s">
        <v>73</v>
      </c>
      <c r="C199" s="1" t="s">
        <v>302</v>
      </c>
      <c r="D199" s="2">
        <v>579</v>
      </c>
      <c r="E199" s="2">
        <v>505</v>
      </c>
      <c r="F199" s="2">
        <f t="shared" si="6"/>
        <v>1084</v>
      </c>
      <c r="G199" s="3">
        <f t="shared" si="7"/>
        <v>0.53413284132841332</v>
      </c>
      <c r="H199" s="3">
        <f t="shared" si="8"/>
        <v>0.46586715867158673</v>
      </c>
      <c r="I199" s="1" t="s">
        <v>129</v>
      </c>
    </row>
    <row r="200" spans="1:9" x14ac:dyDescent="0.2">
      <c r="A200" s="1" t="s">
        <v>53</v>
      </c>
      <c r="B200" s="1" t="s">
        <v>74</v>
      </c>
      <c r="C200" s="1" t="s">
        <v>303</v>
      </c>
      <c r="D200" s="2">
        <v>1274</v>
      </c>
      <c r="E200" s="2">
        <v>1331</v>
      </c>
      <c r="F200" s="2">
        <f t="shared" si="6"/>
        <v>2605</v>
      </c>
      <c r="G200" s="3">
        <f t="shared" si="7"/>
        <v>0.48905950095969292</v>
      </c>
      <c r="H200" s="3">
        <f t="shared" si="8"/>
        <v>0.51094049904030714</v>
      </c>
      <c r="I200" s="1" t="s">
        <v>129</v>
      </c>
    </row>
    <row r="201" spans="1:9" x14ac:dyDescent="0.2">
      <c r="A201" s="1" t="s">
        <v>53</v>
      </c>
      <c r="B201" s="1" t="s">
        <v>74</v>
      </c>
      <c r="C201" s="1" t="s">
        <v>304</v>
      </c>
      <c r="D201" s="2">
        <v>829</v>
      </c>
      <c r="E201" s="2">
        <v>1180</v>
      </c>
      <c r="F201" s="2">
        <f t="shared" si="6"/>
        <v>2009</v>
      </c>
      <c r="G201" s="3">
        <f t="shared" si="7"/>
        <v>0.41264310602289694</v>
      </c>
      <c r="H201" s="3">
        <f t="shared" si="8"/>
        <v>0.587356893977103</v>
      </c>
      <c r="I201" s="1" t="s">
        <v>129</v>
      </c>
    </row>
    <row r="202" spans="1:9" x14ac:dyDescent="0.2">
      <c r="A202" s="1" t="s">
        <v>53</v>
      </c>
      <c r="B202" s="1" t="s">
        <v>75</v>
      </c>
      <c r="C202" s="1" t="s">
        <v>305</v>
      </c>
      <c r="D202" s="2">
        <v>926</v>
      </c>
      <c r="E202" s="2">
        <v>877</v>
      </c>
      <c r="F202" s="2">
        <f t="shared" si="6"/>
        <v>1803</v>
      </c>
      <c r="G202" s="3">
        <f t="shared" si="7"/>
        <v>0.51358846367165834</v>
      </c>
      <c r="H202" s="3">
        <f t="shared" si="8"/>
        <v>0.48641153632834166</v>
      </c>
      <c r="I202" s="1" t="s">
        <v>129</v>
      </c>
    </row>
    <row r="203" spans="1:9" x14ac:dyDescent="0.2">
      <c r="A203" s="1" t="s">
        <v>53</v>
      </c>
      <c r="B203" s="1" t="s">
        <v>75</v>
      </c>
      <c r="C203" s="1" t="s">
        <v>306</v>
      </c>
      <c r="D203" s="2">
        <v>666</v>
      </c>
      <c r="E203" s="2">
        <v>678</v>
      </c>
      <c r="F203" s="2">
        <f t="shared" si="6"/>
        <v>1344</v>
      </c>
      <c r="G203" s="3">
        <f t="shared" si="7"/>
        <v>0.4955357142857143</v>
      </c>
      <c r="H203" s="3">
        <f t="shared" si="8"/>
        <v>0.5044642857142857</v>
      </c>
      <c r="I203" s="1" t="s">
        <v>129</v>
      </c>
    </row>
    <row r="204" spans="1:9" x14ac:dyDescent="0.2">
      <c r="A204" s="1" t="s">
        <v>53</v>
      </c>
      <c r="B204" s="1" t="s">
        <v>75</v>
      </c>
      <c r="C204" s="1" t="s">
        <v>307</v>
      </c>
      <c r="D204" s="2">
        <v>575</v>
      </c>
      <c r="E204" s="2">
        <v>562</v>
      </c>
      <c r="F204" s="2">
        <f t="shared" ref="F204:F267" si="9">IF(COUNTA(D204:E204)=0,"",SUM(D204:E204))</f>
        <v>1137</v>
      </c>
      <c r="G204" s="3">
        <f t="shared" ref="G204:G267" si="10">IF(OR(F204="",F204=0),"",D204/F204)</f>
        <v>0.50571679859278806</v>
      </c>
      <c r="H204" s="3">
        <f t="shared" ref="H204:H267" si="11">IF(OR(F204="",F204=0),"",E204/F204)</f>
        <v>0.49428320140721194</v>
      </c>
      <c r="I204" s="1" t="s">
        <v>129</v>
      </c>
    </row>
    <row r="205" spans="1:9" x14ac:dyDescent="0.2">
      <c r="A205" s="1" t="s">
        <v>53</v>
      </c>
      <c r="B205" s="1" t="s">
        <v>75</v>
      </c>
      <c r="C205" s="1" t="s">
        <v>308</v>
      </c>
      <c r="D205" s="2">
        <v>1452</v>
      </c>
      <c r="E205" s="2">
        <v>1420</v>
      </c>
      <c r="F205" s="2">
        <f t="shared" si="9"/>
        <v>2872</v>
      </c>
      <c r="G205" s="3">
        <f t="shared" si="10"/>
        <v>0.50557103064066855</v>
      </c>
      <c r="H205" s="3">
        <f t="shared" si="11"/>
        <v>0.49442896935933145</v>
      </c>
      <c r="I205" s="1" t="s">
        <v>129</v>
      </c>
    </row>
    <row r="206" spans="1:9" x14ac:dyDescent="0.2">
      <c r="A206" s="1" t="s">
        <v>53</v>
      </c>
      <c r="B206" s="1" t="s">
        <v>75</v>
      </c>
      <c r="C206" s="1" t="s">
        <v>309</v>
      </c>
      <c r="D206" s="2">
        <v>583</v>
      </c>
      <c r="E206" s="2">
        <v>515</v>
      </c>
      <c r="F206" s="2">
        <f t="shared" si="9"/>
        <v>1098</v>
      </c>
      <c r="G206" s="3">
        <f t="shared" si="10"/>
        <v>0.53096539162112932</v>
      </c>
      <c r="H206" s="3">
        <f t="shared" si="11"/>
        <v>0.46903460837887068</v>
      </c>
      <c r="I206" s="1" t="s">
        <v>129</v>
      </c>
    </row>
    <row r="207" spans="1:9" x14ac:dyDescent="0.2">
      <c r="A207" s="1" t="s">
        <v>53</v>
      </c>
      <c r="B207" s="1" t="s">
        <v>75</v>
      </c>
      <c r="C207" s="1" t="s">
        <v>310</v>
      </c>
      <c r="D207" s="2">
        <v>592</v>
      </c>
      <c r="E207" s="2">
        <v>498</v>
      </c>
      <c r="F207" s="2">
        <f t="shared" si="9"/>
        <v>1090</v>
      </c>
      <c r="G207" s="3">
        <f t="shared" si="10"/>
        <v>0.5431192660550459</v>
      </c>
      <c r="H207" s="3">
        <f t="shared" si="11"/>
        <v>0.45688073394495415</v>
      </c>
      <c r="I207" s="1" t="s">
        <v>129</v>
      </c>
    </row>
    <row r="208" spans="1:9" x14ac:dyDescent="0.2">
      <c r="A208" s="1" t="s">
        <v>53</v>
      </c>
      <c r="B208" s="1" t="s">
        <v>76</v>
      </c>
      <c r="C208" s="1" t="s">
        <v>311</v>
      </c>
      <c r="D208" s="2">
        <v>198</v>
      </c>
      <c r="E208" s="2">
        <v>398</v>
      </c>
      <c r="F208" s="2">
        <f t="shared" si="9"/>
        <v>596</v>
      </c>
      <c r="G208" s="3">
        <f t="shared" si="10"/>
        <v>0.33221476510067116</v>
      </c>
      <c r="H208" s="3">
        <f t="shared" si="11"/>
        <v>0.66778523489932884</v>
      </c>
      <c r="I208" s="1" t="s">
        <v>129</v>
      </c>
    </row>
    <row r="209" spans="1:9" x14ac:dyDescent="0.2">
      <c r="A209" s="1" t="s">
        <v>53</v>
      </c>
      <c r="B209" s="1" t="s">
        <v>76</v>
      </c>
      <c r="C209" s="1" t="s">
        <v>312</v>
      </c>
      <c r="D209" s="2">
        <v>704</v>
      </c>
      <c r="E209" s="2">
        <v>1269</v>
      </c>
      <c r="F209" s="2">
        <f t="shared" si="9"/>
        <v>1973</v>
      </c>
      <c r="G209" s="3">
        <f t="shared" si="10"/>
        <v>0.35681702990369996</v>
      </c>
      <c r="H209" s="3">
        <f t="shared" si="11"/>
        <v>0.6431829700963001</v>
      </c>
      <c r="I209" s="1" t="s">
        <v>129</v>
      </c>
    </row>
    <row r="210" spans="1:9" x14ac:dyDescent="0.2">
      <c r="A210" s="1" t="s">
        <v>53</v>
      </c>
      <c r="B210" s="1" t="s">
        <v>76</v>
      </c>
      <c r="C210" s="1" t="s">
        <v>313</v>
      </c>
      <c r="D210" s="2">
        <v>160</v>
      </c>
      <c r="E210" s="2">
        <v>374</v>
      </c>
      <c r="F210" s="2">
        <f t="shared" si="9"/>
        <v>534</v>
      </c>
      <c r="G210" s="3">
        <f t="shared" si="10"/>
        <v>0.29962546816479402</v>
      </c>
      <c r="H210" s="3">
        <f t="shared" si="11"/>
        <v>0.70037453183520604</v>
      </c>
      <c r="I210" s="1" t="s">
        <v>129</v>
      </c>
    </row>
    <row r="211" spans="1:9" x14ac:dyDescent="0.2">
      <c r="A211" s="1" t="s">
        <v>53</v>
      </c>
      <c r="B211" s="1" t="s">
        <v>77</v>
      </c>
      <c r="C211" s="1" t="s">
        <v>77</v>
      </c>
      <c r="D211" s="2">
        <v>1001</v>
      </c>
      <c r="E211" s="2">
        <v>1739</v>
      </c>
      <c r="F211" s="2">
        <f t="shared" si="9"/>
        <v>2740</v>
      </c>
      <c r="G211" s="3">
        <f t="shared" si="10"/>
        <v>0.36532846715328465</v>
      </c>
      <c r="H211" s="3">
        <f t="shared" si="11"/>
        <v>0.63467153284671529</v>
      </c>
      <c r="I211" s="1" t="s">
        <v>129</v>
      </c>
    </row>
    <row r="212" spans="1:9" x14ac:dyDescent="0.2">
      <c r="A212" s="1" t="s">
        <v>53</v>
      </c>
      <c r="B212" s="1" t="s">
        <v>78</v>
      </c>
      <c r="C212" s="1" t="s">
        <v>314</v>
      </c>
      <c r="D212" s="2">
        <v>658</v>
      </c>
      <c r="E212" s="2">
        <v>684</v>
      </c>
      <c r="F212" s="2">
        <f t="shared" si="9"/>
        <v>1342</v>
      </c>
      <c r="G212" s="3">
        <f t="shared" si="10"/>
        <v>0.49031296572280181</v>
      </c>
      <c r="H212" s="3">
        <f t="shared" si="11"/>
        <v>0.50968703427719819</v>
      </c>
      <c r="I212" s="1" t="s">
        <v>129</v>
      </c>
    </row>
    <row r="213" spans="1:9" x14ac:dyDescent="0.2">
      <c r="A213" s="1" t="s">
        <v>53</v>
      </c>
      <c r="B213" s="1" t="s">
        <v>78</v>
      </c>
      <c r="C213" s="1" t="s">
        <v>315</v>
      </c>
      <c r="D213" s="2">
        <v>485</v>
      </c>
      <c r="E213" s="2">
        <v>496</v>
      </c>
      <c r="F213" s="2">
        <f t="shared" si="9"/>
        <v>981</v>
      </c>
      <c r="G213" s="3">
        <f t="shared" si="10"/>
        <v>0.49439347604485218</v>
      </c>
      <c r="H213" s="3">
        <f t="shared" si="11"/>
        <v>0.50560652395514782</v>
      </c>
      <c r="I213" s="1" t="s">
        <v>129</v>
      </c>
    </row>
    <row r="214" spans="1:9" x14ac:dyDescent="0.2">
      <c r="A214" s="1" t="s">
        <v>53</v>
      </c>
      <c r="B214" s="1" t="s">
        <v>78</v>
      </c>
      <c r="C214" s="1" t="s">
        <v>316</v>
      </c>
      <c r="D214" s="2">
        <v>507</v>
      </c>
      <c r="E214" s="2">
        <v>422</v>
      </c>
      <c r="F214" s="2">
        <f t="shared" si="9"/>
        <v>929</v>
      </c>
      <c r="G214" s="3">
        <f t="shared" si="10"/>
        <v>0.54574811625403663</v>
      </c>
      <c r="H214" s="3">
        <f t="shared" si="11"/>
        <v>0.45425188374596343</v>
      </c>
      <c r="I214" s="1" t="s">
        <v>129</v>
      </c>
    </row>
    <row r="215" spans="1:9" x14ac:dyDescent="0.2">
      <c r="A215" s="1" t="s">
        <v>53</v>
      </c>
      <c r="B215" s="1" t="s">
        <v>78</v>
      </c>
      <c r="C215" s="1" t="s">
        <v>317</v>
      </c>
      <c r="D215" s="2">
        <v>602</v>
      </c>
      <c r="E215" s="2">
        <v>425</v>
      </c>
      <c r="F215" s="2">
        <f t="shared" si="9"/>
        <v>1027</v>
      </c>
      <c r="G215" s="3">
        <f t="shared" si="10"/>
        <v>0.58617332035053549</v>
      </c>
      <c r="H215" s="3">
        <f t="shared" si="11"/>
        <v>0.41382667964946446</v>
      </c>
      <c r="I215" s="1" t="s">
        <v>129</v>
      </c>
    </row>
    <row r="216" spans="1:9" x14ac:dyDescent="0.2">
      <c r="A216" s="1" t="s">
        <v>53</v>
      </c>
      <c r="B216" s="1" t="s">
        <v>78</v>
      </c>
      <c r="C216" s="1" t="s">
        <v>318</v>
      </c>
      <c r="D216" s="2">
        <v>222</v>
      </c>
      <c r="E216" s="2">
        <v>186</v>
      </c>
      <c r="F216" s="2">
        <f t="shared" si="9"/>
        <v>408</v>
      </c>
      <c r="G216" s="3">
        <f t="shared" si="10"/>
        <v>0.54411764705882348</v>
      </c>
      <c r="H216" s="3">
        <f t="shared" si="11"/>
        <v>0.45588235294117646</v>
      </c>
      <c r="I216" s="1" t="s">
        <v>129</v>
      </c>
    </row>
    <row r="217" spans="1:9" x14ac:dyDescent="0.2">
      <c r="A217" s="1" t="s">
        <v>53</v>
      </c>
      <c r="B217" s="1" t="s">
        <v>78</v>
      </c>
      <c r="C217" s="1" t="s">
        <v>319</v>
      </c>
      <c r="D217" s="2">
        <v>338</v>
      </c>
      <c r="E217" s="2">
        <v>225</v>
      </c>
      <c r="F217" s="2">
        <f t="shared" si="9"/>
        <v>563</v>
      </c>
      <c r="G217" s="3">
        <f t="shared" si="10"/>
        <v>0.60035523978685612</v>
      </c>
      <c r="H217" s="3">
        <f t="shared" si="11"/>
        <v>0.39964476021314388</v>
      </c>
      <c r="I217" s="1" t="s">
        <v>129</v>
      </c>
    </row>
    <row r="218" spans="1:9" x14ac:dyDescent="0.2">
      <c r="A218" s="1" t="s">
        <v>53</v>
      </c>
      <c r="B218" s="1" t="s">
        <v>78</v>
      </c>
      <c r="C218" s="1" t="s">
        <v>320</v>
      </c>
      <c r="D218" s="2">
        <v>383</v>
      </c>
      <c r="E218" s="2">
        <v>303</v>
      </c>
      <c r="F218" s="2">
        <f t="shared" si="9"/>
        <v>686</v>
      </c>
      <c r="G218" s="3">
        <f t="shared" si="10"/>
        <v>0.55830903790087461</v>
      </c>
      <c r="H218" s="3">
        <f t="shared" si="11"/>
        <v>0.44169096209912534</v>
      </c>
      <c r="I218" s="1" t="s">
        <v>129</v>
      </c>
    </row>
    <row r="219" spans="1:9" x14ac:dyDescent="0.2">
      <c r="A219" s="1" t="s">
        <v>53</v>
      </c>
      <c r="B219" s="1" t="s">
        <v>78</v>
      </c>
      <c r="C219" s="1" t="s">
        <v>321</v>
      </c>
      <c r="D219" s="2">
        <v>221</v>
      </c>
      <c r="E219" s="2">
        <v>228</v>
      </c>
      <c r="F219" s="2">
        <f t="shared" si="9"/>
        <v>449</v>
      </c>
      <c r="G219" s="3">
        <f t="shared" si="10"/>
        <v>0.49220489977728288</v>
      </c>
      <c r="H219" s="3">
        <f t="shared" si="11"/>
        <v>0.50779510022271712</v>
      </c>
      <c r="I219" s="1" t="s">
        <v>129</v>
      </c>
    </row>
    <row r="220" spans="1:9" x14ac:dyDescent="0.2">
      <c r="A220" s="1" t="s">
        <v>53</v>
      </c>
      <c r="B220" s="1" t="s">
        <v>78</v>
      </c>
      <c r="C220" s="1" t="s">
        <v>322</v>
      </c>
      <c r="D220" s="2">
        <v>388</v>
      </c>
      <c r="E220" s="2">
        <v>343</v>
      </c>
      <c r="F220" s="2">
        <f t="shared" si="9"/>
        <v>731</v>
      </c>
      <c r="G220" s="3">
        <f t="shared" si="10"/>
        <v>0.53077975376196995</v>
      </c>
      <c r="H220" s="3">
        <f t="shared" si="11"/>
        <v>0.4692202462380301</v>
      </c>
      <c r="I220" s="1" t="s">
        <v>129</v>
      </c>
    </row>
    <row r="221" spans="1:9" x14ac:dyDescent="0.2">
      <c r="A221" s="1" t="s">
        <v>53</v>
      </c>
      <c r="B221" s="1" t="s">
        <v>78</v>
      </c>
      <c r="C221" s="1" t="s">
        <v>323</v>
      </c>
      <c r="D221" s="2">
        <v>680</v>
      </c>
      <c r="E221" s="2">
        <v>722</v>
      </c>
      <c r="F221" s="2">
        <f t="shared" si="9"/>
        <v>1402</v>
      </c>
      <c r="G221" s="3">
        <f t="shared" si="10"/>
        <v>0.48502139800285304</v>
      </c>
      <c r="H221" s="3">
        <f t="shared" si="11"/>
        <v>0.51497860199714696</v>
      </c>
      <c r="I221" s="1" t="s">
        <v>129</v>
      </c>
    </row>
    <row r="222" spans="1:9" x14ac:dyDescent="0.2">
      <c r="A222" s="1" t="s">
        <v>53</v>
      </c>
      <c r="B222" s="1" t="s">
        <v>78</v>
      </c>
      <c r="C222" s="1" t="s">
        <v>324</v>
      </c>
      <c r="D222" s="2">
        <v>563</v>
      </c>
      <c r="E222" s="2">
        <v>557</v>
      </c>
      <c r="F222" s="2">
        <f t="shared" si="9"/>
        <v>1120</v>
      </c>
      <c r="G222" s="3">
        <f t="shared" si="10"/>
        <v>0.50267857142857142</v>
      </c>
      <c r="H222" s="3">
        <f t="shared" si="11"/>
        <v>0.49732142857142858</v>
      </c>
      <c r="I222" s="1" t="s">
        <v>129</v>
      </c>
    </row>
    <row r="223" spans="1:9" x14ac:dyDescent="0.2">
      <c r="A223" s="1" t="s">
        <v>53</v>
      </c>
      <c r="B223" s="1" t="s">
        <v>78</v>
      </c>
      <c r="C223" s="1" t="s">
        <v>325</v>
      </c>
      <c r="D223" s="2">
        <v>458</v>
      </c>
      <c r="E223" s="2">
        <v>408</v>
      </c>
      <c r="F223" s="2">
        <f t="shared" si="9"/>
        <v>866</v>
      </c>
      <c r="G223" s="3">
        <f t="shared" si="10"/>
        <v>0.52886836027713624</v>
      </c>
      <c r="H223" s="3">
        <f t="shared" si="11"/>
        <v>0.47113163972286376</v>
      </c>
      <c r="I223" s="1" t="s">
        <v>129</v>
      </c>
    </row>
    <row r="224" spans="1:9" x14ac:dyDescent="0.2">
      <c r="A224" s="1" t="s">
        <v>79</v>
      </c>
      <c r="B224" s="1" t="s">
        <v>81</v>
      </c>
      <c r="C224" s="1" t="s">
        <v>326</v>
      </c>
      <c r="D224" s="2">
        <v>389</v>
      </c>
      <c r="E224" s="2">
        <v>845</v>
      </c>
      <c r="F224" s="2">
        <f t="shared" si="9"/>
        <v>1234</v>
      </c>
      <c r="G224" s="3">
        <f t="shared" si="10"/>
        <v>0.31523500810372773</v>
      </c>
      <c r="H224" s="3">
        <f t="shared" si="11"/>
        <v>0.68476499189627227</v>
      </c>
      <c r="I224" s="1" t="s">
        <v>129</v>
      </c>
    </row>
    <row r="225" spans="1:9" x14ac:dyDescent="0.2">
      <c r="A225" s="1" t="s">
        <v>79</v>
      </c>
      <c r="B225" s="1" t="s">
        <v>80</v>
      </c>
      <c r="C225" s="1" t="s">
        <v>327</v>
      </c>
      <c r="D225" s="2">
        <v>1099</v>
      </c>
      <c r="E225" s="2">
        <v>2052</v>
      </c>
      <c r="F225" s="2">
        <f t="shared" si="9"/>
        <v>3151</v>
      </c>
      <c r="G225" s="3">
        <f t="shared" si="10"/>
        <v>0.34877816566169467</v>
      </c>
      <c r="H225" s="3">
        <f t="shared" si="11"/>
        <v>0.65122183433830527</v>
      </c>
      <c r="I225" s="1" t="s">
        <v>129</v>
      </c>
    </row>
    <row r="226" spans="1:9" x14ac:dyDescent="0.2">
      <c r="A226" s="1" t="s">
        <v>79</v>
      </c>
      <c r="B226" s="1" t="s">
        <v>82</v>
      </c>
      <c r="C226" s="1" t="s">
        <v>328</v>
      </c>
      <c r="D226" s="2">
        <v>428</v>
      </c>
      <c r="E226" s="2">
        <v>743</v>
      </c>
      <c r="F226" s="2">
        <f t="shared" si="9"/>
        <v>1171</v>
      </c>
      <c r="G226" s="3">
        <f t="shared" si="10"/>
        <v>0.36549957301451752</v>
      </c>
      <c r="H226" s="3">
        <f t="shared" si="11"/>
        <v>0.63450042698548248</v>
      </c>
      <c r="I226" s="1" t="s">
        <v>129</v>
      </c>
    </row>
    <row r="227" spans="1:9" x14ac:dyDescent="0.2">
      <c r="A227" s="1" t="s">
        <v>83</v>
      </c>
      <c r="B227" s="1" t="s">
        <v>84</v>
      </c>
      <c r="C227" s="1" t="s">
        <v>329</v>
      </c>
      <c r="D227" s="2">
        <v>564</v>
      </c>
      <c r="E227" s="2">
        <v>766</v>
      </c>
      <c r="F227" s="2">
        <f t="shared" si="9"/>
        <v>1330</v>
      </c>
      <c r="G227" s="3">
        <f t="shared" si="10"/>
        <v>0.42406015037593986</v>
      </c>
      <c r="H227" s="3">
        <f t="shared" si="11"/>
        <v>0.5759398496240602</v>
      </c>
      <c r="I227" s="1" t="s">
        <v>129</v>
      </c>
    </row>
    <row r="228" spans="1:9" x14ac:dyDescent="0.2">
      <c r="A228" s="1" t="s">
        <v>83</v>
      </c>
      <c r="B228" s="1" t="s">
        <v>84</v>
      </c>
      <c r="C228" s="1" t="s">
        <v>330</v>
      </c>
      <c r="D228" s="2">
        <v>650</v>
      </c>
      <c r="E228" s="2">
        <v>727</v>
      </c>
      <c r="F228" s="2">
        <f t="shared" si="9"/>
        <v>1377</v>
      </c>
      <c r="G228" s="3">
        <f t="shared" si="10"/>
        <v>0.4720406681190995</v>
      </c>
      <c r="H228" s="3">
        <f t="shared" si="11"/>
        <v>0.5279593318809005</v>
      </c>
      <c r="I228" s="1" t="s">
        <v>129</v>
      </c>
    </row>
    <row r="229" spans="1:9" x14ac:dyDescent="0.2">
      <c r="A229" s="1" t="s">
        <v>83</v>
      </c>
      <c r="B229" s="1" t="s">
        <v>85</v>
      </c>
      <c r="C229" s="1" t="s">
        <v>331</v>
      </c>
      <c r="D229" s="2">
        <v>363</v>
      </c>
      <c r="E229" s="2">
        <v>463</v>
      </c>
      <c r="F229" s="2">
        <f t="shared" si="9"/>
        <v>826</v>
      </c>
      <c r="G229" s="3">
        <f t="shared" si="10"/>
        <v>0.43946731234866826</v>
      </c>
      <c r="H229" s="3">
        <f t="shared" si="11"/>
        <v>0.56053268765133168</v>
      </c>
      <c r="I229" s="1" t="s">
        <v>332</v>
      </c>
    </row>
    <row r="230" spans="1:9" x14ac:dyDescent="0.2">
      <c r="A230" s="1" t="s">
        <v>83</v>
      </c>
      <c r="B230" s="1" t="s">
        <v>85</v>
      </c>
      <c r="C230" s="1" t="s">
        <v>333</v>
      </c>
      <c r="D230" s="2">
        <v>380</v>
      </c>
      <c r="E230" s="2">
        <v>482</v>
      </c>
      <c r="F230" s="2">
        <f t="shared" si="9"/>
        <v>862</v>
      </c>
      <c r="G230" s="3">
        <f t="shared" si="10"/>
        <v>0.44083526682134572</v>
      </c>
      <c r="H230" s="3">
        <f t="shared" si="11"/>
        <v>0.55916473317865434</v>
      </c>
      <c r="I230" s="1" t="s">
        <v>332</v>
      </c>
    </row>
    <row r="231" spans="1:9" x14ac:dyDescent="0.2">
      <c r="A231" s="1" t="s">
        <v>83</v>
      </c>
      <c r="B231" s="1" t="s">
        <v>86</v>
      </c>
      <c r="C231" s="1" t="s">
        <v>86</v>
      </c>
      <c r="D231" s="2">
        <v>504</v>
      </c>
      <c r="E231" s="2">
        <v>512</v>
      </c>
      <c r="F231" s="2">
        <f t="shared" si="9"/>
        <v>1016</v>
      </c>
      <c r="G231" s="3">
        <f t="shared" si="10"/>
        <v>0.49606299212598426</v>
      </c>
      <c r="H231" s="3">
        <f t="shared" si="11"/>
        <v>0.50393700787401574</v>
      </c>
      <c r="I231" s="1" t="s">
        <v>129</v>
      </c>
    </row>
    <row r="232" spans="1:9" x14ac:dyDescent="0.2">
      <c r="A232" s="1" t="s">
        <v>83</v>
      </c>
      <c r="B232" s="1" t="s">
        <v>56</v>
      </c>
      <c r="C232" s="1" t="s">
        <v>334</v>
      </c>
      <c r="D232" s="2">
        <v>607</v>
      </c>
      <c r="E232" s="2">
        <v>335</v>
      </c>
      <c r="F232" s="2">
        <f t="shared" si="9"/>
        <v>942</v>
      </c>
      <c r="G232" s="3">
        <f t="shared" si="10"/>
        <v>0.64437367303609339</v>
      </c>
      <c r="H232" s="3">
        <f t="shared" si="11"/>
        <v>0.35562632696390656</v>
      </c>
      <c r="I232" s="1" t="s">
        <v>129</v>
      </c>
    </row>
    <row r="233" spans="1:9" x14ac:dyDescent="0.2">
      <c r="A233" s="1" t="s">
        <v>83</v>
      </c>
      <c r="B233" s="1" t="s">
        <v>56</v>
      </c>
      <c r="C233" s="1" t="s">
        <v>335</v>
      </c>
      <c r="D233" s="2">
        <v>847</v>
      </c>
      <c r="E233" s="2">
        <v>544</v>
      </c>
      <c r="F233" s="2">
        <f t="shared" si="9"/>
        <v>1391</v>
      </c>
      <c r="G233" s="3">
        <f t="shared" si="10"/>
        <v>0.60891445003594535</v>
      </c>
      <c r="H233" s="3">
        <f t="shared" si="11"/>
        <v>0.39108554996405465</v>
      </c>
      <c r="I233" s="1" t="s">
        <v>129</v>
      </c>
    </row>
    <row r="234" spans="1:9" x14ac:dyDescent="0.2">
      <c r="A234" s="1" t="s">
        <v>83</v>
      </c>
      <c r="B234" s="1" t="s">
        <v>56</v>
      </c>
      <c r="C234" s="1" t="s">
        <v>336</v>
      </c>
      <c r="D234" s="2">
        <v>605</v>
      </c>
      <c r="E234" s="2">
        <v>321</v>
      </c>
      <c r="F234" s="2">
        <f t="shared" si="9"/>
        <v>926</v>
      </c>
      <c r="G234" s="3">
        <f t="shared" si="10"/>
        <v>0.6533477321814255</v>
      </c>
      <c r="H234" s="3">
        <f t="shared" si="11"/>
        <v>0.3466522678185745</v>
      </c>
      <c r="I234" s="1" t="s">
        <v>129</v>
      </c>
    </row>
    <row r="235" spans="1:9" x14ac:dyDescent="0.2">
      <c r="A235" s="1" t="s">
        <v>83</v>
      </c>
      <c r="B235" s="1" t="s">
        <v>56</v>
      </c>
      <c r="C235" s="1" t="s">
        <v>337</v>
      </c>
      <c r="D235" s="2">
        <v>475</v>
      </c>
      <c r="E235" s="2">
        <v>262</v>
      </c>
      <c r="F235" s="2">
        <f t="shared" si="9"/>
        <v>737</v>
      </c>
      <c r="G235" s="3">
        <f t="shared" si="10"/>
        <v>0.64450474898236088</v>
      </c>
      <c r="H235" s="3">
        <f t="shared" si="11"/>
        <v>0.35549525101763907</v>
      </c>
      <c r="I235" s="1" t="s">
        <v>129</v>
      </c>
    </row>
    <row r="236" spans="1:9" x14ac:dyDescent="0.2">
      <c r="A236" s="1" t="s">
        <v>83</v>
      </c>
      <c r="B236" s="1" t="s">
        <v>56</v>
      </c>
      <c r="C236" s="1" t="s">
        <v>338</v>
      </c>
      <c r="D236" s="2">
        <v>601</v>
      </c>
      <c r="E236" s="2">
        <v>378</v>
      </c>
      <c r="F236" s="2">
        <f t="shared" si="9"/>
        <v>979</v>
      </c>
      <c r="G236" s="3">
        <f t="shared" si="10"/>
        <v>0.61389172625127686</v>
      </c>
      <c r="H236" s="3">
        <f t="shared" si="11"/>
        <v>0.3861082737487232</v>
      </c>
      <c r="I236" s="1" t="s">
        <v>129</v>
      </c>
    </row>
    <row r="237" spans="1:9" x14ac:dyDescent="0.2">
      <c r="A237" s="1" t="s">
        <v>83</v>
      </c>
      <c r="B237" s="1" t="s">
        <v>56</v>
      </c>
      <c r="C237" s="1" t="s">
        <v>339</v>
      </c>
      <c r="D237" s="2">
        <v>765</v>
      </c>
      <c r="E237" s="2">
        <v>437</v>
      </c>
      <c r="F237" s="2">
        <f t="shared" si="9"/>
        <v>1202</v>
      </c>
      <c r="G237" s="3">
        <f t="shared" si="10"/>
        <v>0.63643926788685523</v>
      </c>
      <c r="H237" s="3">
        <f t="shared" si="11"/>
        <v>0.36356073211314477</v>
      </c>
      <c r="I237" s="1" t="s">
        <v>129</v>
      </c>
    </row>
    <row r="238" spans="1:9" x14ac:dyDescent="0.2">
      <c r="A238" s="1" t="s">
        <v>83</v>
      </c>
      <c r="B238" s="1" t="s">
        <v>56</v>
      </c>
      <c r="C238" s="1" t="s">
        <v>340</v>
      </c>
      <c r="D238" s="2">
        <v>607</v>
      </c>
      <c r="E238" s="2">
        <v>419</v>
      </c>
      <c r="F238" s="2">
        <f t="shared" si="9"/>
        <v>1026</v>
      </c>
      <c r="G238" s="3">
        <f t="shared" si="10"/>
        <v>0.59161793372319693</v>
      </c>
      <c r="H238" s="3">
        <f t="shared" si="11"/>
        <v>0.40838206627680312</v>
      </c>
      <c r="I238" s="1" t="s">
        <v>129</v>
      </c>
    </row>
    <row r="239" spans="1:9" x14ac:dyDescent="0.2">
      <c r="A239" s="1" t="s">
        <v>83</v>
      </c>
      <c r="B239" s="1" t="s">
        <v>56</v>
      </c>
      <c r="C239" s="1" t="s">
        <v>341</v>
      </c>
      <c r="D239" s="2">
        <v>442</v>
      </c>
      <c r="E239" s="2">
        <v>239</v>
      </c>
      <c r="F239" s="2">
        <f t="shared" si="9"/>
        <v>681</v>
      </c>
      <c r="G239" s="3">
        <f t="shared" si="10"/>
        <v>0.64904552129221738</v>
      </c>
      <c r="H239" s="3">
        <f t="shared" si="11"/>
        <v>0.35095447870778268</v>
      </c>
      <c r="I239" s="1" t="s">
        <v>129</v>
      </c>
    </row>
    <row r="240" spans="1:9" x14ac:dyDescent="0.2">
      <c r="A240" s="1" t="s">
        <v>83</v>
      </c>
      <c r="B240" s="1" t="s">
        <v>56</v>
      </c>
      <c r="C240" s="1" t="s">
        <v>342</v>
      </c>
      <c r="D240" s="2">
        <v>558</v>
      </c>
      <c r="E240" s="2">
        <v>279</v>
      </c>
      <c r="F240" s="2">
        <f t="shared" si="9"/>
        <v>837</v>
      </c>
      <c r="G240" s="3">
        <f t="shared" si="10"/>
        <v>0.66666666666666663</v>
      </c>
      <c r="H240" s="3">
        <f t="shared" si="11"/>
        <v>0.33333333333333331</v>
      </c>
      <c r="I240" s="1" t="s">
        <v>129</v>
      </c>
    </row>
    <row r="241" spans="1:9" x14ac:dyDescent="0.2">
      <c r="A241" s="1" t="s">
        <v>83</v>
      </c>
      <c r="B241" s="1" t="s">
        <v>56</v>
      </c>
      <c r="C241" s="1" t="s">
        <v>343</v>
      </c>
      <c r="D241" s="2">
        <v>712</v>
      </c>
      <c r="E241" s="2">
        <v>432</v>
      </c>
      <c r="F241" s="2">
        <f t="shared" si="9"/>
        <v>1144</v>
      </c>
      <c r="G241" s="3">
        <f t="shared" si="10"/>
        <v>0.6223776223776224</v>
      </c>
      <c r="H241" s="3">
        <f t="shared" si="11"/>
        <v>0.3776223776223776</v>
      </c>
      <c r="I241" s="1" t="s">
        <v>129</v>
      </c>
    </row>
    <row r="242" spans="1:9" x14ac:dyDescent="0.2">
      <c r="A242" s="1" t="s">
        <v>83</v>
      </c>
      <c r="B242" s="1" t="s">
        <v>56</v>
      </c>
      <c r="C242" s="1" t="s">
        <v>344</v>
      </c>
      <c r="D242" s="2">
        <v>555</v>
      </c>
      <c r="E242" s="2">
        <v>244</v>
      </c>
      <c r="F242" s="2">
        <f t="shared" si="9"/>
        <v>799</v>
      </c>
      <c r="G242" s="3">
        <f t="shared" si="10"/>
        <v>0.69461827284105127</v>
      </c>
      <c r="H242" s="3">
        <f t="shared" si="11"/>
        <v>0.30538172715894868</v>
      </c>
      <c r="I242" s="1" t="s">
        <v>129</v>
      </c>
    </row>
    <row r="243" spans="1:9" x14ac:dyDescent="0.2">
      <c r="A243" s="1" t="s">
        <v>83</v>
      </c>
      <c r="B243" s="1" t="s">
        <v>56</v>
      </c>
      <c r="C243" s="1" t="s">
        <v>345</v>
      </c>
      <c r="D243" s="2">
        <v>523</v>
      </c>
      <c r="E243" s="2">
        <v>286</v>
      </c>
      <c r="F243" s="2">
        <f t="shared" si="9"/>
        <v>809</v>
      </c>
      <c r="G243" s="3">
        <f t="shared" si="10"/>
        <v>0.64647713226205195</v>
      </c>
      <c r="H243" s="3">
        <f t="shared" si="11"/>
        <v>0.35352286773794811</v>
      </c>
      <c r="I243" s="1" t="s">
        <v>129</v>
      </c>
    </row>
    <row r="244" spans="1:9" x14ac:dyDescent="0.2">
      <c r="A244" s="1" t="s">
        <v>83</v>
      </c>
      <c r="B244" s="1" t="s">
        <v>56</v>
      </c>
      <c r="C244" s="1" t="s">
        <v>346</v>
      </c>
      <c r="D244" s="2">
        <v>172</v>
      </c>
      <c r="E244" s="2">
        <v>65</v>
      </c>
      <c r="F244" s="2">
        <f t="shared" si="9"/>
        <v>237</v>
      </c>
      <c r="G244" s="3">
        <f t="shared" si="10"/>
        <v>0.72573839662447259</v>
      </c>
      <c r="H244" s="3">
        <f t="shared" si="11"/>
        <v>0.27426160337552741</v>
      </c>
      <c r="I244" s="1" t="s">
        <v>129</v>
      </c>
    </row>
    <row r="245" spans="1:9" x14ac:dyDescent="0.2">
      <c r="A245" s="1" t="s">
        <v>83</v>
      </c>
      <c r="B245" s="1" t="s">
        <v>56</v>
      </c>
      <c r="C245" s="1" t="s">
        <v>347</v>
      </c>
      <c r="D245" s="2">
        <v>307</v>
      </c>
      <c r="E245" s="2">
        <v>122</v>
      </c>
      <c r="F245" s="2">
        <f t="shared" si="9"/>
        <v>429</v>
      </c>
      <c r="G245" s="3">
        <f t="shared" si="10"/>
        <v>0.71561771561771559</v>
      </c>
      <c r="H245" s="3">
        <f t="shared" si="11"/>
        <v>0.28438228438228436</v>
      </c>
      <c r="I245" s="1" t="s">
        <v>129</v>
      </c>
    </row>
    <row r="246" spans="1:9" x14ac:dyDescent="0.2">
      <c r="A246" s="1" t="s">
        <v>83</v>
      </c>
      <c r="B246" s="1" t="s">
        <v>56</v>
      </c>
      <c r="C246" s="1" t="s">
        <v>348</v>
      </c>
      <c r="D246" s="2">
        <v>258</v>
      </c>
      <c r="E246" s="2">
        <v>95</v>
      </c>
      <c r="F246" s="2">
        <f t="shared" si="9"/>
        <v>353</v>
      </c>
      <c r="G246" s="3">
        <f t="shared" si="10"/>
        <v>0.73087818696883855</v>
      </c>
      <c r="H246" s="3">
        <f t="shared" si="11"/>
        <v>0.26912181303116145</v>
      </c>
      <c r="I246" s="1" t="s">
        <v>129</v>
      </c>
    </row>
    <row r="247" spans="1:9" x14ac:dyDescent="0.2">
      <c r="A247" s="1" t="s">
        <v>83</v>
      </c>
      <c r="B247" s="1" t="s">
        <v>56</v>
      </c>
      <c r="C247" s="1" t="s">
        <v>349</v>
      </c>
      <c r="D247" s="2">
        <v>386</v>
      </c>
      <c r="E247" s="2">
        <v>136</v>
      </c>
      <c r="F247" s="2">
        <f t="shared" si="9"/>
        <v>522</v>
      </c>
      <c r="G247" s="3">
        <f t="shared" si="10"/>
        <v>0.73946360153256707</v>
      </c>
      <c r="H247" s="3">
        <f t="shared" si="11"/>
        <v>0.26053639846743293</v>
      </c>
      <c r="I247" s="1" t="s">
        <v>129</v>
      </c>
    </row>
    <row r="248" spans="1:9" x14ac:dyDescent="0.2">
      <c r="A248" s="1" t="s">
        <v>83</v>
      </c>
      <c r="B248" s="1" t="s">
        <v>56</v>
      </c>
      <c r="C248" s="1" t="s">
        <v>350</v>
      </c>
      <c r="D248" s="2">
        <v>885</v>
      </c>
      <c r="E248" s="2">
        <v>240</v>
      </c>
      <c r="F248" s="2">
        <f t="shared" si="9"/>
        <v>1125</v>
      </c>
      <c r="G248" s="3">
        <f t="shared" si="10"/>
        <v>0.78666666666666663</v>
      </c>
      <c r="H248" s="3">
        <f t="shared" si="11"/>
        <v>0.21333333333333335</v>
      </c>
      <c r="I248" s="1" t="s">
        <v>129</v>
      </c>
    </row>
    <row r="249" spans="1:9" x14ac:dyDescent="0.2">
      <c r="A249" s="1" t="s">
        <v>83</v>
      </c>
      <c r="B249" s="1" t="s">
        <v>56</v>
      </c>
      <c r="C249" s="1" t="s">
        <v>351</v>
      </c>
      <c r="D249" s="2">
        <v>391</v>
      </c>
      <c r="E249" s="2">
        <v>148</v>
      </c>
      <c r="F249" s="2">
        <f t="shared" si="9"/>
        <v>539</v>
      </c>
      <c r="G249" s="3">
        <f t="shared" si="10"/>
        <v>0.72541743970315398</v>
      </c>
      <c r="H249" s="3">
        <f t="shared" si="11"/>
        <v>0.27458256029684602</v>
      </c>
      <c r="I249" s="1" t="s">
        <v>129</v>
      </c>
    </row>
    <row r="250" spans="1:9" x14ac:dyDescent="0.2">
      <c r="A250" s="1" t="s">
        <v>83</v>
      </c>
      <c r="B250" s="1" t="s">
        <v>56</v>
      </c>
      <c r="C250" s="1" t="s">
        <v>352</v>
      </c>
      <c r="D250" s="2">
        <v>363</v>
      </c>
      <c r="E250" s="2">
        <v>152</v>
      </c>
      <c r="F250" s="2">
        <f t="shared" si="9"/>
        <v>515</v>
      </c>
      <c r="G250" s="3">
        <f t="shared" si="10"/>
        <v>0.70485436893203879</v>
      </c>
      <c r="H250" s="3">
        <f t="shared" si="11"/>
        <v>0.29514563106796116</v>
      </c>
      <c r="I250" s="1" t="s">
        <v>129</v>
      </c>
    </row>
    <row r="251" spans="1:9" x14ac:dyDescent="0.2">
      <c r="A251" s="1" t="s">
        <v>83</v>
      </c>
      <c r="B251" s="1" t="s">
        <v>56</v>
      </c>
      <c r="C251" s="1" t="s">
        <v>353</v>
      </c>
      <c r="D251" s="2">
        <v>363</v>
      </c>
      <c r="E251" s="2">
        <v>124</v>
      </c>
      <c r="F251" s="2">
        <f t="shared" si="9"/>
        <v>487</v>
      </c>
      <c r="G251" s="3">
        <f t="shared" si="10"/>
        <v>0.74537987679671458</v>
      </c>
      <c r="H251" s="3">
        <f t="shared" si="11"/>
        <v>0.25462012320328542</v>
      </c>
      <c r="I251" s="1" t="s">
        <v>129</v>
      </c>
    </row>
    <row r="252" spans="1:9" x14ac:dyDescent="0.2">
      <c r="A252" s="1" t="s">
        <v>83</v>
      </c>
      <c r="B252" s="1" t="s">
        <v>56</v>
      </c>
      <c r="C252" s="1" t="s">
        <v>354</v>
      </c>
      <c r="D252" s="2">
        <v>506</v>
      </c>
      <c r="E252" s="2">
        <v>201</v>
      </c>
      <c r="F252" s="2">
        <f t="shared" si="9"/>
        <v>707</v>
      </c>
      <c r="G252" s="3">
        <f t="shared" si="10"/>
        <v>0.71570014144271565</v>
      </c>
      <c r="H252" s="3">
        <f t="shared" si="11"/>
        <v>0.28429985855728429</v>
      </c>
      <c r="I252" s="1" t="s">
        <v>129</v>
      </c>
    </row>
    <row r="253" spans="1:9" x14ac:dyDescent="0.2">
      <c r="A253" s="1" t="s">
        <v>83</v>
      </c>
      <c r="B253" s="1" t="s">
        <v>56</v>
      </c>
      <c r="C253" s="1" t="s">
        <v>355</v>
      </c>
      <c r="D253" s="2">
        <v>470</v>
      </c>
      <c r="E253" s="2">
        <v>216</v>
      </c>
      <c r="F253" s="2">
        <f t="shared" si="9"/>
        <v>686</v>
      </c>
      <c r="G253" s="3">
        <f t="shared" si="10"/>
        <v>0.685131195335277</v>
      </c>
      <c r="H253" s="3">
        <f t="shared" si="11"/>
        <v>0.31486880466472306</v>
      </c>
      <c r="I253" s="1" t="s">
        <v>129</v>
      </c>
    </row>
    <row r="254" spans="1:9" x14ac:dyDescent="0.2">
      <c r="A254" s="1" t="s">
        <v>83</v>
      </c>
      <c r="B254" s="1" t="s">
        <v>56</v>
      </c>
      <c r="C254" s="1" t="s">
        <v>356</v>
      </c>
      <c r="D254" s="2">
        <v>519</v>
      </c>
      <c r="E254" s="2">
        <v>245</v>
      </c>
      <c r="F254" s="2">
        <f t="shared" si="9"/>
        <v>764</v>
      </c>
      <c r="G254" s="3">
        <f t="shared" si="10"/>
        <v>0.6793193717277487</v>
      </c>
      <c r="H254" s="3">
        <f t="shared" si="11"/>
        <v>0.3206806282722513</v>
      </c>
      <c r="I254" s="1" t="s">
        <v>129</v>
      </c>
    </row>
    <row r="255" spans="1:9" x14ac:dyDescent="0.2">
      <c r="A255" s="1" t="s">
        <v>83</v>
      </c>
      <c r="B255" s="1" t="s">
        <v>56</v>
      </c>
      <c r="C255" s="1" t="s">
        <v>357</v>
      </c>
      <c r="D255" s="2">
        <v>474</v>
      </c>
      <c r="E255" s="2">
        <v>222</v>
      </c>
      <c r="F255" s="2">
        <f t="shared" si="9"/>
        <v>696</v>
      </c>
      <c r="G255" s="3">
        <f t="shared" si="10"/>
        <v>0.68103448275862066</v>
      </c>
      <c r="H255" s="3">
        <f t="shared" si="11"/>
        <v>0.31896551724137934</v>
      </c>
      <c r="I255" s="1" t="s">
        <v>129</v>
      </c>
    </row>
    <row r="256" spans="1:9" x14ac:dyDescent="0.2">
      <c r="A256" s="1" t="s">
        <v>83</v>
      </c>
      <c r="B256" s="1" t="s">
        <v>87</v>
      </c>
      <c r="C256" s="1" t="s">
        <v>358</v>
      </c>
      <c r="D256" s="2">
        <v>406</v>
      </c>
      <c r="E256" s="2">
        <v>325</v>
      </c>
      <c r="F256" s="2">
        <f t="shared" si="9"/>
        <v>731</v>
      </c>
      <c r="G256" s="3">
        <f t="shared" si="10"/>
        <v>0.55540355677154585</v>
      </c>
      <c r="H256" s="3">
        <f t="shared" si="11"/>
        <v>0.44459644322845415</v>
      </c>
      <c r="I256" s="1" t="s">
        <v>129</v>
      </c>
    </row>
    <row r="257" spans="1:9" x14ac:dyDescent="0.2">
      <c r="A257" s="1" t="s">
        <v>83</v>
      </c>
      <c r="B257" s="1" t="s">
        <v>87</v>
      </c>
      <c r="C257" s="1" t="s">
        <v>359</v>
      </c>
      <c r="D257" s="2">
        <v>498</v>
      </c>
      <c r="E257" s="2">
        <v>417</v>
      </c>
      <c r="F257" s="2">
        <f t="shared" si="9"/>
        <v>915</v>
      </c>
      <c r="G257" s="3">
        <f t="shared" si="10"/>
        <v>0.54426229508196722</v>
      </c>
      <c r="H257" s="3">
        <f t="shared" si="11"/>
        <v>0.45573770491803278</v>
      </c>
      <c r="I257" s="1" t="s">
        <v>129</v>
      </c>
    </row>
    <row r="258" spans="1:9" x14ac:dyDescent="0.2">
      <c r="A258" s="1" t="s">
        <v>83</v>
      </c>
      <c r="B258" s="1" t="s">
        <v>87</v>
      </c>
      <c r="C258" s="1" t="s">
        <v>360</v>
      </c>
      <c r="D258" s="2">
        <v>579</v>
      </c>
      <c r="E258" s="2">
        <v>441</v>
      </c>
      <c r="F258" s="2">
        <f t="shared" si="9"/>
        <v>1020</v>
      </c>
      <c r="G258" s="3">
        <f t="shared" si="10"/>
        <v>0.56764705882352939</v>
      </c>
      <c r="H258" s="3">
        <f t="shared" si="11"/>
        <v>0.43235294117647061</v>
      </c>
      <c r="I258" s="1" t="s">
        <v>129</v>
      </c>
    </row>
    <row r="259" spans="1:9" x14ac:dyDescent="0.2">
      <c r="A259" s="1" t="s">
        <v>83</v>
      </c>
      <c r="B259" s="1" t="s">
        <v>87</v>
      </c>
      <c r="C259" s="1" t="s">
        <v>361</v>
      </c>
      <c r="D259" s="2">
        <v>295</v>
      </c>
      <c r="E259" s="2">
        <v>263</v>
      </c>
      <c r="F259" s="2">
        <f t="shared" si="9"/>
        <v>558</v>
      </c>
      <c r="G259" s="3">
        <f t="shared" si="10"/>
        <v>0.52867383512544808</v>
      </c>
      <c r="H259" s="3">
        <f t="shared" si="11"/>
        <v>0.47132616487455198</v>
      </c>
      <c r="I259" s="1" t="s">
        <v>129</v>
      </c>
    </row>
    <row r="260" spans="1:9" x14ac:dyDescent="0.2">
      <c r="A260" s="1" t="s">
        <v>83</v>
      </c>
      <c r="B260" s="1" t="s">
        <v>87</v>
      </c>
      <c r="C260" s="1" t="s">
        <v>362</v>
      </c>
      <c r="D260" s="2">
        <v>443</v>
      </c>
      <c r="E260" s="2">
        <v>339</v>
      </c>
      <c r="F260" s="2">
        <f t="shared" si="9"/>
        <v>782</v>
      </c>
      <c r="G260" s="3">
        <f t="shared" si="10"/>
        <v>0.56649616368286448</v>
      </c>
      <c r="H260" s="3">
        <f t="shared" si="11"/>
        <v>0.43350383631713557</v>
      </c>
      <c r="I260" s="1" t="s">
        <v>129</v>
      </c>
    </row>
    <row r="261" spans="1:9" x14ac:dyDescent="0.2">
      <c r="A261" s="1" t="s">
        <v>83</v>
      </c>
      <c r="B261" s="1" t="s">
        <v>87</v>
      </c>
      <c r="C261" s="1" t="s">
        <v>363</v>
      </c>
      <c r="D261" s="2">
        <v>451</v>
      </c>
      <c r="E261" s="2">
        <v>382</v>
      </c>
      <c r="F261" s="2">
        <f t="shared" si="9"/>
        <v>833</v>
      </c>
      <c r="G261" s="3">
        <f t="shared" si="10"/>
        <v>0.54141656662665061</v>
      </c>
      <c r="H261" s="3">
        <f t="shared" si="11"/>
        <v>0.45858343337334934</v>
      </c>
      <c r="I261" s="1" t="s">
        <v>129</v>
      </c>
    </row>
    <row r="262" spans="1:9" x14ac:dyDescent="0.2">
      <c r="A262" s="1" t="s">
        <v>83</v>
      </c>
      <c r="B262" s="1" t="s">
        <v>87</v>
      </c>
      <c r="C262" s="1" t="s">
        <v>364</v>
      </c>
      <c r="D262" s="2">
        <v>278</v>
      </c>
      <c r="E262" s="2">
        <v>224</v>
      </c>
      <c r="F262" s="2">
        <f t="shared" si="9"/>
        <v>502</v>
      </c>
      <c r="G262" s="3">
        <f t="shared" si="10"/>
        <v>0.55378486055776888</v>
      </c>
      <c r="H262" s="3">
        <f t="shared" si="11"/>
        <v>0.44621513944223107</v>
      </c>
      <c r="I262" s="1" t="s">
        <v>129</v>
      </c>
    </row>
    <row r="263" spans="1:9" x14ac:dyDescent="0.2">
      <c r="A263" s="1" t="s">
        <v>83</v>
      </c>
      <c r="B263" s="1" t="s">
        <v>87</v>
      </c>
      <c r="C263" s="1" t="s">
        <v>365</v>
      </c>
      <c r="D263" s="2">
        <v>391</v>
      </c>
      <c r="E263" s="2">
        <v>273</v>
      </c>
      <c r="F263" s="2">
        <f t="shared" si="9"/>
        <v>664</v>
      </c>
      <c r="G263" s="3">
        <f t="shared" si="10"/>
        <v>0.58885542168674698</v>
      </c>
      <c r="H263" s="3">
        <f t="shared" si="11"/>
        <v>0.41114457831325302</v>
      </c>
      <c r="I263" s="1" t="s">
        <v>129</v>
      </c>
    </row>
    <row r="264" spans="1:9" x14ac:dyDescent="0.2">
      <c r="A264" s="1" t="s">
        <v>83</v>
      </c>
      <c r="B264" s="1" t="s">
        <v>87</v>
      </c>
      <c r="C264" s="1" t="s">
        <v>366</v>
      </c>
      <c r="D264" s="2">
        <v>255</v>
      </c>
      <c r="E264" s="2">
        <v>157</v>
      </c>
      <c r="F264" s="2">
        <f t="shared" si="9"/>
        <v>412</v>
      </c>
      <c r="G264" s="3">
        <f t="shared" si="10"/>
        <v>0.6189320388349514</v>
      </c>
      <c r="H264" s="3">
        <f t="shared" si="11"/>
        <v>0.38106796116504854</v>
      </c>
      <c r="I264" s="1" t="s">
        <v>129</v>
      </c>
    </row>
    <row r="265" spans="1:9" x14ac:dyDescent="0.2">
      <c r="A265" s="1" t="s">
        <v>83</v>
      </c>
      <c r="B265" s="1" t="s">
        <v>87</v>
      </c>
      <c r="C265" s="1" t="s">
        <v>367</v>
      </c>
      <c r="D265" s="2">
        <v>297</v>
      </c>
      <c r="E265" s="2">
        <v>251</v>
      </c>
      <c r="F265" s="2">
        <f t="shared" si="9"/>
        <v>548</v>
      </c>
      <c r="G265" s="3">
        <f t="shared" si="10"/>
        <v>0.54197080291970801</v>
      </c>
      <c r="H265" s="3">
        <f t="shared" si="11"/>
        <v>0.45802919708029199</v>
      </c>
      <c r="I265" s="1" t="s">
        <v>129</v>
      </c>
    </row>
    <row r="266" spans="1:9" x14ac:dyDescent="0.2">
      <c r="A266" s="1" t="s">
        <v>83</v>
      </c>
      <c r="B266" s="1" t="s">
        <v>87</v>
      </c>
      <c r="C266" s="1" t="s">
        <v>368</v>
      </c>
      <c r="D266" s="2">
        <v>360</v>
      </c>
      <c r="E266" s="2">
        <v>295</v>
      </c>
      <c r="F266" s="2">
        <f t="shared" si="9"/>
        <v>655</v>
      </c>
      <c r="G266" s="3">
        <f t="shared" si="10"/>
        <v>0.54961832061068705</v>
      </c>
      <c r="H266" s="3">
        <f t="shared" si="11"/>
        <v>0.45038167938931295</v>
      </c>
      <c r="I266" s="1" t="s">
        <v>129</v>
      </c>
    </row>
    <row r="267" spans="1:9" x14ac:dyDescent="0.2">
      <c r="A267" s="1" t="s">
        <v>83</v>
      </c>
      <c r="B267" s="1" t="s">
        <v>87</v>
      </c>
      <c r="C267" s="1" t="s">
        <v>369</v>
      </c>
      <c r="D267" s="2">
        <v>461</v>
      </c>
      <c r="E267" s="2">
        <v>325</v>
      </c>
      <c r="F267" s="2">
        <f t="shared" si="9"/>
        <v>786</v>
      </c>
      <c r="G267" s="3">
        <f t="shared" si="10"/>
        <v>0.58651399491094147</v>
      </c>
      <c r="H267" s="3">
        <f t="shared" si="11"/>
        <v>0.41348600508905853</v>
      </c>
      <c r="I267" s="1" t="s">
        <v>129</v>
      </c>
    </row>
    <row r="268" spans="1:9" x14ac:dyDescent="0.2">
      <c r="A268" s="1" t="s">
        <v>83</v>
      </c>
      <c r="B268" s="1" t="s">
        <v>87</v>
      </c>
      <c r="C268" s="1" t="s">
        <v>370</v>
      </c>
      <c r="D268" s="2">
        <v>368</v>
      </c>
      <c r="E268" s="2">
        <v>319</v>
      </c>
      <c r="F268" s="2">
        <f t="shared" ref="F268:F331" si="12">IF(COUNTA(D268:E268)=0,"",SUM(D268:E268))</f>
        <v>687</v>
      </c>
      <c r="G268" s="3">
        <f t="shared" ref="G268:G331" si="13">IF(OR(F268="",F268=0),"",D268/F268)</f>
        <v>0.53566229985443958</v>
      </c>
      <c r="H268" s="3">
        <f t="shared" ref="H268:H331" si="14">IF(OR(F268="",F268=0),"",E268/F268)</f>
        <v>0.46433770014556042</v>
      </c>
      <c r="I268" s="1" t="s">
        <v>129</v>
      </c>
    </row>
    <row r="269" spans="1:9" x14ac:dyDescent="0.2">
      <c r="A269" s="1" t="s">
        <v>83</v>
      </c>
      <c r="B269" s="1" t="s">
        <v>87</v>
      </c>
      <c r="C269" s="1" t="s">
        <v>371</v>
      </c>
      <c r="D269" s="2">
        <v>731</v>
      </c>
      <c r="E269" s="2">
        <v>516</v>
      </c>
      <c r="F269" s="2">
        <f t="shared" si="12"/>
        <v>1247</v>
      </c>
      <c r="G269" s="3">
        <f t="shared" si="13"/>
        <v>0.58620689655172409</v>
      </c>
      <c r="H269" s="3">
        <f t="shared" si="14"/>
        <v>0.41379310344827586</v>
      </c>
      <c r="I269" s="1" t="s">
        <v>129</v>
      </c>
    </row>
    <row r="270" spans="1:9" x14ac:dyDescent="0.2">
      <c r="A270" s="1" t="s">
        <v>83</v>
      </c>
      <c r="B270" s="1" t="s">
        <v>87</v>
      </c>
      <c r="C270" s="1" t="s">
        <v>372</v>
      </c>
      <c r="D270" s="2">
        <v>442</v>
      </c>
      <c r="E270" s="2">
        <v>379</v>
      </c>
      <c r="F270" s="2">
        <f t="shared" si="12"/>
        <v>821</v>
      </c>
      <c r="G270" s="3">
        <f t="shared" si="13"/>
        <v>0.53836784409256999</v>
      </c>
      <c r="H270" s="3">
        <f t="shared" si="14"/>
        <v>0.46163215590742995</v>
      </c>
      <c r="I270" s="1" t="s">
        <v>129</v>
      </c>
    </row>
    <row r="271" spans="1:9" x14ac:dyDescent="0.2">
      <c r="A271" s="1" t="s">
        <v>83</v>
      </c>
      <c r="B271" s="1" t="s">
        <v>87</v>
      </c>
      <c r="C271" s="1" t="s">
        <v>373</v>
      </c>
      <c r="D271" s="2">
        <v>427</v>
      </c>
      <c r="E271" s="2">
        <v>363</v>
      </c>
      <c r="F271" s="2">
        <f t="shared" si="12"/>
        <v>790</v>
      </c>
      <c r="G271" s="3">
        <f t="shared" si="13"/>
        <v>0.54050632911392404</v>
      </c>
      <c r="H271" s="3">
        <f t="shared" si="14"/>
        <v>0.45949367088607596</v>
      </c>
      <c r="I271" s="1" t="s">
        <v>129</v>
      </c>
    </row>
    <row r="272" spans="1:9" x14ac:dyDescent="0.2">
      <c r="A272" s="1" t="s">
        <v>83</v>
      </c>
      <c r="B272" s="1" t="s">
        <v>87</v>
      </c>
      <c r="C272" s="1" t="s">
        <v>374</v>
      </c>
      <c r="D272" s="2">
        <v>432</v>
      </c>
      <c r="E272" s="2">
        <v>365</v>
      </c>
      <c r="F272" s="2">
        <f t="shared" si="12"/>
        <v>797</v>
      </c>
      <c r="G272" s="3">
        <f t="shared" si="13"/>
        <v>0.5420326223337516</v>
      </c>
      <c r="H272" s="3">
        <f t="shared" si="14"/>
        <v>0.45796737766624845</v>
      </c>
      <c r="I272" s="1" t="s">
        <v>129</v>
      </c>
    </row>
    <row r="273" spans="1:9" x14ac:dyDescent="0.2">
      <c r="A273" s="1" t="s">
        <v>83</v>
      </c>
      <c r="B273" s="1" t="s">
        <v>88</v>
      </c>
      <c r="C273" s="1" t="s">
        <v>375</v>
      </c>
      <c r="D273" s="2">
        <v>795</v>
      </c>
      <c r="E273" s="2">
        <v>1090</v>
      </c>
      <c r="F273" s="2">
        <f t="shared" si="12"/>
        <v>1885</v>
      </c>
      <c r="G273" s="3">
        <f t="shared" si="13"/>
        <v>0.4217506631299735</v>
      </c>
      <c r="H273" s="3">
        <f t="shared" si="14"/>
        <v>0.57824933687002655</v>
      </c>
      <c r="I273" s="1" t="s">
        <v>129</v>
      </c>
    </row>
    <row r="274" spans="1:9" x14ac:dyDescent="0.2">
      <c r="A274" s="1" t="s">
        <v>83</v>
      </c>
      <c r="B274" s="1" t="s">
        <v>88</v>
      </c>
      <c r="C274" s="1" t="s">
        <v>376</v>
      </c>
      <c r="D274" s="2">
        <v>677</v>
      </c>
      <c r="E274" s="2">
        <v>919</v>
      </c>
      <c r="F274" s="2">
        <f t="shared" si="12"/>
        <v>1596</v>
      </c>
      <c r="G274" s="3">
        <f t="shared" si="13"/>
        <v>0.42418546365914789</v>
      </c>
      <c r="H274" s="3">
        <f t="shared" si="14"/>
        <v>0.57581453634085211</v>
      </c>
      <c r="I274" s="1" t="s">
        <v>129</v>
      </c>
    </row>
    <row r="275" spans="1:9" x14ac:dyDescent="0.2">
      <c r="A275" s="1" t="s">
        <v>83</v>
      </c>
      <c r="B275" s="1" t="s">
        <v>88</v>
      </c>
      <c r="C275" s="1" t="s">
        <v>377</v>
      </c>
      <c r="D275" s="2">
        <v>343</v>
      </c>
      <c r="E275" s="2">
        <v>598</v>
      </c>
      <c r="F275" s="2">
        <f t="shared" si="12"/>
        <v>941</v>
      </c>
      <c r="G275" s="3">
        <f t="shared" si="13"/>
        <v>0.36450584484590859</v>
      </c>
      <c r="H275" s="3">
        <f t="shared" si="14"/>
        <v>0.63549415515409136</v>
      </c>
      <c r="I275" s="1" t="s">
        <v>129</v>
      </c>
    </row>
    <row r="276" spans="1:9" x14ac:dyDescent="0.2">
      <c r="A276" s="1" t="s">
        <v>83</v>
      </c>
      <c r="B276" s="1" t="s">
        <v>89</v>
      </c>
      <c r="C276" s="1" t="s">
        <v>89</v>
      </c>
      <c r="D276" s="2">
        <v>34</v>
      </c>
      <c r="E276" s="2">
        <v>63</v>
      </c>
      <c r="F276" s="2">
        <f t="shared" si="12"/>
        <v>97</v>
      </c>
      <c r="G276" s="3">
        <f t="shared" si="13"/>
        <v>0.35051546391752575</v>
      </c>
      <c r="H276" s="3">
        <f t="shared" si="14"/>
        <v>0.64948453608247425</v>
      </c>
      <c r="I276" s="1" t="s">
        <v>129</v>
      </c>
    </row>
    <row r="277" spans="1:9" x14ac:dyDescent="0.2">
      <c r="A277" s="1" t="s">
        <v>83</v>
      </c>
      <c r="B277" s="1" t="s">
        <v>90</v>
      </c>
      <c r="C277" s="1" t="s">
        <v>378</v>
      </c>
      <c r="D277" s="2">
        <v>627</v>
      </c>
      <c r="E277" s="2">
        <v>774</v>
      </c>
      <c r="F277" s="2">
        <f t="shared" si="12"/>
        <v>1401</v>
      </c>
      <c r="G277" s="3">
        <f t="shared" si="13"/>
        <v>0.4475374732334047</v>
      </c>
      <c r="H277" s="3">
        <f t="shared" si="14"/>
        <v>0.55246252676659524</v>
      </c>
      <c r="I277" s="1" t="s">
        <v>129</v>
      </c>
    </row>
    <row r="278" spans="1:9" x14ac:dyDescent="0.2">
      <c r="A278" s="1" t="s">
        <v>83</v>
      </c>
      <c r="B278" s="1" t="s">
        <v>90</v>
      </c>
      <c r="C278" s="1" t="s">
        <v>379</v>
      </c>
      <c r="D278" s="2">
        <v>565</v>
      </c>
      <c r="E278" s="2">
        <v>675</v>
      </c>
      <c r="F278" s="2">
        <f t="shared" si="12"/>
        <v>1240</v>
      </c>
      <c r="G278" s="3">
        <f t="shared" si="13"/>
        <v>0.45564516129032256</v>
      </c>
      <c r="H278" s="3">
        <f t="shared" si="14"/>
        <v>0.54435483870967738</v>
      </c>
      <c r="I278" s="1" t="s">
        <v>129</v>
      </c>
    </row>
    <row r="279" spans="1:9" x14ac:dyDescent="0.2">
      <c r="A279" s="1" t="s">
        <v>83</v>
      </c>
      <c r="B279" s="1" t="s">
        <v>91</v>
      </c>
      <c r="C279" s="1" t="s">
        <v>91</v>
      </c>
      <c r="D279" s="2">
        <v>154</v>
      </c>
      <c r="E279" s="2">
        <v>207</v>
      </c>
      <c r="F279" s="2">
        <f t="shared" si="12"/>
        <v>361</v>
      </c>
      <c r="G279" s="3">
        <f t="shared" si="13"/>
        <v>0.4265927977839335</v>
      </c>
      <c r="H279" s="3">
        <f t="shared" si="14"/>
        <v>0.57340720221606645</v>
      </c>
      <c r="I279" s="1" t="s">
        <v>129</v>
      </c>
    </row>
    <row r="280" spans="1:9" x14ac:dyDescent="0.2">
      <c r="A280" s="1" t="s">
        <v>83</v>
      </c>
      <c r="B280" s="1" t="s">
        <v>92</v>
      </c>
      <c r="C280" s="1" t="s">
        <v>380</v>
      </c>
      <c r="D280" s="2">
        <v>453</v>
      </c>
      <c r="E280" s="2">
        <v>236</v>
      </c>
      <c r="F280" s="2">
        <f t="shared" si="12"/>
        <v>689</v>
      </c>
      <c r="G280" s="3">
        <f t="shared" si="13"/>
        <v>0.65747460087082732</v>
      </c>
      <c r="H280" s="3">
        <f t="shared" si="14"/>
        <v>0.34252539912917274</v>
      </c>
      <c r="I280" s="1" t="s">
        <v>129</v>
      </c>
    </row>
    <row r="281" spans="1:9" x14ac:dyDescent="0.2">
      <c r="A281" s="1" t="s">
        <v>83</v>
      </c>
      <c r="B281" s="1" t="s">
        <v>92</v>
      </c>
      <c r="C281" s="1" t="s">
        <v>381</v>
      </c>
      <c r="D281" s="2">
        <v>516</v>
      </c>
      <c r="E281" s="2">
        <v>236</v>
      </c>
      <c r="F281" s="2">
        <f t="shared" si="12"/>
        <v>752</v>
      </c>
      <c r="G281" s="3">
        <f t="shared" si="13"/>
        <v>0.68617021276595747</v>
      </c>
      <c r="H281" s="3">
        <f t="shared" si="14"/>
        <v>0.31382978723404253</v>
      </c>
      <c r="I281" s="1" t="s">
        <v>129</v>
      </c>
    </row>
    <row r="282" spans="1:9" x14ac:dyDescent="0.2">
      <c r="A282" s="1" t="s">
        <v>83</v>
      </c>
      <c r="B282" s="1" t="s">
        <v>92</v>
      </c>
      <c r="C282" s="1" t="s">
        <v>382</v>
      </c>
      <c r="D282" s="2">
        <v>363</v>
      </c>
      <c r="E282" s="2">
        <v>141</v>
      </c>
      <c r="F282" s="2">
        <f t="shared" si="12"/>
        <v>504</v>
      </c>
      <c r="G282" s="3">
        <f t="shared" si="13"/>
        <v>0.72023809523809523</v>
      </c>
      <c r="H282" s="3">
        <f t="shared" si="14"/>
        <v>0.27976190476190477</v>
      </c>
      <c r="I282" s="1" t="s">
        <v>129</v>
      </c>
    </row>
    <row r="283" spans="1:9" x14ac:dyDescent="0.2">
      <c r="A283" s="1" t="s">
        <v>83</v>
      </c>
      <c r="B283" s="1" t="s">
        <v>92</v>
      </c>
      <c r="C283" s="1" t="s">
        <v>383</v>
      </c>
      <c r="D283" s="2">
        <v>603</v>
      </c>
      <c r="E283" s="2">
        <v>219</v>
      </c>
      <c r="F283" s="2">
        <f t="shared" si="12"/>
        <v>822</v>
      </c>
      <c r="G283" s="3">
        <f t="shared" si="13"/>
        <v>0.73357664233576647</v>
      </c>
      <c r="H283" s="3">
        <f t="shared" si="14"/>
        <v>0.26642335766423358</v>
      </c>
      <c r="I283" s="1" t="s">
        <v>129</v>
      </c>
    </row>
    <row r="284" spans="1:9" x14ac:dyDescent="0.2">
      <c r="A284" s="1" t="s">
        <v>83</v>
      </c>
      <c r="B284" s="1" t="s">
        <v>92</v>
      </c>
      <c r="C284" s="1" t="s">
        <v>384</v>
      </c>
      <c r="D284" s="2">
        <v>679</v>
      </c>
      <c r="E284" s="2">
        <v>198</v>
      </c>
      <c r="F284" s="2">
        <f t="shared" si="12"/>
        <v>877</v>
      </c>
      <c r="G284" s="3">
        <f t="shared" si="13"/>
        <v>0.77423033067274805</v>
      </c>
      <c r="H284" s="3">
        <f t="shared" si="14"/>
        <v>0.22576966932725198</v>
      </c>
      <c r="I284" s="1" t="s">
        <v>129</v>
      </c>
    </row>
    <row r="285" spans="1:9" x14ac:dyDescent="0.2">
      <c r="A285" s="1" t="s">
        <v>83</v>
      </c>
      <c r="B285" s="1" t="s">
        <v>92</v>
      </c>
      <c r="C285" s="1" t="s">
        <v>385</v>
      </c>
      <c r="D285" s="2">
        <v>437</v>
      </c>
      <c r="E285" s="2">
        <v>196</v>
      </c>
      <c r="F285" s="2">
        <f t="shared" si="12"/>
        <v>633</v>
      </c>
      <c r="G285" s="3">
        <f t="shared" si="13"/>
        <v>0.69036334913112163</v>
      </c>
      <c r="H285" s="3">
        <f t="shared" si="14"/>
        <v>0.30963665086887837</v>
      </c>
      <c r="I285" s="1" t="s">
        <v>129</v>
      </c>
    </row>
    <row r="286" spans="1:9" x14ac:dyDescent="0.2">
      <c r="A286" s="1" t="s">
        <v>83</v>
      </c>
      <c r="B286" s="1" t="s">
        <v>92</v>
      </c>
      <c r="C286" s="1" t="s">
        <v>386</v>
      </c>
      <c r="D286" s="2">
        <v>335</v>
      </c>
      <c r="E286" s="2">
        <v>168</v>
      </c>
      <c r="F286" s="2">
        <f t="shared" si="12"/>
        <v>503</v>
      </c>
      <c r="G286" s="3">
        <f t="shared" si="13"/>
        <v>0.66600397614314111</v>
      </c>
      <c r="H286" s="3">
        <f t="shared" si="14"/>
        <v>0.33399602385685884</v>
      </c>
      <c r="I286" s="1" t="s">
        <v>129</v>
      </c>
    </row>
    <row r="287" spans="1:9" x14ac:dyDescent="0.2">
      <c r="A287" s="1" t="s">
        <v>83</v>
      </c>
      <c r="B287" s="1" t="s">
        <v>92</v>
      </c>
      <c r="C287" s="1" t="s">
        <v>387</v>
      </c>
      <c r="D287" s="2">
        <v>142</v>
      </c>
      <c r="E287" s="2">
        <v>53</v>
      </c>
      <c r="F287" s="2">
        <f t="shared" si="12"/>
        <v>195</v>
      </c>
      <c r="G287" s="3">
        <f t="shared" si="13"/>
        <v>0.72820512820512817</v>
      </c>
      <c r="H287" s="3">
        <f t="shared" si="14"/>
        <v>0.27179487179487177</v>
      </c>
      <c r="I287" s="1" t="s">
        <v>129</v>
      </c>
    </row>
    <row r="288" spans="1:9" x14ac:dyDescent="0.2">
      <c r="A288" s="1" t="s">
        <v>83</v>
      </c>
      <c r="B288" s="1" t="s">
        <v>92</v>
      </c>
      <c r="C288" s="1" t="s">
        <v>388</v>
      </c>
      <c r="D288" s="2">
        <v>244</v>
      </c>
      <c r="E288" s="2">
        <v>80</v>
      </c>
      <c r="F288" s="2">
        <f t="shared" si="12"/>
        <v>324</v>
      </c>
      <c r="G288" s="3">
        <f t="shared" si="13"/>
        <v>0.75308641975308643</v>
      </c>
      <c r="H288" s="3">
        <f t="shared" si="14"/>
        <v>0.24691358024691357</v>
      </c>
      <c r="I288" s="1" t="s">
        <v>129</v>
      </c>
    </row>
    <row r="289" spans="1:9" x14ac:dyDescent="0.2">
      <c r="A289" s="1" t="s">
        <v>83</v>
      </c>
      <c r="B289" s="1" t="s">
        <v>92</v>
      </c>
      <c r="C289" s="1" t="s">
        <v>389</v>
      </c>
      <c r="D289" s="2">
        <v>236</v>
      </c>
      <c r="E289" s="2">
        <v>108</v>
      </c>
      <c r="F289" s="2">
        <f t="shared" si="12"/>
        <v>344</v>
      </c>
      <c r="G289" s="3">
        <f t="shared" si="13"/>
        <v>0.68604651162790697</v>
      </c>
      <c r="H289" s="3">
        <f t="shared" si="14"/>
        <v>0.31395348837209303</v>
      </c>
      <c r="I289" s="1" t="s">
        <v>129</v>
      </c>
    </row>
    <row r="290" spans="1:9" x14ac:dyDescent="0.2">
      <c r="A290" s="1" t="s">
        <v>83</v>
      </c>
      <c r="B290" s="1" t="s">
        <v>92</v>
      </c>
      <c r="C290" s="1" t="s">
        <v>390</v>
      </c>
      <c r="D290" s="2">
        <v>477</v>
      </c>
      <c r="E290" s="2">
        <v>276</v>
      </c>
      <c r="F290" s="2">
        <f t="shared" si="12"/>
        <v>753</v>
      </c>
      <c r="G290" s="3">
        <f t="shared" si="13"/>
        <v>0.63346613545816732</v>
      </c>
      <c r="H290" s="3">
        <f t="shared" si="14"/>
        <v>0.36653386454183268</v>
      </c>
      <c r="I290" s="1" t="s">
        <v>129</v>
      </c>
    </row>
    <row r="291" spans="1:9" x14ac:dyDescent="0.2">
      <c r="A291" s="1" t="s">
        <v>83</v>
      </c>
      <c r="B291" s="1" t="s">
        <v>92</v>
      </c>
      <c r="C291" s="1" t="s">
        <v>391</v>
      </c>
      <c r="D291" s="2">
        <v>608</v>
      </c>
      <c r="E291" s="2">
        <v>293</v>
      </c>
      <c r="F291" s="2">
        <f t="shared" si="12"/>
        <v>901</v>
      </c>
      <c r="G291" s="3">
        <f t="shared" si="13"/>
        <v>0.67480577136514985</v>
      </c>
      <c r="H291" s="3">
        <f t="shared" si="14"/>
        <v>0.32519422863485015</v>
      </c>
      <c r="I291" s="1" t="s">
        <v>129</v>
      </c>
    </row>
    <row r="292" spans="1:9" x14ac:dyDescent="0.2">
      <c r="A292" s="1" t="s">
        <v>83</v>
      </c>
      <c r="B292" s="1" t="s">
        <v>93</v>
      </c>
      <c r="C292" s="1" t="s">
        <v>392</v>
      </c>
      <c r="D292" s="2">
        <v>742</v>
      </c>
      <c r="E292" s="2">
        <v>620</v>
      </c>
      <c r="F292" s="2">
        <f t="shared" si="12"/>
        <v>1362</v>
      </c>
      <c r="G292" s="3">
        <f t="shared" si="13"/>
        <v>0.54478707782672542</v>
      </c>
      <c r="H292" s="3">
        <f t="shared" si="14"/>
        <v>0.45521292217327458</v>
      </c>
      <c r="I292" s="1" t="s">
        <v>332</v>
      </c>
    </row>
    <row r="293" spans="1:9" x14ac:dyDescent="0.2">
      <c r="A293" s="1" t="s">
        <v>83</v>
      </c>
      <c r="B293" s="1" t="s">
        <v>93</v>
      </c>
      <c r="C293" s="1" t="s">
        <v>393</v>
      </c>
      <c r="D293" s="2">
        <v>597</v>
      </c>
      <c r="E293" s="2">
        <v>500</v>
      </c>
      <c r="F293" s="2">
        <f t="shared" si="12"/>
        <v>1097</v>
      </c>
      <c r="G293" s="3">
        <f t="shared" si="13"/>
        <v>0.54421148587055601</v>
      </c>
      <c r="H293" s="3">
        <f t="shared" si="14"/>
        <v>0.45578851412944393</v>
      </c>
      <c r="I293" s="1" t="s">
        <v>332</v>
      </c>
    </row>
    <row r="294" spans="1:9" x14ac:dyDescent="0.2">
      <c r="A294" s="1" t="s">
        <v>83</v>
      </c>
      <c r="B294" s="1" t="s">
        <v>93</v>
      </c>
      <c r="C294" s="1" t="s">
        <v>394</v>
      </c>
      <c r="D294" s="2">
        <v>615</v>
      </c>
      <c r="E294" s="2">
        <v>508</v>
      </c>
      <c r="F294" s="2">
        <f t="shared" si="12"/>
        <v>1123</v>
      </c>
      <c r="G294" s="3">
        <f t="shared" si="13"/>
        <v>0.54764024933214606</v>
      </c>
      <c r="H294" s="3">
        <f t="shared" si="14"/>
        <v>0.45235975066785394</v>
      </c>
      <c r="I294" s="1" t="s">
        <v>332</v>
      </c>
    </row>
    <row r="295" spans="1:9" x14ac:dyDescent="0.2">
      <c r="A295" s="1" t="s">
        <v>83</v>
      </c>
      <c r="B295" s="1" t="s">
        <v>93</v>
      </c>
      <c r="C295" s="1" t="s">
        <v>395</v>
      </c>
      <c r="D295" s="2">
        <v>636</v>
      </c>
      <c r="E295" s="2">
        <v>530</v>
      </c>
      <c r="F295" s="2">
        <f t="shared" si="12"/>
        <v>1166</v>
      </c>
      <c r="G295" s="3">
        <f t="shared" si="13"/>
        <v>0.54545454545454541</v>
      </c>
      <c r="H295" s="3">
        <f t="shared" si="14"/>
        <v>0.45454545454545453</v>
      </c>
      <c r="I295" s="1" t="s">
        <v>332</v>
      </c>
    </row>
    <row r="296" spans="1:9" x14ac:dyDescent="0.2">
      <c r="A296" s="1" t="s">
        <v>83</v>
      </c>
      <c r="B296" s="1" t="s">
        <v>93</v>
      </c>
      <c r="C296" s="1" t="s">
        <v>396</v>
      </c>
      <c r="D296" s="2">
        <v>589</v>
      </c>
      <c r="E296" s="2">
        <v>492</v>
      </c>
      <c r="F296" s="2">
        <f t="shared" si="12"/>
        <v>1081</v>
      </c>
      <c r="G296" s="3">
        <f t="shared" si="13"/>
        <v>0.54486586493987044</v>
      </c>
      <c r="H296" s="3">
        <f t="shared" si="14"/>
        <v>0.45513413506012951</v>
      </c>
      <c r="I296" s="1" t="s">
        <v>332</v>
      </c>
    </row>
    <row r="297" spans="1:9" x14ac:dyDescent="0.2">
      <c r="A297" s="1" t="s">
        <v>83</v>
      </c>
      <c r="B297" s="1" t="s">
        <v>93</v>
      </c>
      <c r="C297" s="1" t="s">
        <v>397</v>
      </c>
      <c r="D297" s="2">
        <v>654</v>
      </c>
      <c r="E297" s="2">
        <v>547</v>
      </c>
      <c r="F297" s="2">
        <f t="shared" si="12"/>
        <v>1201</v>
      </c>
      <c r="G297" s="3">
        <f t="shared" si="13"/>
        <v>0.54454621149042459</v>
      </c>
      <c r="H297" s="3">
        <f t="shared" si="14"/>
        <v>0.45545378850957535</v>
      </c>
      <c r="I297" s="1" t="s">
        <v>332</v>
      </c>
    </row>
    <row r="298" spans="1:9" x14ac:dyDescent="0.2">
      <c r="A298" s="1" t="s">
        <v>83</v>
      </c>
      <c r="B298" s="1" t="s">
        <v>93</v>
      </c>
      <c r="C298" s="1" t="s">
        <v>398</v>
      </c>
      <c r="D298" s="2">
        <v>623</v>
      </c>
      <c r="E298" s="2">
        <v>522</v>
      </c>
      <c r="F298" s="2">
        <f t="shared" si="12"/>
        <v>1145</v>
      </c>
      <c r="G298" s="3">
        <f t="shared" si="13"/>
        <v>0.54410480349344981</v>
      </c>
      <c r="H298" s="3">
        <f t="shared" si="14"/>
        <v>0.45589519650655019</v>
      </c>
      <c r="I298" s="1" t="s">
        <v>332</v>
      </c>
    </row>
    <row r="299" spans="1:9" x14ac:dyDescent="0.2">
      <c r="A299" s="1" t="s">
        <v>83</v>
      </c>
      <c r="B299" s="1" t="s">
        <v>94</v>
      </c>
      <c r="C299" s="1" t="s">
        <v>94</v>
      </c>
      <c r="D299" s="2">
        <v>498</v>
      </c>
      <c r="E299" s="2">
        <v>314</v>
      </c>
      <c r="F299" s="2">
        <f t="shared" si="12"/>
        <v>812</v>
      </c>
      <c r="G299" s="3">
        <f t="shared" si="13"/>
        <v>0.61330049261083741</v>
      </c>
      <c r="H299" s="3">
        <f t="shared" si="14"/>
        <v>0.38669950738916259</v>
      </c>
      <c r="I299" s="1" t="s">
        <v>129</v>
      </c>
    </row>
    <row r="300" spans="1:9" x14ac:dyDescent="0.2">
      <c r="A300" s="1" t="s">
        <v>83</v>
      </c>
      <c r="B300" s="1" t="s">
        <v>95</v>
      </c>
      <c r="C300" s="1" t="s">
        <v>95</v>
      </c>
      <c r="D300" s="2">
        <v>78</v>
      </c>
      <c r="E300" s="2">
        <v>66</v>
      </c>
      <c r="F300" s="2">
        <f t="shared" si="12"/>
        <v>144</v>
      </c>
      <c r="G300" s="3">
        <f t="shared" si="13"/>
        <v>0.54166666666666663</v>
      </c>
      <c r="H300" s="3">
        <f t="shared" si="14"/>
        <v>0.45833333333333331</v>
      </c>
      <c r="I300" s="1" t="s">
        <v>129</v>
      </c>
    </row>
    <row r="301" spans="1:9" x14ac:dyDescent="0.2">
      <c r="A301" s="1" t="s">
        <v>83</v>
      </c>
      <c r="B301" s="1" t="s">
        <v>62</v>
      </c>
      <c r="C301" s="1" t="s">
        <v>399</v>
      </c>
      <c r="D301" s="2">
        <v>796</v>
      </c>
      <c r="E301" s="2">
        <v>529</v>
      </c>
      <c r="F301" s="2">
        <f t="shared" si="12"/>
        <v>1325</v>
      </c>
      <c r="G301" s="3">
        <f t="shared" si="13"/>
        <v>0.60075471698113203</v>
      </c>
      <c r="H301" s="3">
        <f t="shared" si="14"/>
        <v>0.39924528301886791</v>
      </c>
      <c r="I301" s="1" t="s">
        <v>129</v>
      </c>
    </row>
    <row r="302" spans="1:9" x14ac:dyDescent="0.2">
      <c r="A302" s="1" t="s">
        <v>83</v>
      </c>
      <c r="B302" s="1" t="s">
        <v>62</v>
      </c>
      <c r="C302" s="1" t="s">
        <v>400</v>
      </c>
      <c r="D302" s="2">
        <v>764</v>
      </c>
      <c r="E302" s="2">
        <v>574</v>
      </c>
      <c r="F302" s="2">
        <f t="shared" si="12"/>
        <v>1338</v>
      </c>
      <c r="G302" s="3">
        <f t="shared" si="13"/>
        <v>0.57100149476831086</v>
      </c>
      <c r="H302" s="3">
        <f t="shared" si="14"/>
        <v>0.42899850523168909</v>
      </c>
      <c r="I302" s="1" t="s">
        <v>129</v>
      </c>
    </row>
    <row r="303" spans="1:9" x14ac:dyDescent="0.2">
      <c r="A303" s="1" t="s">
        <v>83</v>
      </c>
      <c r="B303" s="1" t="s">
        <v>62</v>
      </c>
      <c r="C303" s="1" t="s">
        <v>401</v>
      </c>
      <c r="D303" s="2">
        <v>385</v>
      </c>
      <c r="E303" s="2">
        <v>324</v>
      </c>
      <c r="F303" s="2">
        <f t="shared" si="12"/>
        <v>709</v>
      </c>
      <c r="G303" s="3">
        <f t="shared" si="13"/>
        <v>0.5430183356840621</v>
      </c>
      <c r="H303" s="3">
        <f t="shared" si="14"/>
        <v>0.45698166431593795</v>
      </c>
      <c r="I303" s="1" t="s">
        <v>129</v>
      </c>
    </row>
    <row r="304" spans="1:9" x14ac:dyDescent="0.2">
      <c r="A304" s="1" t="s">
        <v>83</v>
      </c>
      <c r="B304" s="1" t="s">
        <v>62</v>
      </c>
      <c r="C304" s="1" t="s">
        <v>402</v>
      </c>
      <c r="D304" s="2">
        <v>631</v>
      </c>
      <c r="E304" s="2">
        <v>524</v>
      </c>
      <c r="F304" s="2">
        <f t="shared" si="12"/>
        <v>1155</v>
      </c>
      <c r="G304" s="3">
        <f t="shared" si="13"/>
        <v>0.54632034632034632</v>
      </c>
      <c r="H304" s="3">
        <f t="shared" si="14"/>
        <v>0.45367965367965368</v>
      </c>
      <c r="I304" s="1" t="s">
        <v>129</v>
      </c>
    </row>
    <row r="305" spans="1:9" x14ac:dyDescent="0.2">
      <c r="A305" s="1" t="s">
        <v>83</v>
      </c>
      <c r="B305" s="1" t="s">
        <v>62</v>
      </c>
      <c r="C305" s="1" t="s">
        <v>403</v>
      </c>
      <c r="D305" s="2">
        <v>668</v>
      </c>
      <c r="E305" s="2">
        <v>513</v>
      </c>
      <c r="F305" s="2">
        <f t="shared" si="12"/>
        <v>1181</v>
      </c>
      <c r="G305" s="3">
        <f t="shared" si="13"/>
        <v>0.56562235393734128</v>
      </c>
      <c r="H305" s="3">
        <f t="shared" si="14"/>
        <v>0.43437764606265877</v>
      </c>
      <c r="I305" s="1" t="s">
        <v>129</v>
      </c>
    </row>
    <row r="306" spans="1:9" x14ac:dyDescent="0.2">
      <c r="A306" s="1" t="s">
        <v>83</v>
      </c>
      <c r="B306" s="1" t="s">
        <v>62</v>
      </c>
      <c r="C306" s="1" t="s">
        <v>404</v>
      </c>
      <c r="D306" s="2">
        <v>396</v>
      </c>
      <c r="E306" s="2">
        <v>319</v>
      </c>
      <c r="F306" s="2">
        <f t="shared" si="12"/>
        <v>715</v>
      </c>
      <c r="G306" s="3">
        <f t="shared" si="13"/>
        <v>0.55384615384615388</v>
      </c>
      <c r="H306" s="3">
        <f t="shared" si="14"/>
        <v>0.44615384615384618</v>
      </c>
      <c r="I306" s="1" t="s">
        <v>129</v>
      </c>
    </row>
    <row r="307" spans="1:9" x14ac:dyDescent="0.2">
      <c r="A307" s="1" t="s">
        <v>83</v>
      </c>
      <c r="B307" s="1" t="s">
        <v>96</v>
      </c>
      <c r="C307" s="1" t="s">
        <v>405</v>
      </c>
      <c r="D307" s="2">
        <v>455</v>
      </c>
      <c r="E307" s="2">
        <v>433</v>
      </c>
      <c r="F307" s="2">
        <f t="shared" si="12"/>
        <v>888</v>
      </c>
      <c r="G307" s="3">
        <f t="shared" si="13"/>
        <v>0.51238738738738743</v>
      </c>
      <c r="H307" s="3">
        <f t="shared" si="14"/>
        <v>0.48761261261261263</v>
      </c>
      <c r="I307" s="1" t="s">
        <v>129</v>
      </c>
    </row>
    <row r="308" spans="1:9" x14ac:dyDescent="0.2">
      <c r="A308" s="1" t="s">
        <v>83</v>
      </c>
      <c r="B308" s="1" t="s">
        <v>96</v>
      </c>
      <c r="C308" s="1" t="s">
        <v>406</v>
      </c>
      <c r="D308" s="2">
        <v>373</v>
      </c>
      <c r="E308" s="2">
        <v>333</v>
      </c>
      <c r="F308" s="2">
        <f t="shared" si="12"/>
        <v>706</v>
      </c>
      <c r="G308" s="3">
        <f t="shared" si="13"/>
        <v>0.52832861189801694</v>
      </c>
      <c r="H308" s="3">
        <f t="shared" si="14"/>
        <v>0.471671388101983</v>
      </c>
      <c r="I308" s="1" t="s">
        <v>129</v>
      </c>
    </row>
    <row r="309" spans="1:9" x14ac:dyDescent="0.2">
      <c r="A309" s="1" t="s">
        <v>83</v>
      </c>
      <c r="B309" s="1" t="s">
        <v>96</v>
      </c>
      <c r="C309" s="1" t="s">
        <v>407</v>
      </c>
      <c r="D309" s="2">
        <v>557</v>
      </c>
      <c r="E309" s="2">
        <v>477</v>
      </c>
      <c r="F309" s="2">
        <f t="shared" si="12"/>
        <v>1034</v>
      </c>
      <c r="G309" s="3">
        <f t="shared" si="13"/>
        <v>0.53868471953578334</v>
      </c>
      <c r="H309" s="3">
        <f t="shared" si="14"/>
        <v>0.46131528046421666</v>
      </c>
      <c r="I309" s="1" t="s">
        <v>129</v>
      </c>
    </row>
    <row r="310" spans="1:9" x14ac:dyDescent="0.2">
      <c r="A310" s="1" t="s">
        <v>83</v>
      </c>
      <c r="B310" s="1" t="s">
        <v>97</v>
      </c>
      <c r="C310" s="1" t="s">
        <v>408</v>
      </c>
      <c r="D310" s="2">
        <v>472</v>
      </c>
      <c r="E310" s="2">
        <v>847</v>
      </c>
      <c r="F310" s="2">
        <f t="shared" si="12"/>
        <v>1319</v>
      </c>
      <c r="G310" s="3">
        <f t="shared" si="13"/>
        <v>0.35784685367702807</v>
      </c>
      <c r="H310" s="3">
        <f t="shared" si="14"/>
        <v>0.64215314632297193</v>
      </c>
      <c r="I310" s="1" t="s">
        <v>129</v>
      </c>
    </row>
    <row r="311" spans="1:9" x14ac:dyDescent="0.2">
      <c r="A311" s="1" t="s">
        <v>83</v>
      </c>
      <c r="B311" s="1" t="s">
        <v>97</v>
      </c>
      <c r="C311" s="1" t="s">
        <v>409</v>
      </c>
      <c r="D311" s="2">
        <v>536</v>
      </c>
      <c r="E311" s="2">
        <v>963</v>
      </c>
      <c r="F311" s="2">
        <f t="shared" si="12"/>
        <v>1499</v>
      </c>
      <c r="G311" s="3">
        <f t="shared" si="13"/>
        <v>0.35757171447631753</v>
      </c>
      <c r="H311" s="3">
        <f t="shared" si="14"/>
        <v>0.64242828552368247</v>
      </c>
      <c r="I311" s="1" t="s">
        <v>129</v>
      </c>
    </row>
    <row r="312" spans="1:9" x14ac:dyDescent="0.2">
      <c r="A312" s="1" t="s">
        <v>83</v>
      </c>
      <c r="B312" s="1" t="s">
        <v>97</v>
      </c>
      <c r="C312" s="1" t="s">
        <v>410</v>
      </c>
      <c r="D312" s="2">
        <v>179</v>
      </c>
      <c r="E312" s="2">
        <v>355</v>
      </c>
      <c r="F312" s="2">
        <f t="shared" si="12"/>
        <v>534</v>
      </c>
      <c r="G312" s="3">
        <f t="shared" si="13"/>
        <v>0.33520599250936328</v>
      </c>
      <c r="H312" s="3">
        <f t="shared" si="14"/>
        <v>0.66479400749063666</v>
      </c>
      <c r="I312" s="1" t="s">
        <v>129</v>
      </c>
    </row>
    <row r="313" spans="1:9" x14ac:dyDescent="0.2">
      <c r="A313" s="1" t="s">
        <v>83</v>
      </c>
      <c r="B313" s="1" t="s">
        <v>97</v>
      </c>
      <c r="C313" s="1" t="s">
        <v>411</v>
      </c>
      <c r="D313" s="2">
        <v>419</v>
      </c>
      <c r="E313" s="2">
        <v>747</v>
      </c>
      <c r="F313" s="2">
        <f t="shared" si="12"/>
        <v>1166</v>
      </c>
      <c r="G313" s="3">
        <f t="shared" si="13"/>
        <v>0.35934819897084047</v>
      </c>
      <c r="H313" s="3">
        <f t="shared" si="14"/>
        <v>0.64065180102915953</v>
      </c>
      <c r="I313" s="1" t="s">
        <v>129</v>
      </c>
    </row>
    <row r="314" spans="1:9" x14ac:dyDescent="0.2">
      <c r="A314" s="1" t="s">
        <v>83</v>
      </c>
      <c r="B314" s="1" t="s">
        <v>97</v>
      </c>
      <c r="C314" s="1" t="s">
        <v>412</v>
      </c>
      <c r="D314" s="2">
        <v>310</v>
      </c>
      <c r="E314" s="2">
        <v>512</v>
      </c>
      <c r="F314" s="2">
        <f t="shared" si="12"/>
        <v>822</v>
      </c>
      <c r="G314" s="3">
        <f t="shared" si="13"/>
        <v>0.37712895377128952</v>
      </c>
      <c r="H314" s="3">
        <f t="shared" si="14"/>
        <v>0.62287104622871048</v>
      </c>
      <c r="I314" s="1" t="s">
        <v>129</v>
      </c>
    </row>
    <row r="315" spans="1:9" x14ac:dyDescent="0.2">
      <c r="A315" s="1" t="s">
        <v>83</v>
      </c>
      <c r="B315" s="1" t="s">
        <v>98</v>
      </c>
      <c r="C315" s="1" t="s">
        <v>413</v>
      </c>
      <c r="D315" s="2">
        <v>217</v>
      </c>
      <c r="E315" s="2">
        <v>331</v>
      </c>
      <c r="F315" s="2">
        <f t="shared" si="12"/>
        <v>548</v>
      </c>
      <c r="G315" s="3">
        <f t="shared" si="13"/>
        <v>0.395985401459854</v>
      </c>
      <c r="H315" s="3">
        <f t="shared" si="14"/>
        <v>0.60401459854014594</v>
      </c>
      <c r="I315" s="1" t="s">
        <v>129</v>
      </c>
    </row>
    <row r="316" spans="1:9" x14ac:dyDescent="0.2">
      <c r="A316" s="1" t="s">
        <v>83</v>
      </c>
      <c r="B316" s="1" t="s">
        <v>98</v>
      </c>
      <c r="C316" s="1" t="s">
        <v>414</v>
      </c>
      <c r="D316" s="2">
        <v>306</v>
      </c>
      <c r="E316" s="2">
        <v>584</v>
      </c>
      <c r="F316" s="2">
        <f t="shared" si="12"/>
        <v>890</v>
      </c>
      <c r="G316" s="3">
        <f t="shared" si="13"/>
        <v>0.34382022471910112</v>
      </c>
      <c r="H316" s="3">
        <f t="shared" si="14"/>
        <v>0.65617977528089888</v>
      </c>
      <c r="I316" s="1" t="s">
        <v>129</v>
      </c>
    </row>
    <row r="317" spans="1:9" x14ac:dyDescent="0.2">
      <c r="A317" s="1" t="s">
        <v>83</v>
      </c>
      <c r="B317" s="1" t="s">
        <v>99</v>
      </c>
      <c r="C317" s="1" t="s">
        <v>415</v>
      </c>
      <c r="D317" s="2">
        <v>216</v>
      </c>
      <c r="E317" s="2">
        <v>234</v>
      </c>
      <c r="F317" s="2">
        <f t="shared" si="12"/>
        <v>450</v>
      </c>
      <c r="G317" s="3">
        <f t="shared" si="13"/>
        <v>0.48</v>
      </c>
      <c r="H317" s="3">
        <f t="shared" si="14"/>
        <v>0.52</v>
      </c>
      <c r="I317" s="1" t="s">
        <v>332</v>
      </c>
    </row>
    <row r="318" spans="1:9" x14ac:dyDescent="0.2">
      <c r="A318" s="1" t="s">
        <v>83</v>
      </c>
      <c r="B318" s="1" t="s">
        <v>99</v>
      </c>
      <c r="C318" s="1" t="s">
        <v>416</v>
      </c>
      <c r="D318" s="2">
        <v>555</v>
      </c>
      <c r="E318" s="2">
        <v>599</v>
      </c>
      <c r="F318" s="2">
        <f t="shared" si="12"/>
        <v>1154</v>
      </c>
      <c r="G318" s="3">
        <f t="shared" si="13"/>
        <v>0.48093587521663778</v>
      </c>
      <c r="H318" s="3">
        <f t="shared" si="14"/>
        <v>0.51906412478336217</v>
      </c>
      <c r="I318" s="1" t="s">
        <v>332</v>
      </c>
    </row>
    <row r="319" spans="1:9" x14ac:dyDescent="0.2">
      <c r="A319" s="1" t="s">
        <v>83</v>
      </c>
      <c r="B319" s="1" t="s">
        <v>99</v>
      </c>
      <c r="C319" s="1" t="s">
        <v>417</v>
      </c>
      <c r="D319" s="2">
        <v>478</v>
      </c>
      <c r="E319" s="2">
        <v>519</v>
      </c>
      <c r="F319" s="2">
        <f t="shared" si="12"/>
        <v>997</v>
      </c>
      <c r="G319" s="3">
        <f t="shared" si="13"/>
        <v>0.47943831494483452</v>
      </c>
      <c r="H319" s="3">
        <f t="shared" si="14"/>
        <v>0.52056168505516554</v>
      </c>
      <c r="I319" s="1" t="s">
        <v>332</v>
      </c>
    </row>
    <row r="320" spans="1:9" x14ac:dyDescent="0.2">
      <c r="A320" s="1" t="s">
        <v>83</v>
      </c>
      <c r="B320" s="1" t="s">
        <v>99</v>
      </c>
      <c r="C320" s="1" t="s">
        <v>418</v>
      </c>
      <c r="D320" s="2">
        <v>536</v>
      </c>
      <c r="E320" s="2">
        <v>585</v>
      </c>
      <c r="F320" s="2">
        <f t="shared" si="12"/>
        <v>1121</v>
      </c>
      <c r="G320" s="3">
        <f t="shared" si="13"/>
        <v>0.47814451382694023</v>
      </c>
      <c r="H320" s="3">
        <f t="shared" si="14"/>
        <v>0.52185548617305977</v>
      </c>
      <c r="I320" s="1" t="s">
        <v>332</v>
      </c>
    </row>
    <row r="321" spans="1:9" x14ac:dyDescent="0.2">
      <c r="A321" s="1" t="s">
        <v>83</v>
      </c>
      <c r="B321" s="1" t="s">
        <v>100</v>
      </c>
      <c r="C321" s="1" t="s">
        <v>419</v>
      </c>
      <c r="D321" s="2">
        <v>503</v>
      </c>
      <c r="E321" s="2">
        <v>419</v>
      </c>
      <c r="F321" s="2">
        <f t="shared" si="12"/>
        <v>922</v>
      </c>
      <c r="G321" s="3">
        <f t="shared" si="13"/>
        <v>0.54555314533622556</v>
      </c>
      <c r="H321" s="3">
        <f t="shared" si="14"/>
        <v>0.45444685466377438</v>
      </c>
      <c r="I321" s="1" t="s">
        <v>129</v>
      </c>
    </row>
    <row r="322" spans="1:9" x14ac:dyDescent="0.2">
      <c r="A322" s="1" t="s">
        <v>83</v>
      </c>
      <c r="B322" s="1" t="s">
        <v>100</v>
      </c>
      <c r="C322" s="1" t="s">
        <v>420</v>
      </c>
      <c r="D322" s="2">
        <v>548</v>
      </c>
      <c r="E322" s="2">
        <v>674</v>
      </c>
      <c r="F322" s="2">
        <f t="shared" si="12"/>
        <v>1222</v>
      </c>
      <c r="G322" s="3">
        <f t="shared" si="13"/>
        <v>0.44844517184942717</v>
      </c>
      <c r="H322" s="3">
        <f t="shared" si="14"/>
        <v>0.55155482815057288</v>
      </c>
      <c r="I322" s="1" t="s">
        <v>129</v>
      </c>
    </row>
    <row r="323" spans="1:9" x14ac:dyDescent="0.2">
      <c r="A323" s="1" t="s">
        <v>83</v>
      </c>
      <c r="B323" s="1" t="s">
        <v>100</v>
      </c>
      <c r="C323" s="1" t="s">
        <v>421</v>
      </c>
      <c r="D323" s="2">
        <v>342</v>
      </c>
      <c r="E323" s="2">
        <v>428</v>
      </c>
      <c r="F323" s="2">
        <f t="shared" si="12"/>
        <v>770</v>
      </c>
      <c r="G323" s="3">
        <f t="shared" si="13"/>
        <v>0.44415584415584414</v>
      </c>
      <c r="H323" s="3">
        <f t="shared" si="14"/>
        <v>0.55584415584415581</v>
      </c>
      <c r="I323" s="1" t="s">
        <v>129</v>
      </c>
    </row>
    <row r="324" spans="1:9" x14ac:dyDescent="0.2">
      <c r="A324" s="1" t="s">
        <v>83</v>
      </c>
      <c r="B324" s="1" t="s">
        <v>100</v>
      </c>
      <c r="C324" s="1" t="s">
        <v>422</v>
      </c>
      <c r="D324" s="2">
        <v>401</v>
      </c>
      <c r="E324" s="2">
        <v>339</v>
      </c>
      <c r="F324" s="2">
        <f t="shared" si="12"/>
        <v>740</v>
      </c>
      <c r="G324" s="3">
        <f t="shared" si="13"/>
        <v>0.54189189189189191</v>
      </c>
      <c r="H324" s="3">
        <f t="shared" si="14"/>
        <v>0.45810810810810809</v>
      </c>
      <c r="I324" s="1" t="s">
        <v>129</v>
      </c>
    </row>
    <row r="325" spans="1:9" x14ac:dyDescent="0.2">
      <c r="A325" s="1" t="s">
        <v>83</v>
      </c>
      <c r="B325" s="1" t="s">
        <v>100</v>
      </c>
      <c r="C325" s="1" t="s">
        <v>423</v>
      </c>
      <c r="D325" s="2">
        <v>374</v>
      </c>
      <c r="E325" s="2">
        <v>472</v>
      </c>
      <c r="F325" s="2">
        <f t="shared" si="12"/>
        <v>846</v>
      </c>
      <c r="G325" s="3">
        <f t="shared" si="13"/>
        <v>0.44208037825059104</v>
      </c>
      <c r="H325" s="3">
        <f t="shared" si="14"/>
        <v>0.55791962174940901</v>
      </c>
      <c r="I325" s="1" t="s">
        <v>129</v>
      </c>
    </row>
    <row r="326" spans="1:9" x14ac:dyDescent="0.2">
      <c r="A326" s="1" t="s">
        <v>83</v>
      </c>
      <c r="B326" s="1" t="s">
        <v>100</v>
      </c>
      <c r="C326" s="1" t="s">
        <v>424</v>
      </c>
      <c r="D326" s="2">
        <v>790</v>
      </c>
      <c r="E326" s="2">
        <v>635</v>
      </c>
      <c r="F326" s="2">
        <f t="shared" si="12"/>
        <v>1425</v>
      </c>
      <c r="G326" s="3">
        <f t="shared" si="13"/>
        <v>0.55438596491228065</v>
      </c>
      <c r="H326" s="3">
        <f t="shared" si="14"/>
        <v>0.4456140350877193</v>
      </c>
      <c r="I326" s="1" t="s">
        <v>129</v>
      </c>
    </row>
    <row r="327" spans="1:9" x14ac:dyDescent="0.2">
      <c r="A327" s="1" t="s">
        <v>83</v>
      </c>
      <c r="B327" s="1" t="s">
        <v>101</v>
      </c>
      <c r="C327" s="1" t="s">
        <v>425</v>
      </c>
      <c r="D327" s="2">
        <v>354</v>
      </c>
      <c r="E327" s="2">
        <v>614</v>
      </c>
      <c r="F327" s="2">
        <f t="shared" si="12"/>
        <v>968</v>
      </c>
      <c r="G327" s="3">
        <f t="shared" si="13"/>
        <v>0.36570247933884298</v>
      </c>
      <c r="H327" s="3">
        <f t="shared" si="14"/>
        <v>0.63429752066115708</v>
      </c>
      <c r="I327" s="1" t="s">
        <v>129</v>
      </c>
    </row>
    <row r="328" spans="1:9" x14ac:dyDescent="0.2">
      <c r="A328" s="1" t="s">
        <v>83</v>
      </c>
      <c r="B328" s="1" t="s">
        <v>101</v>
      </c>
      <c r="C328" s="1" t="s">
        <v>426</v>
      </c>
      <c r="D328" s="2">
        <v>672</v>
      </c>
      <c r="E328" s="2">
        <v>1189</v>
      </c>
      <c r="F328" s="2">
        <f t="shared" si="12"/>
        <v>1861</v>
      </c>
      <c r="G328" s="3">
        <f t="shared" si="13"/>
        <v>0.36109618484685652</v>
      </c>
      <c r="H328" s="3">
        <f t="shared" si="14"/>
        <v>0.63890381515314343</v>
      </c>
      <c r="I328" s="1" t="s">
        <v>129</v>
      </c>
    </row>
    <row r="329" spans="1:9" x14ac:dyDescent="0.2">
      <c r="A329" s="1" t="s">
        <v>83</v>
      </c>
      <c r="B329" s="1" t="s">
        <v>101</v>
      </c>
      <c r="C329" s="1" t="s">
        <v>427</v>
      </c>
      <c r="D329" s="2">
        <v>473</v>
      </c>
      <c r="E329" s="2">
        <v>922</v>
      </c>
      <c r="F329" s="2">
        <f t="shared" si="12"/>
        <v>1395</v>
      </c>
      <c r="G329" s="3">
        <f t="shared" si="13"/>
        <v>0.33906810035842294</v>
      </c>
      <c r="H329" s="3">
        <f t="shared" si="14"/>
        <v>0.66093189964157706</v>
      </c>
      <c r="I329" s="1" t="s">
        <v>129</v>
      </c>
    </row>
    <row r="330" spans="1:9" x14ac:dyDescent="0.2">
      <c r="A330" s="1" t="s">
        <v>83</v>
      </c>
      <c r="B330" s="1" t="s">
        <v>101</v>
      </c>
      <c r="C330" s="1" t="s">
        <v>428</v>
      </c>
      <c r="D330" s="2">
        <v>213</v>
      </c>
      <c r="E330" s="2">
        <v>411</v>
      </c>
      <c r="F330" s="2">
        <f t="shared" si="12"/>
        <v>624</v>
      </c>
      <c r="G330" s="3">
        <f t="shared" si="13"/>
        <v>0.34134615384615385</v>
      </c>
      <c r="H330" s="3">
        <f t="shared" si="14"/>
        <v>0.65865384615384615</v>
      </c>
      <c r="I330" s="1" t="s">
        <v>129</v>
      </c>
    </row>
    <row r="331" spans="1:9" x14ac:dyDescent="0.2">
      <c r="A331" s="1" t="s">
        <v>83</v>
      </c>
      <c r="B331" s="1" t="s">
        <v>102</v>
      </c>
      <c r="C331" s="1" t="s">
        <v>429</v>
      </c>
      <c r="D331" s="2">
        <v>515</v>
      </c>
      <c r="E331" s="2">
        <v>485</v>
      </c>
      <c r="F331" s="2">
        <f t="shared" si="12"/>
        <v>1000</v>
      </c>
      <c r="G331" s="3">
        <f t="shared" si="13"/>
        <v>0.51500000000000001</v>
      </c>
      <c r="H331" s="3">
        <f t="shared" si="14"/>
        <v>0.48499999999999999</v>
      </c>
      <c r="I331" s="1" t="s">
        <v>129</v>
      </c>
    </row>
    <row r="332" spans="1:9" x14ac:dyDescent="0.2">
      <c r="A332" s="1" t="s">
        <v>83</v>
      </c>
      <c r="B332" s="1" t="s">
        <v>102</v>
      </c>
      <c r="C332" s="1" t="s">
        <v>430</v>
      </c>
      <c r="D332" s="2">
        <v>398</v>
      </c>
      <c r="E332" s="2">
        <v>375</v>
      </c>
      <c r="F332" s="2">
        <f t="shared" ref="F332:F395" si="15">IF(COUNTA(D332:E332)=0,"",SUM(D332:E332))</f>
        <v>773</v>
      </c>
      <c r="G332" s="3">
        <f t="shared" ref="G332:G395" si="16">IF(OR(F332="",F332=0),"",D332/F332)</f>
        <v>0.51487710219922378</v>
      </c>
      <c r="H332" s="3">
        <f t="shared" ref="H332:H381" si="17">IF(OR(F332="",F332=0),"",E332/F332)</f>
        <v>0.48512289780077622</v>
      </c>
      <c r="I332" s="1" t="s">
        <v>129</v>
      </c>
    </row>
    <row r="333" spans="1:9" x14ac:dyDescent="0.2">
      <c r="A333" s="1" t="s">
        <v>83</v>
      </c>
      <c r="B333" s="1" t="s">
        <v>102</v>
      </c>
      <c r="C333" s="1" t="s">
        <v>431</v>
      </c>
      <c r="D333" s="2">
        <v>370</v>
      </c>
      <c r="E333" s="2">
        <v>372</v>
      </c>
      <c r="F333" s="2">
        <f t="shared" si="15"/>
        <v>742</v>
      </c>
      <c r="G333" s="3">
        <f t="shared" si="16"/>
        <v>0.49865229110512127</v>
      </c>
      <c r="H333" s="3">
        <f t="shared" si="17"/>
        <v>0.50134770889487867</v>
      </c>
      <c r="I333" s="1" t="s">
        <v>129</v>
      </c>
    </row>
    <row r="334" spans="1:9" x14ac:dyDescent="0.2">
      <c r="A334" s="1" t="s">
        <v>83</v>
      </c>
      <c r="B334" s="1" t="s">
        <v>103</v>
      </c>
      <c r="C334" s="1" t="s">
        <v>432</v>
      </c>
      <c r="D334" s="2">
        <v>187</v>
      </c>
      <c r="E334" s="2">
        <v>206</v>
      </c>
      <c r="F334" s="2">
        <f t="shared" si="15"/>
        <v>393</v>
      </c>
      <c r="G334" s="3">
        <f t="shared" si="16"/>
        <v>0.4758269720101781</v>
      </c>
      <c r="H334" s="3">
        <f t="shared" si="17"/>
        <v>0.5241730279898219</v>
      </c>
      <c r="I334" s="1" t="s">
        <v>129</v>
      </c>
    </row>
    <row r="335" spans="1:9" x14ac:dyDescent="0.2">
      <c r="A335" s="1" t="s">
        <v>83</v>
      </c>
      <c r="B335" s="1" t="s">
        <v>103</v>
      </c>
      <c r="C335" s="1" t="s">
        <v>433</v>
      </c>
      <c r="D335" s="2">
        <v>546</v>
      </c>
      <c r="E335" s="2">
        <v>489</v>
      </c>
      <c r="F335" s="2">
        <f t="shared" si="15"/>
        <v>1035</v>
      </c>
      <c r="G335" s="3">
        <f t="shared" si="16"/>
        <v>0.52753623188405796</v>
      </c>
      <c r="H335" s="3">
        <f t="shared" si="17"/>
        <v>0.47246376811594204</v>
      </c>
      <c r="I335" s="1" t="s">
        <v>129</v>
      </c>
    </row>
    <row r="336" spans="1:9" x14ac:dyDescent="0.2">
      <c r="A336" s="1" t="s">
        <v>83</v>
      </c>
      <c r="B336" s="1" t="s">
        <v>104</v>
      </c>
      <c r="C336" s="1" t="s">
        <v>434</v>
      </c>
      <c r="D336" s="2">
        <v>498</v>
      </c>
      <c r="E336" s="2">
        <v>520</v>
      </c>
      <c r="F336" s="2">
        <f t="shared" si="15"/>
        <v>1018</v>
      </c>
      <c r="G336" s="3">
        <f t="shared" si="16"/>
        <v>0.48919449901768175</v>
      </c>
      <c r="H336" s="3">
        <f t="shared" si="17"/>
        <v>0.51080550098231825</v>
      </c>
      <c r="I336" s="1" t="s">
        <v>129</v>
      </c>
    </row>
    <row r="337" spans="1:9" x14ac:dyDescent="0.2">
      <c r="A337" s="1" t="s">
        <v>83</v>
      </c>
      <c r="B337" s="1" t="s">
        <v>104</v>
      </c>
      <c r="C337" s="1" t="s">
        <v>435</v>
      </c>
      <c r="D337" s="2">
        <v>457</v>
      </c>
      <c r="E337" s="2">
        <v>452</v>
      </c>
      <c r="F337" s="2">
        <f t="shared" si="15"/>
        <v>909</v>
      </c>
      <c r="G337" s="3">
        <f t="shared" si="16"/>
        <v>0.5027502750275028</v>
      </c>
      <c r="H337" s="3">
        <f t="shared" si="17"/>
        <v>0.49724972497249725</v>
      </c>
      <c r="I337" s="1" t="s">
        <v>129</v>
      </c>
    </row>
    <row r="338" spans="1:9" x14ac:dyDescent="0.2">
      <c r="A338" s="1" t="s">
        <v>83</v>
      </c>
      <c r="B338" s="1" t="s">
        <v>104</v>
      </c>
      <c r="C338" s="1" t="s">
        <v>436</v>
      </c>
      <c r="D338" s="2">
        <v>891</v>
      </c>
      <c r="E338" s="2">
        <v>963</v>
      </c>
      <c r="F338" s="2">
        <f t="shared" si="15"/>
        <v>1854</v>
      </c>
      <c r="G338" s="3">
        <f t="shared" si="16"/>
        <v>0.48058252427184467</v>
      </c>
      <c r="H338" s="3">
        <f t="shared" si="17"/>
        <v>0.51941747572815533</v>
      </c>
      <c r="I338" s="1" t="s">
        <v>129</v>
      </c>
    </row>
    <row r="339" spans="1:9" x14ac:dyDescent="0.2">
      <c r="A339" s="1" t="s">
        <v>83</v>
      </c>
      <c r="B339" s="1" t="s">
        <v>104</v>
      </c>
      <c r="C339" s="1" t="s">
        <v>437</v>
      </c>
      <c r="D339" s="2">
        <v>173</v>
      </c>
      <c r="E339" s="2">
        <v>210</v>
      </c>
      <c r="F339" s="2">
        <f t="shared" si="15"/>
        <v>383</v>
      </c>
      <c r="G339" s="3">
        <f t="shared" si="16"/>
        <v>0.4516971279373368</v>
      </c>
      <c r="H339" s="3">
        <f t="shared" si="17"/>
        <v>0.54830287206266315</v>
      </c>
      <c r="I339" s="1" t="s">
        <v>129</v>
      </c>
    </row>
    <row r="340" spans="1:9" x14ac:dyDescent="0.2">
      <c r="A340" s="1" t="s">
        <v>83</v>
      </c>
      <c r="B340" s="1" t="s">
        <v>105</v>
      </c>
      <c r="C340" s="1" t="s">
        <v>438</v>
      </c>
      <c r="D340" s="2">
        <v>696</v>
      </c>
      <c r="E340" s="2">
        <v>585</v>
      </c>
      <c r="F340" s="2">
        <f t="shared" si="15"/>
        <v>1281</v>
      </c>
      <c r="G340" s="3">
        <f t="shared" si="16"/>
        <v>0.54332552693208436</v>
      </c>
      <c r="H340" s="3">
        <f t="shared" si="17"/>
        <v>0.4566744730679157</v>
      </c>
      <c r="I340" s="1" t="s">
        <v>332</v>
      </c>
    </row>
    <row r="341" spans="1:9" x14ac:dyDescent="0.2">
      <c r="A341" s="1" t="s">
        <v>83</v>
      </c>
      <c r="B341" s="1" t="s">
        <v>105</v>
      </c>
      <c r="C341" s="1" t="s">
        <v>439</v>
      </c>
      <c r="D341" s="2">
        <v>415</v>
      </c>
      <c r="E341" s="2">
        <v>345</v>
      </c>
      <c r="F341" s="2">
        <f t="shared" si="15"/>
        <v>760</v>
      </c>
      <c r="G341" s="3">
        <f t="shared" si="16"/>
        <v>0.54605263157894735</v>
      </c>
      <c r="H341" s="3">
        <f t="shared" si="17"/>
        <v>0.45394736842105265</v>
      </c>
      <c r="I341" s="1" t="s">
        <v>332</v>
      </c>
    </row>
    <row r="342" spans="1:9" x14ac:dyDescent="0.2">
      <c r="A342" s="1" t="s">
        <v>83</v>
      </c>
      <c r="B342" s="1" t="s">
        <v>105</v>
      </c>
      <c r="C342" s="1" t="s">
        <v>440</v>
      </c>
      <c r="D342" s="2">
        <v>648</v>
      </c>
      <c r="E342" s="2">
        <v>544</v>
      </c>
      <c r="F342" s="2">
        <f t="shared" si="15"/>
        <v>1192</v>
      </c>
      <c r="G342" s="3">
        <f t="shared" si="16"/>
        <v>0.5436241610738255</v>
      </c>
      <c r="H342" s="3">
        <f t="shared" si="17"/>
        <v>0.4563758389261745</v>
      </c>
      <c r="I342" s="1" t="s">
        <v>332</v>
      </c>
    </row>
    <row r="343" spans="1:9" x14ac:dyDescent="0.2">
      <c r="A343" s="1" t="s">
        <v>83</v>
      </c>
      <c r="B343" s="1" t="s">
        <v>105</v>
      </c>
      <c r="C343" s="1" t="s">
        <v>441</v>
      </c>
      <c r="D343" s="2">
        <v>751</v>
      </c>
      <c r="E343" s="2">
        <v>627</v>
      </c>
      <c r="F343" s="2">
        <f t="shared" si="15"/>
        <v>1378</v>
      </c>
      <c r="G343" s="3">
        <f t="shared" si="16"/>
        <v>0.54499274310595069</v>
      </c>
      <c r="H343" s="3">
        <f t="shared" si="17"/>
        <v>0.45500725689404936</v>
      </c>
      <c r="I343" s="1" t="s">
        <v>332</v>
      </c>
    </row>
    <row r="344" spans="1:9" x14ac:dyDescent="0.2">
      <c r="A344" s="1" t="s">
        <v>83</v>
      </c>
      <c r="B344" s="1" t="s">
        <v>105</v>
      </c>
      <c r="C344" s="1" t="s">
        <v>442</v>
      </c>
      <c r="D344" s="2">
        <v>742</v>
      </c>
      <c r="E344" s="2">
        <v>622</v>
      </c>
      <c r="F344" s="2">
        <f t="shared" si="15"/>
        <v>1364</v>
      </c>
      <c r="G344" s="3">
        <f t="shared" si="16"/>
        <v>0.54398826979472137</v>
      </c>
      <c r="H344" s="3">
        <f t="shared" si="17"/>
        <v>0.45601173020527858</v>
      </c>
      <c r="I344" s="1" t="s">
        <v>332</v>
      </c>
    </row>
    <row r="345" spans="1:9" x14ac:dyDescent="0.2">
      <c r="A345" s="1" t="s">
        <v>83</v>
      </c>
      <c r="B345" s="1" t="s">
        <v>105</v>
      </c>
      <c r="C345" s="1" t="s">
        <v>443</v>
      </c>
      <c r="D345" s="2">
        <v>673</v>
      </c>
      <c r="E345" s="2">
        <v>569</v>
      </c>
      <c r="F345" s="2">
        <f t="shared" si="15"/>
        <v>1242</v>
      </c>
      <c r="G345" s="3">
        <f t="shared" si="16"/>
        <v>0.54186795491143314</v>
      </c>
      <c r="H345" s="3">
        <f t="shared" si="17"/>
        <v>0.45813204508856681</v>
      </c>
      <c r="I345" s="1" t="s">
        <v>332</v>
      </c>
    </row>
    <row r="346" spans="1:9" x14ac:dyDescent="0.2">
      <c r="A346" s="1" t="s">
        <v>83</v>
      </c>
      <c r="B346" s="1" t="s">
        <v>105</v>
      </c>
      <c r="C346" s="1" t="s">
        <v>444</v>
      </c>
      <c r="D346" s="2">
        <v>577</v>
      </c>
      <c r="E346" s="2">
        <v>481</v>
      </c>
      <c r="F346" s="2">
        <f t="shared" si="15"/>
        <v>1058</v>
      </c>
      <c r="G346" s="3">
        <f t="shared" si="16"/>
        <v>0.54536862003780717</v>
      </c>
      <c r="H346" s="3">
        <f t="shared" si="17"/>
        <v>0.45463137996219283</v>
      </c>
      <c r="I346" s="1" t="s">
        <v>332</v>
      </c>
    </row>
    <row r="347" spans="1:9" x14ac:dyDescent="0.2">
      <c r="A347" s="1" t="s">
        <v>83</v>
      </c>
      <c r="B347" s="1" t="s">
        <v>105</v>
      </c>
      <c r="C347" s="1" t="s">
        <v>445</v>
      </c>
      <c r="D347" s="2">
        <v>601</v>
      </c>
      <c r="E347" s="2">
        <v>507</v>
      </c>
      <c r="F347" s="2">
        <f t="shared" si="15"/>
        <v>1108</v>
      </c>
      <c r="G347" s="3">
        <f t="shared" si="16"/>
        <v>0.54241877256317694</v>
      </c>
      <c r="H347" s="3">
        <f t="shared" si="17"/>
        <v>0.45758122743682311</v>
      </c>
      <c r="I347" s="1" t="s">
        <v>332</v>
      </c>
    </row>
    <row r="348" spans="1:9" x14ac:dyDescent="0.2">
      <c r="A348" s="1" t="s">
        <v>83</v>
      </c>
      <c r="B348" s="1" t="s">
        <v>105</v>
      </c>
      <c r="C348" s="1" t="s">
        <v>446</v>
      </c>
      <c r="D348" s="2">
        <v>691</v>
      </c>
      <c r="E348" s="2">
        <v>583</v>
      </c>
      <c r="F348" s="2">
        <f t="shared" si="15"/>
        <v>1274</v>
      </c>
      <c r="G348" s="3">
        <f t="shared" si="16"/>
        <v>0.54238618524332805</v>
      </c>
      <c r="H348" s="3">
        <f t="shared" si="17"/>
        <v>0.4576138147566719</v>
      </c>
      <c r="I348" s="1" t="s">
        <v>332</v>
      </c>
    </row>
    <row r="349" spans="1:9" x14ac:dyDescent="0.2">
      <c r="A349" s="1" t="s">
        <v>83</v>
      </c>
      <c r="B349" s="1" t="s">
        <v>106</v>
      </c>
      <c r="C349" s="1" t="s">
        <v>447</v>
      </c>
      <c r="D349" s="2">
        <v>78</v>
      </c>
      <c r="E349" s="2">
        <v>125</v>
      </c>
      <c r="F349" s="2">
        <f t="shared" si="15"/>
        <v>203</v>
      </c>
      <c r="G349" s="3">
        <f t="shared" si="16"/>
        <v>0.38423645320197042</v>
      </c>
      <c r="H349" s="3">
        <f t="shared" si="17"/>
        <v>0.61576354679802958</v>
      </c>
      <c r="I349" s="1" t="s">
        <v>129</v>
      </c>
    </row>
    <row r="350" spans="1:9" x14ac:dyDescent="0.2">
      <c r="A350" s="1" t="s">
        <v>83</v>
      </c>
      <c r="B350" s="1" t="s">
        <v>106</v>
      </c>
      <c r="C350" s="1" t="s">
        <v>448</v>
      </c>
      <c r="D350" s="2">
        <v>216</v>
      </c>
      <c r="E350" s="2">
        <v>362</v>
      </c>
      <c r="F350" s="2">
        <f t="shared" si="15"/>
        <v>578</v>
      </c>
      <c r="G350" s="3">
        <f t="shared" si="16"/>
        <v>0.37370242214532873</v>
      </c>
      <c r="H350" s="3">
        <f t="shared" si="17"/>
        <v>0.62629757785467133</v>
      </c>
      <c r="I350" s="1" t="s">
        <v>129</v>
      </c>
    </row>
    <row r="351" spans="1:9" x14ac:dyDescent="0.2">
      <c r="A351" s="1" t="s">
        <v>83</v>
      </c>
      <c r="B351" s="1" t="s">
        <v>106</v>
      </c>
      <c r="C351" s="1" t="s">
        <v>449</v>
      </c>
      <c r="D351" s="2">
        <v>154</v>
      </c>
      <c r="E351" s="2">
        <v>214</v>
      </c>
      <c r="F351" s="2">
        <f t="shared" si="15"/>
        <v>368</v>
      </c>
      <c r="G351" s="3">
        <f t="shared" si="16"/>
        <v>0.41847826086956524</v>
      </c>
      <c r="H351" s="3">
        <f t="shared" si="17"/>
        <v>0.58152173913043481</v>
      </c>
      <c r="I351" s="1" t="s">
        <v>129</v>
      </c>
    </row>
    <row r="352" spans="1:9" x14ac:dyDescent="0.2">
      <c r="A352" s="1" t="s">
        <v>83</v>
      </c>
      <c r="B352" s="1" t="s">
        <v>106</v>
      </c>
      <c r="C352" s="1" t="s">
        <v>450</v>
      </c>
      <c r="D352" s="2">
        <v>90</v>
      </c>
      <c r="E352" s="2">
        <v>123</v>
      </c>
      <c r="F352" s="2">
        <f t="shared" si="15"/>
        <v>213</v>
      </c>
      <c r="G352" s="3">
        <f t="shared" si="16"/>
        <v>0.42253521126760563</v>
      </c>
      <c r="H352" s="3">
        <f t="shared" si="17"/>
        <v>0.57746478873239437</v>
      </c>
      <c r="I352" s="1" t="s">
        <v>129</v>
      </c>
    </row>
    <row r="353" spans="1:9" x14ac:dyDescent="0.2">
      <c r="A353" s="1" t="s">
        <v>83</v>
      </c>
      <c r="B353" s="1" t="s">
        <v>107</v>
      </c>
      <c r="C353" s="1" t="s">
        <v>451</v>
      </c>
      <c r="D353" s="2">
        <v>349</v>
      </c>
      <c r="E353" s="2">
        <v>591</v>
      </c>
      <c r="F353" s="2">
        <f t="shared" si="15"/>
        <v>940</v>
      </c>
      <c r="G353" s="3">
        <f t="shared" si="16"/>
        <v>0.37127659574468086</v>
      </c>
      <c r="H353" s="3">
        <f t="shared" si="17"/>
        <v>0.62872340425531914</v>
      </c>
      <c r="I353" s="1" t="s">
        <v>129</v>
      </c>
    </row>
    <row r="354" spans="1:9" x14ac:dyDescent="0.2">
      <c r="A354" s="1" t="s">
        <v>83</v>
      </c>
      <c r="B354" s="1" t="s">
        <v>107</v>
      </c>
      <c r="C354" s="1" t="s">
        <v>452</v>
      </c>
      <c r="D354" s="2">
        <v>291</v>
      </c>
      <c r="E354" s="2">
        <v>460</v>
      </c>
      <c r="F354" s="2">
        <f t="shared" si="15"/>
        <v>751</v>
      </c>
      <c r="G354" s="3">
        <f t="shared" si="16"/>
        <v>0.38748335552596536</v>
      </c>
      <c r="H354" s="3">
        <f t="shared" si="17"/>
        <v>0.61251664447403464</v>
      </c>
      <c r="I354" s="1" t="s">
        <v>129</v>
      </c>
    </row>
    <row r="355" spans="1:9" x14ac:dyDescent="0.2">
      <c r="A355" s="1" t="s">
        <v>83</v>
      </c>
      <c r="B355" s="1" t="s">
        <v>107</v>
      </c>
      <c r="C355" s="1" t="s">
        <v>453</v>
      </c>
      <c r="D355" s="2">
        <v>248</v>
      </c>
      <c r="E355" s="2">
        <v>436</v>
      </c>
      <c r="F355" s="2">
        <f t="shared" si="15"/>
        <v>684</v>
      </c>
      <c r="G355" s="3">
        <f t="shared" si="16"/>
        <v>0.36257309941520466</v>
      </c>
      <c r="H355" s="3">
        <f t="shared" si="17"/>
        <v>0.63742690058479534</v>
      </c>
      <c r="I355" s="1" t="s">
        <v>129</v>
      </c>
    </row>
    <row r="356" spans="1:9" x14ac:dyDescent="0.2">
      <c r="A356" s="1" t="s">
        <v>83</v>
      </c>
      <c r="B356" s="1" t="s">
        <v>107</v>
      </c>
      <c r="C356" s="1" t="s">
        <v>454</v>
      </c>
      <c r="D356" s="2">
        <v>268</v>
      </c>
      <c r="E356" s="2">
        <v>478</v>
      </c>
      <c r="F356" s="2">
        <f t="shared" si="15"/>
        <v>746</v>
      </c>
      <c r="G356" s="3">
        <f t="shared" si="16"/>
        <v>0.35924932975871315</v>
      </c>
      <c r="H356" s="3">
        <f t="shared" si="17"/>
        <v>0.64075067024128685</v>
      </c>
      <c r="I356" s="1" t="s">
        <v>129</v>
      </c>
    </row>
    <row r="357" spans="1:9" x14ac:dyDescent="0.2">
      <c r="A357" s="1" t="s">
        <v>83</v>
      </c>
      <c r="B357" s="1" t="s">
        <v>108</v>
      </c>
      <c r="C357" s="1" t="s">
        <v>108</v>
      </c>
      <c r="D357" s="2">
        <v>73</v>
      </c>
      <c r="E357" s="2">
        <v>123</v>
      </c>
      <c r="F357" s="2">
        <f t="shared" si="15"/>
        <v>196</v>
      </c>
      <c r="G357" s="3">
        <f t="shared" si="16"/>
        <v>0.37244897959183676</v>
      </c>
      <c r="H357" s="3">
        <f t="shared" si="17"/>
        <v>0.62755102040816324</v>
      </c>
      <c r="I357" s="1" t="s">
        <v>129</v>
      </c>
    </row>
    <row r="358" spans="1:9" x14ac:dyDescent="0.2">
      <c r="A358" s="1" t="s">
        <v>83</v>
      </c>
      <c r="B358" s="1" t="s">
        <v>109</v>
      </c>
      <c r="C358" s="1" t="s">
        <v>109</v>
      </c>
      <c r="D358" s="2">
        <v>268</v>
      </c>
      <c r="E358" s="2">
        <v>416</v>
      </c>
      <c r="F358" s="2">
        <f t="shared" si="15"/>
        <v>684</v>
      </c>
      <c r="G358" s="3">
        <f t="shared" si="16"/>
        <v>0.391812865497076</v>
      </c>
      <c r="H358" s="3">
        <f t="shared" si="17"/>
        <v>0.60818713450292394</v>
      </c>
      <c r="I358" s="1" t="s">
        <v>129</v>
      </c>
    </row>
    <row r="359" spans="1:9" x14ac:dyDescent="0.2">
      <c r="A359" s="1" t="s">
        <v>83</v>
      </c>
      <c r="B359" s="1" t="s">
        <v>110</v>
      </c>
      <c r="C359" s="1" t="s">
        <v>110</v>
      </c>
      <c r="D359" s="2">
        <v>165</v>
      </c>
      <c r="E359" s="2">
        <v>223</v>
      </c>
      <c r="F359" s="2">
        <f t="shared" si="15"/>
        <v>388</v>
      </c>
      <c r="G359" s="3">
        <f t="shared" si="16"/>
        <v>0.42525773195876287</v>
      </c>
      <c r="H359" s="3">
        <f t="shared" si="17"/>
        <v>0.57474226804123707</v>
      </c>
      <c r="I359" s="1" t="s">
        <v>129</v>
      </c>
    </row>
    <row r="360" spans="1:9" x14ac:dyDescent="0.2">
      <c r="A360" s="1" t="s">
        <v>83</v>
      </c>
      <c r="B360" s="1" t="s">
        <v>111</v>
      </c>
      <c r="C360" s="1" t="s">
        <v>111</v>
      </c>
      <c r="D360" s="2">
        <v>267</v>
      </c>
      <c r="E360" s="2">
        <v>335</v>
      </c>
      <c r="F360" s="2">
        <f t="shared" si="15"/>
        <v>602</v>
      </c>
      <c r="G360" s="3">
        <f t="shared" si="16"/>
        <v>0.4435215946843854</v>
      </c>
      <c r="H360" s="3">
        <f t="shared" si="17"/>
        <v>0.55647840531561465</v>
      </c>
      <c r="I360" s="1" t="s">
        <v>129</v>
      </c>
    </row>
    <row r="361" spans="1:9" x14ac:dyDescent="0.2">
      <c r="A361" s="1" t="s">
        <v>83</v>
      </c>
      <c r="B361" s="1" t="s">
        <v>112</v>
      </c>
      <c r="C361" s="1" t="s">
        <v>455</v>
      </c>
      <c r="D361" s="2">
        <v>254</v>
      </c>
      <c r="E361" s="2">
        <v>566</v>
      </c>
      <c r="F361" s="2">
        <f t="shared" si="15"/>
        <v>820</v>
      </c>
      <c r="G361" s="3">
        <f t="shared" si="16"/>
        <v>0.30975609756097561</v>
      </c>
      <c r="H361" s="3">
        <f t="shared" si="17"/>
        <v>0.69024390243902434</v>
      </c>
      <c r="I361" s="1" t="s">
        <v>129</v>
      </c>
    </row>
    <row r="362" spans="1:9" x14ac:dyDescent="0.2">
      <c r="A362" s="1" t="s">
        <v>83</v>
      </c>
      <c r="B362" s="1" t="s">
        <v>112</v>
      </c>
      <c r="C362" s="1" t="s">
        <v>456</v>
      </c>
      <c r="D362" s="2">
        <v>203</v>
      </c>
      <c r="E362" s="2">
        <v>396</v>
      </c>
      <c r="F362" s="2">
        <f t="shared" si="15"/>
        <v>599</v>
      </c>
      <c r="G362" s="3">
        <f t="shared" si="16"/>
        <v>0.33889816360600999</v>
      </c>
      <c r="H362" s="3">
        <f t="shared" si="17"/>
        <v>0.66110183639399001</v>
      </c>
      <c r="I362" s="1" t="s">
        <v>129</v>
      </c>
    </row>
    <row r="363" spans="1:9" x14ac:dyDescent="0.2">
      <c r="A363" s="1" t="s">
        <v>83</v>
      </c>
      <c r="B363" s="1" t="s">
        <v>112</v>
      </c>
      <c r="C363" s="1" t="s">
        <v>457</v>
      </c>
      <c r="D363" s="2">
        <v>153</v>
      </c>
      <c r="E363" s="2">
        <v>365</v>
      </c>
      <c r="F363" s="2">
        <f t="shared" si="15"/>
        <v>518</v>
      </c>
      <c r="G363" s="3">
        <f t="shared" si="16"/>
        <v>0.29536679536679539</v>
      </c>
      <c r="H363" s="3">
        <f t="shared" si="17"/>
        <v>0.70463320463320467</v>
      </c>
      <c r="I363" s="1" t="s">
        <v>129</v>
      </c>
    </row>
    <row r="364" spans="1:9" x14ac:dyDescent="0.2">
      <c r="A364" s="1" t="s">
        <v>83</v>
      </c>
      <c r="B364" s="1" t="s">
        <v>112</v>
      </c>
      <c r="C364" s="1" t="s">
        <v>458</v>
      </c>
      <c r="D364" s="2">
        <v>150</v>
      </c>
      <c r="E364" s="2">
        <v>326</v>
      </c>
      <c r="F364" s="2">
        <f t="shared" si="15"/>
        <v>476</v>
      </c>
      <c r="G364" s="3">
        <f t="shared" si="16"/>
        <v>0.31512605042016806</v>
      </c>
      <c r="H364" s="3">
        <f t="shared" si="17"/>
        <v>0.68487394957983194</v>
      </c>
      <c r="I364" s="1" t="s">
        <v>129</v>
      </c>
    </row>
    <row r="365" spans="1:9" x14ac:dyDescent="0.2">
      <c r="A365" s="1" t="s">
        <v>83</v>
      </c>
      <c r="B365" s="1" t="s">
        <v>112</v>
      </c>
      <c r="C365" s="1" t="s">
        <v>459</v>
      </c>
      <c r="D365" s="2">
        <v>286</v>
      </c>
      <c r="E365" s="2">
        <v>447</v>
      </c>
      <c r="F365" s="2">
        <f t="shared" si="15"/>
        <v>733</v>
      </c>
      <c r="G365" s="3">
        <f t="shared" si="16"/>
        <v>0.39017735334242837</v>
      </c>
      <c r="H365" s="3">
        <f t="shared" si="17"/>
        <v>0.60982264665757158</v>
      </c>
      <c r="I365" s="1" t="s">
        <v>129</v>
      </c>
    </row>
    <row r="366" spans="1:9" x14ac:dyDescent="0.2">
      <c r="A366" s="1" t="s">
        <v>83</v>
      </c>
      <c r="B366" s="1" t="s">
        <v>113</v>
      </c>
      <c r="C366" s="1" t="s">
        <v>460</v>
      </c>
      <c r="D366" s="2">
        <v>663</v>
      </c>
      <c r="E366" s="2">
        <v>624</v>
      </c>
      <c r="F366" s="2">
        <f t="shared" si="15"/>
        <v>1287</v>
      </c>
      <c r="G366" s="3">
        <f t="shared" si="16"/>
        <v>0.51515151515151514</v>
      </c>
      <c r="H366" s="3">
        <f t="shared" si="17"/>
        <v>0.48484848484848486</v>
      </c>
      <c r="I366" s="1" t="s">
        <v>332</v>
      </c>
    </row>
    <row r="367" spans="1:9" x14ac:dyDescent="0.2">
      <c r="A367" s="1" t="s">
        <v>83</v>
      </c>
      <c r="B367" s="1" t="s">
        <v>113</v>
      </c>
      <c r="C367" s="1" t="s">
        <v>461</v>
      </c>
      <c r="D367" s="2">
        <v>305</v>
      </c>
      <c r="E367" s="2">
        <v>287</v>
      </c>
      <c r="F367" s="2">
        <f t="shared" si="15"/>
        <v>592</v>
      </c>
      <c r="G367" s="3">
        <f t="shared" si="16"/>
        <v>0.51520270270270274</v>
      </c>
      <c r="H367" s="3">
        <f t="shared" si="17"/>
        <v>0.48479729729729731</v>
      </c>
      <c r="I367" s="1" t="s">
        <v>332</v>
      </c>
    </row>
    <row r="368" spans="1:9" x14ac:dyDescent="0.2">
      <c r="A368" s="1" t="s">
        <v>83</v>
      </c>
      <c r="B368" s="1" t="s">
        <v>113</v>
      </c>
      <c r="C368" s="1" t="s">
        <v>462</v>
      </c>
      <c r="D368" s="2">
        <v>493</v>
      </c>
      <c r="E368" s="2">
        <v>463</v>
      </c>
      <c r="F368" s="2">
        <f t="shared" si="15"/>
        <v>956</v>
      </c>
      <c r="G368" s="3">
        <f t="shared" si="16"/>
        <v>0.51569037656903771</v>
      </c>
      <c r="H368" s="3">
        <f t="shared" si="17"/>
        <v>0.48430962343096234</v>
      </c>
      <c r="I368" s="1" t="s">
        <v>332</v>
      </c>
    </row>
    <row r="369" spans="1:9" x14ac:dyDescent="0.2">
      <c r="A369" s="1" t="s">
        <v>83</v>
      </c>
      <c r="B369" s="1" t="s">
        <v>113</v>
      </c>
      <c r="C369" s="1" t="s">
        <v>463</v>
      </c>
      <c r="D369" s="2">
        <v>228</v>
      </c>
      <c r="E369" s="2">
        <v>215</v>
      </c>
      <c r="F369" s="2">
        <f t="shared" si="15"/>
        <v>443</v>
      </c>
      <c r="G369" s="3">
        <f t="shared" si="16"/>
        <v>0.51467268623024831</v>
      </c>
      <c r="H369" s="3">
        <f t="shared" si="17"/>
        <v>0.48532731376975169</v>
      </c>
      <c r="I369" s="1" t="s">
        <v>332</v>
      </c>
    </row>
    <row r="370" spans="1:9" x14ac:dyDescent="0.2">
      <c r="A370" s="1" t="s">
        <v>83</v>
      </c>
      <c r="B370" s="1" t="s">
        <v>114</v>
      </c>
      <c r="C370" s="1" t="s">
        <v>114</v>
      </c>
      <c r="D370" s="2">
        <v>317</v>
      </c>
      <c r="E370" s="2">
        <v>444</v>
      </c>
      <c r="F370" s="2">
        <f t="shared" si="15"/>
        <v>761</v>
      </c>
      <c r="G370" s="3">
        <f t="shared" si="16"/>
        <v>0.41655716162943496</v>
      </c>
      <c r="H370" s="3">
        <f t="shared" si="17"/>
        <v>0.5834428383705651</v>
      </c>
      <c r="I370" s="1" t="s">
        <v>129</v>
      </c>
    </row>
    <row r="371" spans="1:9" x14ac:dyDescent="0.2">
      <c r="A371" s="1" t="s">
        <v>83</v>
      </c>
      <c r="B371" s="1" t="s">
        <v>115</v>
      </c>
      <c r="C371" s="1" t="s">
        <v>464</v>
      </c>
      <c r="D371" s="2">
        <v>452</v>
      </c>
      <c r="E371" s="2">
        <v>818</v>
      </c>
      <c r="F371" s="2">
        <f t="shared" si="15"/>
        <v>1270</v>
      </c>
      <c r="G371" s="3">
        <f t="shared" si="16"/>
        <v>0.35590551181102364</v>
      </c>
      <c r="H371" s="3">
        <f t="shared" si="17"/>
        <v>0.64409448818897641</v>
      </c>
      <c r="I371" s="1" t="s">
        <v>129</v>
      </c>
    </row>
    <row r="372" spans="1:9" x14ac:dyDescent="0.2">
      <c r="A372" s="1" t="s">
        <v>83</v>
      </c>
      <c r="B372" s="1" t="s">
        <v>115</v>
      </c>
      <c r="C372" s="1" t="s">
        <v>465</v>
      </c>
      <c r="D372" s="2">
        <v>403</v>
      </c>
      <c r="E372" s="2">
        <v>714</v>
      </c>
      <c r="F372" s="2">
        <f t="shared" si="15"/>
        <v>1117</v>
      </c>
      <c r="G372" s="3">
        <f t="shared" si="16"/>
        <v>0.36078782452999103</v>
      </c>
      <c r="H372" s="3">
        <f t="shared" si="17"/>
        <v>0.63921217547000897</v>
      </c>
      <c r="I372" s="1" t="s">
        <v>129</v>
      </c>
    </row>
    <row r="373" spans="1:9" x14ac:dyDescent="0.2">
      <c r="A373" s="1" t="s">
        <v>83</v>
      </c>
      <c r="B373" s="1" t="s">
        <v>116</v>
      </c>
      <c r="C373" s="1" t="s">
        <v>116</v>
      </c>
      <c r="D373" s="2">
        <v>218</v>
      </c>
      <c r="E373" s="2">
        <v>221</v>
      </c>
      <c r="F373" s="2">
        <f t="shared" si="15"/>
        <v>439</v>
      </c>
      <c r="G373" s="3">
        <f t="shared" si="16"/>
        <v>0.49658314350797267</v>
      </c>
      <c r="H373" s="3">
        <f t="shared" si="17"/>
        <v>0.50341685649202739</v>
      </c>
      <c r="I373" s="1" t="s">
        <v>129</v>
      </c>
    </row>
    <row r="374" spans="1:9" x14ac:dyDescent="0.2">
      <c r="A374" s="1" t="s">
        <v>83</v>
      </c>
      <c r="B374" s="1" t="s">
        <v>117</v>
      </c>
      <c r="C374" s="1" t="s">
        <v>466</v>
      </c>
      <c r="D374" s="2">
        <v>436</v>
      </c>
      <c r="E374" s="2">
        <v>549</v>
      </c>
      <c r="F374" s="2">
        <f t="shared" si="15"/>
        <v>985</v>
      </c>
      <c r="G374" s="3">
        <f t="shared" si="16"/>
        <v>0.44263959390862945</v>
      </c>
      <c r="H374" s="3">
        <f t="shared" si="17"/>
        <v>0.55736040609137061</v>
      </c>
      <c r="I374" s="1" t="s">
        <v>129</v>
      </c>
    </row>
    <row r="375" spans="1:9" x14ac:dyDescent="0.2">
      <c r="A375" s="1" t="s">
        <v>83</v>
      </c>
      <c r="B375" s="1" t="s">
        <v>117</v>
      </c>
      <c r="C375" s="1" t="s">
        <v>467</v>
      </c>
      <c r="D375" s="2">
        <v>370</v>
      </c>
      <c r="E375" s="2">
        <v>509</v>
      </c>
      <c r="F375" s="2">
        <f t="shared" si="15"/>
        <v>879</v>
      </c>
      <c r="G375" s="3">
        <f t="shared" si="16"/>
        <v>0.42093287827076226</v>
      </c>
      <c r="H375" s="3">
        <f t="shared" si="17"/>
        <v>0.5790671217292378</v>
      </c>
      <c r="I375" s="1" t="s">
        <v>129</v>
      </c>
    </row>
    <row r="376" spans="1:9" x14ac:dyDescent="0.2">
      <c r="A376" s="1" t="s">
        <v>83</v>
      </c>
      <c r="B376" s="1" t="s">
        <v>117</v>
      </c>
      <c r="C376" s="1" t="s">
        <v>468</v>
      </c>
      <c r="D376" s="2">
        <v>483</v>
      </c>
      <c r="E376" s="2">
        <v>436</v>
      </c>
      <c r="F376" s="2">
        <f t="shared" si="15"/>
        <v>919</v>
      </c>
      <c r="G376" s="3">
        <f t="shared" si="16"/>
        <v>0.5255712731229597</v>
      </c>
      <c r="H376" s="3">
        <f t="shared" si="17"/>
        <v>0.47442872687704024</v>
      </c>
      <c r="I376" s="1" t="s">
        <v>129</v>
      </c>
    </row>
    <row r="377" spans="1:9" x14ac:dyDescent="0.2">
      <c r="A377" s="1" t="s">
        <v>83</v>
      </c>
      <c r="B377" s="1" t="s">
        <v>117</v>
      </c>
      <c r="C377" s="1" t="s">
        <v>469</v>
      </c>
      <c r="D377" s="2">
        <v>253</v>
      </c>
      <c r="E377" s="2">
        <v>330</v>
      </c>
      <c r="F377" s="2">
        <f t="shared" si="15"/>
        <v>583</v>
      </c>
      <c r="G377" s="3">
        <f t="shared" si="16"/>
        <v>0.43396226415094341</v>
      </c>
      <c r="H377" s="3">
        <f t="shared" si="17"/>
        <v>0.56603773584905659</v>
      </c>
      <c r="I377" s="1" t="s">
        <v>129</v>
      </c>
    </row>
    <row r="378" spans="1:9" x14ac:dyDescent="0.2">
      <c r="A378" s="1" t="s">
        <v>83</v>
      </c>
      <c r="B378" s="1" t="s">
        <v>118</v>
      </c>
      <c r="C378" s="1" t="s">
        <v>470</v>
      </c>
      <c r="D378" s="2">
        <v>453</v>
      </c>
      <c r="E378" s="2">
        <v>308</v>
      </c>
      <c r="F378" s="2">
        <f t="shared" si="15"/>
        <v>761</v>
      </c>
      <c r="G378" s="3">
        <f t="shared" si="16"/>
        <v>0.59526938239159</v>
      </c>
      <c r="H378" s="3">
        <f t="shared" si="17"/>
        <v>0.40473061760841</v>
      </c>
      <c r="I378" s="1" t="s">
        <v>129</v>
      </c>
    </row>
    <row r="379" spans="1:9" x14ac:dyDescent="0.2">
      <c r="A379" s="1" t="s">
        <v>83</v>
      </c>
      <c r="B379" s="1" t="s">
        <v>118</v>
      </c>
      <c r="C379" s="1" t="s">
        <v>471</v>
      </c>
      <c r="D379" s="2">
        <v>353</v>
      </c>
      <c r="E379" s="2">
        <v>275</v>
      </c>
      <c r="F379" s="2">
        <f t="shared" si="15"/>
        <v>628</v>
      </c>
      <c r="G379" s="3">
        <f t="shared" si="16"/>
        <v>0.56210191082802552</v>
      </c>
      <c r="H379" s="3">
        <f t="shared" si="17"/>
        <v>0.43789808917197454</v>
      </c>
      <c r="I379" s="1" t="s">
        <v>129</v>
      </c>
    </row>
    <row r="380" spans="1:9" x14ac:dyDescent="0.2">
      <c r="A380" s="1" t="s">
        <v>83</v>
      </c>
      <c r="B380" s="1" t="s">
        <v>118</v>
      </c>
      <c r="C380" s="1" t="s">
        <v>472</v>
      </c>
      <c r="D380" s="2">
        <v>526</v>
      </c>
      <c r="E380" s="2">
        <v>436</v>
      </c>
      <c r="F380" s="2">
        <f t="shared" si="15"/>
        <v>962</v>
      </c>
      <c r="G380" s="3">
        <f t="shared" si="16"/>
        <v>0.54677754677754675</v>
      </c>
      <c r="H380" s="3">
        <f t="shared" si="17"/>
        <v>0.45322245322245325</v>
      </c>
      <c r="I380" s="1" t="s">
        <v>129</v>
      </c>
    </row>
    <row r="381" spans="1:9" x14ac:dyDescent="0.2">
      <c r="A381" s="1" t="s">
        <v>83</v>
      </c>
      <c r="B381" s="1" t="s">
        <v>119</v>
      </c>
      <c r="C381" s="1" t="s">
        <v>473</v>
      </c>
      <c r="D381" s="2">
        <v>509</v>
      </c>
      <c r="E381" s="2">
        <v>637</v>
      </c>
      <c r="F381" s="2">
        <f t="shared" si="15"/>
        <v>1146</v>
      </c>
      <c r="G381" s="3">
        <f t="shared" si="16"/>
        <v>0.44415357766143104</v>
      </c>
      <c r="H381" s="3">
        <f t="shared" si="17"/>
        <v>0.55584642233856896</v>
      </c>
      <c r="I381" s="1" t="s">
        <v>129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/>
  </sheetViews>
  <sheetFormatPr baseColWidth="10" defaultColWidth="8.83203125" defaultRowHeight="15" x14ac:dyDescent="0.2"/>
  <cols>
    <col min="1" max="1" width="8" customWidth="1"/>
    <col min="2" max="2" width="95" customWidth="1"/>
    <col min="3" max="3" width="26" customWidth="1"/>
    <col min="4" max="4" width="15" customWidth="1"/>
    <col min="5" max="5" width="22" customWidth="1"/>
    <col min="6" max="6" width="30" customWidth="1"/>
  </cols>
  <sheetData>
    <row r="1" spans="1:6" x14ac:dyDescent="0.2">
      <c r="A1" s="1" t="s">
        <v>474</v>
      </c>
    </row>
    <row r="2" spans="1:6" x14ac:dyDescent="0.2">
      <c r="A2" s="1" t="s">
        <v>475</v>
      </c>
    </row>
    <row r="3" spans="1:6" x14ac:dyDescent="0.2">
      <c r="A3" s="1" t="s">
        <v>476</v>
      </c>
    </row>
    <row r="5" spans="1:6" x14ac:dyDescent="0.2">
      <c r="A5" s="1" t="s">
        <v>477</v>
      </c>
      <c r="B5" s="1" t="s">
        <v>478</v>
      </c>
      <c r="C5" s="1" t="s">
        <v>479</v>
      </c>
      <c r="D5" s="1" t="s">
        <v>480</v>
      </c>
      <c r="E5" s="1" t="s">
        <v>481</v>
      </c>
      <c r="F5" s="1" t="s">
        <v>482</v>
      </c>
    </row>
    <row r="6" spans="1:6" x14ac:dyDescent="0.2">
      <c r="A6" s="1">
        <v>1</v>
      </c>
      <c r="B6" s="1" t="s">
        <v>483</v>
      </c>
      <c r="C6" s="1" t="s">
        <v>484</v>
      </c>
      <c r="D6" s="4">
        <v>0.94597422541049647</v>
      </c>
      <c r="E6" s="4">
        <v>0.99576234253736473</v>
      </c>
      <c r="F6" s="5">
        <v>13.187099999999999</v>
      </c>
    </row>
    <row r="7" spans="1:6" x14ac:dyDescent="0.2">
      <c r="A7" s="1">
        <v>2</v>
      </c>
      <c r="B7" s="1" t="s">
        <v>485</v>
      </c>
      <c r="C7" s="1" t="s">
        <v>486</v>
      </c>
      <c r="D7" s="4">
        <v>3.064872961226681E-2</v>
      </c>
      <c r="E7" s="4">
        <v>0.61297459224533613</v>
      </c>
      <c r="F7" s="5">
        <v>6.1699000000000002</v>
      </c>
    </row>
    <row r="8" spans="1:6" x14ac:dyDescent="0.2">
      <c r="A8" s="1">
        <v>3</v>
      </c>
      <c r="B8" s="1" t="s">
        <v>487</v>
      </c>
      <c r="C8" s="1" t="s">
        <v>486</v>
      </c>
      <c r="D8" s="4">
        <v>5.6735388970128378E-3</v>
      </c>
      <c r="E8" s="4">
        <v>0.1134707779402568</v>
      </c>
      <c r="F8" s="5">
        <v>1.1420999999999999</v>
      </c>
    </row>
    <row r="9" spans="1:6" x14ac:dyDescent="0.2">
      <c r="A9" s="1">
        <v>4</v>
      </c>
      <c r="B9" s="1" t="s">
        <v>488</v>
      </c>
      <c r="C9" s="1" t="s">
        <v>486</v>
      </c>
      <c r="D9" s="4">
        <v>5.1784388346178952E-3</v>
      </c>
      <c r="E9" s="4">
        <v>0.10356877669235789</v>
      </c>
      <c r="F9" s="5">
        <v>1.0425</v>
      </c>
    </row>
    <row r="10" spans="1:6" x14ac:dyDescent="0.2">
      <c r="A10" s="1">
        <v>5</v>
      </c>
      <c r="B10" s="1" t="s">
        <v>489</v>
      </c>
      <c r="C10" s="1" t="s">
        <v>486</v>
      </c>
      <c r="D10" s="4">
        <v>4.6838628594207659E-3</v>
      </c>
      <c r="E10" s="4">
        <v>9.3677257188415311E-2</v>
      </c>
      <c r="F10" s="5">
        <v>0.94289999999999996</v>
      </c>
    </row>
    <row r="11" spans="1:6" x14ac:dyDescent="0.2">
      <c r="A11" s="1">
        <v>6</v>
      </c>
      <c r="B11" s="1" t="s">
        <v>490</v>
      </c>
      <c r="C11" s="1" t="s">
        <v>486</v>
      </c>
      <c r="D11" s="4">
        <v>3.815429796681698E-3</v>
      </c>
      <c r="E11" s="4">
        <v>7.6308595933633969E-2</v>
      </c>
      <c r="F11" s="5">
        <v>0.7681</v>
      </c>
    </row>
    <row r="12" spans="1:6" x14ac:dyDescent="0.2">
      <c r="A12" s="1">
        <v>7</v>
      </c>
      <c r="B12" s="1" t="s">
        <v>491</v>
      </c>
      <c r="C12" s="1" t="s">
        <v>484</v>
      </c>
      <c r="D12" s="4">
        <v>1.833725779157976E-3</v>
      </c>
      <c r="E12" s="4">
        <v>1.930237662271554E-3</v>
      </c>
      <c r="F12" s="5">
        <v>2.5600000000000001E-2</v>
      </c>
    </row>
    <row r="13" spans="1:6" x14ac:dyDescent="0.2">
      <c r="A13" s="1">
        <v>8</v>
      </c>
      <c r="B13" s="1" t="s">
        <v>492</v>
      </c>
      <c r="C13" s="1" t="s">
        <v>484</v>
      </c>
      <c r="D13" s="4">
        <v>1.4267021682607089E-3</v>
      </c>
      <c r="E13" s="4">
        <v>1.5017917560639039E-3</v>
      </c>
      <c r="F13" s="5">
        <v>1.9900000000000001E-2</v>
      </c>
    </row>
    <row r="14" spans="1:6" x14ac:dyDescent="0.2">
      <c r="A14" s="1">
        <v>9</v>
      </c>
      <c r="B14" s="1" t="s">
        <v>493</v>
      </c>
      <c r="C14" s="1" t="s">
        <v>484</v>
      </c>
      <c r="D14" s="4">
        <v>7.6534664208488209E-4</v>
      </c>
      <c r="E14" s="4">
        <v>8.0562804429987591E-4</v>
      </c>
      <c r="F14" s="5">
        <v>1.0699999999999999E-2</v>
      </c>
    </row>
    <row r="15" spans="1:6" x14ac:dyDescent="0.2">
      <c r="A15" s="1">
        <v>10</v>
      </c>
      <c r="B15" s="1" t="s">
        <v>494</v>
      </c>
      <c r="C15" s="1" t="s">
        <v>486</v>
      </c>
      <c r="D15" s="4">
        <v>0</v>
      </c>
      <c r="E15" s="4">
        <v>0</v>
      </c>
      <c r="F15" s="5">
        <v>0</v>
      </c>
    </row>
    <row r="16" spans="1:6" x14ac:dyDescent="0.2">
      <c r="A16" s="1">
        <v>11</v>
      </c>
      <c r="B16" s="1" t="s">
        <v>495</v>
      </c>
      <c r="C16" s="1" t="s">
        <v>484</v>
      </c>
      <c r="D16" s="4">
        <v>0</v>
      </c>
      <c r="E16" s="4">
        <v>0</v>
      </c>
      <c r="F16" s="5">
        <v>-2E-3</v>
      </c>
    </row>
    <row r="17" spans="1:6" x14ac:dyDescent="0.2">
      <c r="A17" s="1">
        <v>12</v>
      </c>
      <c r="B17" s="1" t="s">
        <v>496</v>
      </c>
      <c r="C17" s="1" t="s">
        <v>484</v>
      </c>
      <c r="D17" s="4">
        <v>0</v>
      </c>
      <c r="E17" s="4">
        <v>0</v>
      </c>
      <c r="F17" s="5">
        <v>-2E-3</v>
      </c>
    </row>
    <row r="18" spans="1:6" x14ac:dyDescent="0.2">
      <c r="A18" s="1">
        <v>13</v>
      </c>
      <c r="B18" s="1" t="s">
        <v>497</v>
      </c>
      <c r="C18" s="1" t="s">
        <v>484</v>
      </c>
      <c r="D18" s="4">
        <v>0</v>
      </c>
      <c r="E18" s="4">
        <v>0</v>
      </c>
      <c r="F18" s="5">
        <v>-1.24E-2</v>
      </c>
    </row>
    <row r="19" spans="1:6" x14ac:dyDescent="0.2">
      <c r="B19" s="1" t="s">
        <v>498</v>
      </c>
      <c r="D19" s="4">
        <v>1</v>
      </c>
    </row>
    <row r="21" spans="1:6" x14ac:dyDescent="0.2">
      <c r="B21" s="1" t="s">
        <v>479</v>
      </c>
      <c r="D21" s="1" t="s">
        <v>480</v>
      </c>
    </row>
    <row r="22" spans="1:6" x14ac:dyDescent="0.2">
      <c r="B22" s="1" t="s">
        <v>484</v>
      </c>
      <c r="D22" s="4">
        <v>0.95</v>
      </c>
    </row>
    <row r="23" spans="1:6" x14ac:dyDescent="0.2">
      <c r="B23" s="1" t="s">
        <v>486</v>
      </c>
      <c r="D23" s="4">
        <v>0.05</v>
      </c>
    </row>
    <row r="25" spans="1:6" x14ac:dyDescent="0.2">
      <c r="B25" s="1" t="s">
        <v>499</v>
      </c>
    </row>
    <row r="26" spans="1:6" x14ac:dyDescent="0.2">
      <c r="B26" s="1" t="s">
        <v>500</v>
      </c>
    </row>
    <row r="28" spans="1:6" x14ac:dyDescent="0.2">
      <c r="B28" s="1" t="s">
        <v>501</v>
      </c>
    </row>
    <row r="29" spans="1:6" x14ac:dyDescent="0.2">
      <c r="B29" s="1" t="s">
        <v>502</v>
      </c>
    </row>
    <row r="30" spans="1:6" x14ac:dyDescent="0.2">
      <c r="B30" s="1" t="s">
        <v>503</v>
      </c>
    </row>
    <row r="31" spans="1:6" x14ac:dyDescent="0.2">
      <c r="B31" s="1" t="s">
        <v>504</v>
      </c>
    </row>
    <row r="32" spans="1:6" x14ac:dyDescent="0.2">
      <c r="B32" s="1" t="s">
        <v>505</v>
      </c>
    </row>
    <row r="33" spans="2:2" x14ac:dyDescent="0.2">
      <c r="B33" s="1" t="s">
        <v>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"/>
  <sheetViews>
    <sheetView workbookViewId="0"/>
  </sheetViews>
  <sheetFormatPr baseColWidth="10" defaultColWidth="8.83203125" defaultRowHeight="15" x14ac:dyDescent="0.2"/>
  <cols>
    <col min="1" max="1" width="14" customWidth="1"/>
    <col min="2" max="2" width="28" customWidth="1"/>
    <col min="3" max="3" width="14" customWidth="1"/>
    <col min="4" max="4" width="16" customWidth="1"/>
    <col min="6" max="6" width="12" customWidth="1"/>
    <col min="7" max="7" width="13" customWidth="1"/>
    <col min="8" max="8" width="15" customWidth="1"/>
    <col min="9" max="9" width="26" customWidth="1"/>
    <col min="10" max="10" width="14" customWidth="1"/>
    <col min="11" max="11" width="16" customWidth="1"/>
    <col min="12" max="12" width="14" customWidth="1"/>
    <col min="13" max="13" width="13" customWidth="1"/>
    <col min="14" max="14" width="20" customWidth="1"/>
  </cols>
  <sheetData>
    <row r="1" spans="1:14" x14ac:dyDescent="0.2">
      <c r="A1" s="7" t="s">
        <v>507</v>
      </c>
      <c r="B1" s="8"/>
      <c r="C1" s="8"/>
      <c r="D1" s="8"/>
      <c r="E1" s="8"/>
      <c r="F1" s="8"/>
      <c r="G1" s="8"/>
      <c r="H1" s="8"/>
      <c r="I1" s="8"/>
    </row>
    <row r="2" spans="1:14" x14ac:dyDescent="0.2">
      <c r="A2" s="1" t="s">
        <v>508</v>
      </c>
      <c r="B2" s="1"/>
      <c r="C2" s="1"/>
      <c r="D2" s="1"/>
      <c r="E2" s="1"/>
      <c r="F2" s="1"/>
      <c r="G2" s="1"/>
      <c r="H2" s="1"/>
      <c r="I2" s="1"/>
    </row>
    <row r="3" spans="1:14" x14ac:dyDescent="0.2">
      <c r="A3" s="7" t="s">
        <v>509</v>
      </c>
      <c r="B3" s="8"/>
      <c r="C3" s="8"/>
      <c r="D3" s="8"/>
      <c r="E3" s="8"/>
      <c r="F3" s="8"/>
      <c r="G3" s="8"/>
      <c r="H3" s="8"/>
      <c r="I3" s="8"/>
    </row>
    <row r="4" spans="1:14" x14ac:dyDescent="0.2">
      <c r="A4" s="1" t="s">
        <v>3</v>
      </c>
      <c r="B4" s="1" t="s">
        <v>4</v>
      </c>
      <c r="C4" s="1" t="s">
        <v>5</v>
      </c>
      <c r="D4" s="1" t="s">
        <v>510</v>
      </c>
      <c r="E4" s="1" t="s">
        <v>7</v>
      </c>
      <c r="F4" s="1" t="s">
        <v>8</v>
      </c>
      <c r="G4" s="1" t="s">
        <v>9</v>
      </c>
      <c r="H4" s="1" t="s">
        <v>10</v>
      </c>
      <c r="I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</row>
    <row r="6" spans="1:14" x14ac:dyDescent="0.2">
      <c r="A6" s="7" t="s">
        <v>511</v>
      </c>
      <c r="B6" s="8"/>
      <c r="C6" s="8"/>
      <c r="D6" s="8"/>
      <c r="E6" s="8"/>
      <c r="F6" s="8"/>
      <c r="G6" s="8"/>
      <c r="H6" s="8"/>
      <c r="I6" s="8"/>
    </row>
    <row r="7" spans="1:14" x14ac:dyDescent="0.2">
      <c r="A7" s="1" t="s">
        <v>12</v>
      </c>
      <c r="B7" s="1"/>
      <c r="C7" s="1" t="s">
        <v>512</v>
      </c>
      <c r="D7" s="1" t="s">
        <v>14</v>
      </c>
      <c r="E7" s="1" t="s">
        <v>15</v>
      </c>
      <c r="F7" s="1" t="s">
        <v>16</v>
      </c>
      <c r="G7" s="1" t="s">
        <v>513</v>
      </c>
      <c r="H7" s="1" t="s">
        <v>18</v>
      </c>
      <c r="I7" s="1" t="s">
        <v>19</v>
      </c>
      <c r="J7" s="1" t="s">
        <v>514</v>
      </c>
      <c r="K7" s="1" t="s">
        <v>515</v>
      </c>
      <c r="L7" s="1" t="s">
        <v>516</v>
      </c>
      <c r="M7" s="1" t="s">
        <v>517</v>
      </c>
      <c r="N7" s="1" t="s">
        <v>518</v>
      </c>
    </row>
    <row r="8" spans="1:14" x14ac:dyDescent="0.2">
      <c r="A8" s="1" t="s">
        <v>20</v>
      </c>
      <c r="B8" s="1" t="s">
        <v>21</v>
      </c>
      <c r="C8" s="2">
        <f>SUM(C12:C100)</f>
        <v>192332</v>
      </c>
      <c r="D8" s="2">
        <f>SUM(D12:D100)</f>
        <v>209050</v>
      </c>
      <c r="E8" s="2">
        <f>SUM(E12:E100)</f>
        <v>0</v>
      </c>
      <c r="F8" s="2">
        <f>C8+D8+E8</f>
        <v>401382</v>
      </c>
      <c r="G8" s="3">
        <f>IF(F8=0,"",C8/F8)</f>
        <v>0.47917445226741606</v>
      </c>
      <c r="H8" s="3">
        <f>IF(F8=0,"",D8/F8)</f>
        <v>0.52082554773258394</v>
      </c>
      <c r="I8" s="1" t="s">
        <v>519</v>
      </c>
      <c r="J8" s="2">
        <f>SUM(J12:J100)</f>
        <v>199626</v>
      </c>
      <c r="K8" s="2">
        <f>SUM(K12:K100)</f>
        <v>203688</v>
      </c>
      <c r="L8" s="2">
        <f>J8+K8</f>
        <v>403314</v>
      </c>
      <c r="M8" s="3">
        <f>IF(L8=0,"",J8/L8)</f>
        <v>0.49496422142548979</v>
      </c>
      <c r="N8" s="6">
        <f>IF(L8=0,"",(G8-M8)*100)</f>
        <v>-1.578976915807373</v>
      </c>
    </row>
    <row r="9" spans="1:14" x14ac:dyDescent="0.2">
      <c r="A9" s="7" t="s">
        <v>520</v>
      </c>
      <c r="B9" s="8"/>
      <c r="C9" s="8"/>
      <c r="D9" s="8"/>
      <c r="E9" s="8"/>
      <c r="F9" s="8"/>
      <c r="G9" s="8"/>
      <c r="H9" s="8"/>
      <c r="I9" s="8"/>
    </row>
    <row r="10" spans="1:14" x14ac:dyDescent="0.2">
      <c r="A10" s="7" t="s">
        <v>24</v>
      </c>
      <c r="B10" s="8"/>
      <c r="C10" s="8"/>
      <c r="D10" s="8"/>
      <c r="E10" s="8"/>
      <c r="F10" s="8"/>
      <c r="G10" s="8"/>
      <c r="H10" s="8"/>
      <c r="I10" s="8"/>
    </row>
    <row r="11" spans="1:14" ht="31.5" customHeight="1" x14ac:dyDescent="0.2">
      <c r="A11" s="1" t="s">
        <v>25</v>
      </c>
      <c r="B11" s="1" t="s">
        <v>26</v>
      </c>
      <c r="C11" s="1" t="s">
        <v>512</v>
      </c>
      <c r="D11" s="1" t="s">
        <v>14</v>
      </c>
      <c r="E11" s="1" t="s">
        <v>15</v>
      </c>
      <c r="F11" s="1" t="s">
        <v>16</v>
      </c>
      <c r="G11" s="1" t="s">
        <v>513</v>
      </c>
      <c r="H11" s="1" t="s">
        <v>18</v>
      </c>
      <c r="I11" s="1" t="s">
        <v>27</v>
      </c>
      <c r="J11" s="1" t="s">
        <v>514</v>
      </c>
      <c r="K11" s="1" t="s">
        <v>515</v>
      </c>
      <c r="L11" s="1" t="s">
        <v>516</v>
      </c>
      <c r="M11" s="1" t="s">
        <v>517</v>
      </c>
      <c r="N11" s="1" t="s">
        <v>518</v>
      </c>
    </row>
    <row r="12" spans="1:14" x14ac:dyDescent="0.2">
      <c r="A12" s="1" t="s">
        <v>28</v>
      </c>
      <c r="B12" s="1" t="s">
        <v>29</v>
      </c>
      <c r="C12" s="2">
        <v>137</v>
      </c>
      <c r="D12" s="2">
        <v>301</v>
      </c>
      <c r="E12" s="2"/>
      <c r="F12" s="2">
        <v>438</v>
      </c>
      <c r="G12" s="3">
        <v>0.31278538812785389</v>
      </c>
      <c r="H12" s="3">
        <v>0.68721461187214616</v>
      </c>
      <c r="I12" s="1" t="s">
        <v>30</v>
      </c>
      <c r="J12" s="2">
        <v>181</v>
      </c>
      <c r="K12" s="2">
        <v>285</v>
      </c>
      <c r="L12" s="2">
        <v>466</v>
      </c>
      <c r="M12" s="3">
        <v>0.388412017167382</v>
      </c>
      <c r="N12" s="6">
        <v>-7.56</v>
      </c>
    </row>
    <row r="13" spans="1:14" x14ac:dyDescent="0.2">
      <c r="A13" s="1" t="s">
        <v>28</v>
      </c>
      <c r="B13" s="1" t="s">
        <v>31</v>
      </c>
      <c r="C13" s="2">
        <v>94</v>
      </c>
      <c r="D13" s="2">
        <v>310</v>
      </c>
      <c r="E13" s="2"/>
      <c r="F13" s="2">
        <v>404</v>
      </c>
      <c r="G13" s="3">
        <v>0.23267326732673271</v>
      </c>
      <c r="H13" s="3">
        <v>0.76732673267326734</v>
      </c>
      <c r="I13" s="1" t="s">
        <v>30</v>
      </c>
      <c r="J13" s="2">
        <v>118</v>
      </c>
      <c r="K13" s="2">
        <v>300</v>
      </c>
      <c r="L13" s="2">
        <v>418</v>
      </c>
      <c r="M13" s="3">
        <v>0.28229665071770332</v>
      </c>
      <c r="N13" s="6">
        <v>-4.96</v>
      </c>
    </row>
    <row r="14" spans="1:14" x14ac:dyDescent="0.2">
      <c r="A14" s="1" t="s">
        <v>28</v>
      </c>
      <c r="B14" s="1" t="s">
        <v>32</v>
      </c>
      <c r="C14" s="2">
        <v>129</v>
      </c>
      <c r="D14" s="2">
        <v>274</v>
      </c>
      <c r="E14" s="2"/>
      <c r="F14" s="2">
        <v>403</v>
      </c>
      <c r="G14" s="3">
        <v>0.32009925558312657</v>
      </c>
      <c r="H14" s="3">
        <v>0.67990074441687343</v>
      </c>
      <c r="I14" s="1" t="s">
        <v>30</v>
      </c>
      <c r="J14" s="2">
        <v>144</v>
      </c>
      <c r="K14" s="2">
        <v>310</v>
      </c>
      <c r="L14" s="2">
        <v>454</v>
      </c>
      <c r="M14" s="3">
        <v>0.31718061674008807</v>
      </c>
      <c r="N14" s="6">
        <v>0.28999999999999998</v>
      </c>
    </row>
    <row r="15" spans="1:14" x14ac:dyDescent="0.2">
      <c r="A15" s="1" t="s">
        <v>28</v>
      </c>
      <c r="B15" s="1" t="s">
        <v>33</v>
      </c>
      <c r="C15" s="2">
        <v>394</v>
      </c>
      <c r="D15" s="2">
        <v>1181</v>
      </c>
      <c r="E15" s="2"/>
      <c r="F15" s="2">
        <v>1575</v>
      </c>
      <c r="G15" s="3">
        <v>0.25015873015873008</v>
      </c>
      <c r="H15" s="3">
        <v>0.74984126984126986</v>
      </c>
      <c r="I15" s="1" t="s">
        <v>30</v>
      </c>
      <c r="J15" s="2">
        <v>438</v>
      </c>
      <c r="K15" s="2">
        <v>1253</v>
      </c>
      <c r="L15" s="2">
        <v>1691</v>
      </c>
      <c r="M15" s="3">
        <v>0.25901833234772331</v>
      </c>
      <c r="N15" s="6">
        <v>-0.89</v>
      </c>
    </row>
    <row r="16" spans="1:14" x14ac:dyDescent="0.2">
      <c r="A16" s="1" t="s">
        <v>28</v>
      </c>
      <c r="B16" s="1" t="s">
        <v>34</v>
      </c>
      <c r="C16" s="2">
        <v>36</v>
      </c>
      <c r="D16" s="2">
        <v>76</v>
      </c>
      <c r="E16" s="2"/>
      <c r="F16" s="2">
        <v>112</v>
      </c>
      <c r="G16" s="3">
        <v>0.32142857142857151</v>
      </c>
      <c r="H16" s="3">
        <v>0.6785714285714286</v>
      </c>
      <c r="I16" s="1" t="s">
        <v>30</v>
      </c>
      <c r="J16" s="2">
        <v>38</v>
      </c>
      <c r="K16" s="2">
        <v>78</v>
      </c>
      <c r="L16" s="2">
        <v>116</v>
      </c>
      <c r="M16" s="3">
        <v>0.32758620689655171</v>
      </c>
      <c r="N16" s="6">
        <v>-0.62</v>
      </c>
    </row>
    <row r="17" spans="1:14" x14ac:dyDescent="0.2">
      <c r="A17" s="1" t="s">
        <v>28</v>
      </c>
      <c r="B17" s="1" t="s">
        <v>35</v>
      </c>
      <c r="C17" s="2">
        <v>614</v>
      </c>
      <c r="D17" s="2">
        <v>1819</v>
      </c>
      <c r="E17" s="2"/>
      <c r="F17" s="2">
        <v>2433</v>
      </c>
      <c r="G17" s="3">
        <v>0.25236333744348538</v>
      </c>
      <c r="H17" s="3">
        <v>0.74763666255651462</v>
      </c>
      <c r="I17" s="1" t="s">
        <v>30</v>
      </c>
      <c r="J17" s="2">
        <v>708</v>
      </c>
      <c r="K17" s="2">
        <v>1846</v>
      </c>
      <c r="L17" s="2">
        <v>2554</v>
      </c>
      <c r="M17" s="3">
        <v>0.27721221613155828</v>
      </c>
      <c r="N17" s="6">
        <v>-2.48</v>
      </c>
    </row>
    <row r="18" spans="1:14" x14ac:dyDescent="0.2">
      <c r="A18" s="1" t="s">
        <v>28</v>
      </c>
      <c r="B18" s="1" t="s">
        <v>36</v>
      </c>
      <c r="C18" s="2">
        <v>1025</v>
      </c>
      <c r="D18" s="2">
        <v>1400</v>
      </c>
      <c r="E18" s="2"/>
      <c r="F18" s="2">
        <v>2425</v>
      </c>
      <c r="G18" s="3">
        <v>0.42268041237113402</v>
      </c>
      <c r="H18" s="3">
        <v>0.57731958762886593</v>
      </c>
      <c r="I18" s="1" t="s">
        <v>30</v>
      </c>
      <c r="J18" s="2">
        <v>1104</v>
      </c>
      <c r="K18" s="2">
        <v>1481</v>
      </c>
      <c r="L18" s="2">
        <v>2585</v>
      </c>
      <c r="M18" s="3">
        <v>0.42707930367504843</v>
      </c>
      <c r="N18" s="6">
        <v>-0.44</v>
      </c>
    </row>
    <row r="19" spans="1:14" x14ac:dyDescent="0.2">
      <c r="A19" s="1" t="s">
        <v>28</v>
      </c>
      <c r="B19" s="1" t="s">
        <v>37</v>
      </c>
      <c r="C19" s="2">
        <v>305</v>
      </c>
      <c r="D19" s="2">
        <v>732</v>
      </c>
      <c r="E19" s="2"/>
      <c r="F19" s="2">
        <v>1037</v>
      </c>
      <c r="G19" s="3">
        <v>0.29411764705882348</v>
      </c>
      <c r="H19" s="3">
        <v>0.70588235294117652</v>
      </c>
      <c r="I19" s="1" t="s">
        <v>30</v>
      </c>
      <c r="J19" s="2">
        <v>351</v>
      </c>
      <c r="K19" s="2">
        <v>697</v>
      </c>
      <c r="L19" s="2">
        <v>1048</v>
      </c>
      <c r="M19" s="3">
        <v>0.33492366412213742</v>
      </c>
      <c r="N19" s="6">
        <v>-4.08</v>
      </c>
    </row>
    <row r="20" spans="1:14" x14ac:dyDescent="0.2">
      <c r="A20" s="1" t="s">
        <v>28</v>
      </c>
      <c r="B20" s="1" t="s">
        <v>38</v>
      </c>
      <c r="C20" s="2">
        <v>555</v>
      </c>
      <c r="D20" s="2">
        <v>853</v>
      </c>
      <c r="E20" s="2"/>
      <c r="F20" s="2">
        <v>1408</v>
      </c>
      <c r="G20" s="3">
        <v>0.39417613636363641</v>
      </c>
      <c r="H20" s="3">
        <v>0.60582386363636365</v>
      </c>
      <c r="I20" s="1" t="s">
        <v>30</v>
      </c>
      <c r="J20" s="2">
        <v>575</v>
      </c>
      <c r="K20" s="2">
        <v>880</v>
      </c>
      <c r="L20" s="2">
        <v>1455</v>
      </c>
      <c r="M20" s="3">
        <v>0.3951890034364261</v>
      </c>
      <c r="N20" s="6">
        <v>-0.1</v>
      </c>
    </row>
    <row r="21" spans="1:14" x14ac:dyDescent="0.2">
      <c r="A21" s="1" t="s">
        <v>28</v>
      </c>
      <c r="B21" s="1" t="s">
        <v>39</v>
      </c>
      <c r="C21" s="2">
        <v>38</v>
      </c>
      <c r="D21" s="2">
        <v>101</v>
      </c>
      <c r="E21" s="2"/>
      <c r="F21" s="2">
        <v>139</v>
      </c>
      <c r="G21" s="3">
        <v>0.2733812949640288</v>
      </c>
      <c r="H21" s="3">
        <v>0.72661870503597126</v>
      </c>
      <c r="I21" s="1" t="s">
        <v>30</v>
      </c>
      <c r="J21" s="2">
        <v>38</v>
      </c>
      <c r="K21" s="2">
        <v>107</v>
      </c>
      <c r="L21" s="2">
        <v>145</v>
      </c>
      <c r="M21" s="3">
        <v>0.2620689655172414</v>
      </c>
      <c r="N21" s="6">
        <v>1.1299999999999999</v>
      </c>
    </row>
    <row r="22" spans="1:14" x14ac:dyDescent="0.2">
      <c r="A22" s="1" t="s">
        <v>28</v>
      </c>
      <c r="B22" s="1" t="s">
        <v>40</v>
      </c>
      <c r="C22" s="2">
        <v>50</v>
      </c>
      <c r="D22" s="2">
        <v>214</v>
      </c>
      <c r="E22" s="2"/>
      <c r="F22" s="2">
        <v>264</v>
      </c>
      <c r="G22" s="3">
        <v>0.18939393939393939</v>
      </c>
      <c r="H22" s="3">
        <v>0.81060606060606055</v>
      </c>
      <c r="I22" s="1" t="s">
        <v>30</v>
      </c>
      <c r="J22" s="2">
        <v>58</v>
      </c>
      <c r="K22" s="2">
        <v>216</v>
      </c>
      <c r="L22" s="2">
        <v>274</v>
      </c>
      <c r="M22" s="3">
        <v>0.21167883211678831</v>
      </c>
      <c r="N22" s="6">
        <v>-2.23</v>
      </c>
    </row>
    <row r="23" spans="1:14" x14ac:dyDescent="0.2">
      <c r="A23" s="1" t="s">
        <v>28</v>
      </c>
      <c r="B23" s="1" t="s">
        <v>41</v>
      </c>
      <c r="C23" s="2">
        <v>902</v>
      </c>
      <c r="D23" s="2">
        <v>1362</v>
      </c>
      <c r="E23" s="2"/>
      <c r="F23" s="2">
        <v>2264</v>
      </c>
      <c r="G23" s="3">
        <v>0.39840989399293292</v>
      </c>
      <c r="H23" s="3">
        <v>0.60159010600706708</v>
      </c>
      <c r="I23" s="1" t="s">
        <v>30</v>
      </c>
      <c r="J23" s="2">
        <v>944</v>
      </c>
      <c r="K23" s="2">
        <v>1486</v>
      </c>
      <c r="L23" s="2">
        <v>2430</v>
      </c>
      <c r="M23" s="3">
        <v>0.38847736625514401</v>
      </c>
      <c r="N23" s="6">
        <v>0.99</v>
      </c>
    </row>
    <row r="24" spans="1:14" x14ac:dyDescent="0.2">
      <c r="A24" s="1" t="s">
        <v>28</v>
      </c>
      <c r="B24" s="1" t="s">
        <v>42</v>
      </c>
      <c r="C24" s="2">
        <v>467</v>
      </c>
      <c r="D24" s="2">
        <v>1214</v>
      </c>
      <c r="E24" s="2"/>
      <c r="F24" s="2">
        <v>1681</v>
      </c>
      <c r="G24" s="3">
        <v>0.27781082688875669</v>
      </c>
      <c r="H24" s="3">
        <v>0.72218917311124331</v>
      </c>
      <c r="I24" s="1" t="s">
        <v>30</v>
      </c>
      <c r="J24" s="2">
        <v>515</v>
      </c>
      <c r="K24" s="2">
        <v>1293</v>
      </c>
      <c r="L24" s="2">
        <v>1808</v>
      </c>
      <c r="M24" s="3">
        <v>0.28484513274336282</v>
      </c>
      <c r="N24" s="6">
        <v>-0.7</v>
      </c>
    </row>
    <row r="25" spans="1:14" x14ac:dyDescent="0.2">
      <c r="A25" s="1" t="s">
        <v>28</v>
      </c>
      <c r="B25" s="1" t="s">
        <v>43</v>
      </c>
      <c r="C25" s="2">
        <v>588</v>
      </c>
      <c r="D25" s="2">
        <v>1601</v>
      </c>
      <c r="E25" s="2"/>
      <c r="F25" s="2">
        <v>2189</v>
      </c>
      <c r="G25" s="3">
        <v>0.26861580630424847</v>
      </c>
      <c r="H25" s="3">
        <v>0.73138419369575147</v>
      </c>
      <c r="I25" s="1" t="s">
        <v>30</v>
      </c>
      <c r="J25" s="2">
        <v>694</v>
      </c>
      <c r="K25" s="2">
        <v>1695</v>
      </c>
      <c r="L25" s="2">
        <v>2389</v>
      </c>
      <c r="M25" s="3">
        <v>0.2904981163666806</v>
      </c>
      <c r="N25" s="6">
        <v>-2.19</v>
      </c>
    </row>
    <row r="26" spans="1:14" x14ac:dyDescent="0.2">
      <c r="A26" s="1" t="s">
        <v>28</v>
      </c>
      <c r="B26" s="1" t="s">
        <v>44</v>
      </c>
      <c r="C26" s="2">
        <v>543</v>
      </c>
      <c r="D26" s="2">
        <v>913</v>
      </c>
      <c r="E26" s="2"/>
      <c r="F26" s="2">
        <v>1456</v>
      </c>
      <c r="G26" s="3">
        <v>0.37293956043956039</v>
      </c>
      <c r="H26" s="3">
        <v>0.62706043956043955</v>
      </c>
      <c r="I26" s="1" t="s">
        <v>30</v>
      </c>
      <c r="J26" s="2">
        <v>601</v>
      </c>
      <c r="K26" s="2">
        <v>955</v>
      </c>
      <c r="L26" s="2">
        <v>1556</v>
      </c>
      <c r="M26" s="3">
        <v>0.38624678663239081</v>
      </c>
      <c r="N26" s="6">
        <v>-1.33</v>
      </c>
    </row>
    <row r="27" spans="1:14" x14ac:dyDescent="0.2">
      <c r="A27" s="1" t="s">
        <v>28</v>
      </c>
      <c r="B27" s="1" t="s">
        <v>45</v>
      </c>
      <c r="C27" s="2">
        <v>95</v>
      </c>
      <c r="D27" s="2">
        <v>499</v>
      </c>
      <c r="E27" s="2"/>
      <c r="F27" s="2">
        <v>594</v>
      </c>
      <c r="G27" s="3">
        <v>0.1599326599326599</v>
      </c>
      <c r="H27" s="3">
        <v>0.84006734006734007</v>
      </c>
      <c r="I27" s="1" t="s">
        <v>30</v>
      </c>
      <c r="J27" s="2">
        <v>134</v>
      </c>
      <c r="K27" s="2">
        <v>505</v>
      </c>
      <c r="L27" s="2">
        <v>639</v>
      </c>
      <c r="M27" s="3">
        <v>0.20970266040688579</v>
      </c>
      <c r="N27" s="6">
        <v>-4.9800000000000004</v>
      </c>
    </row>
    <row r="28" spans="1:14" x14ac:dyDescent="0.2">
      <c r="A28" s="1" t="s">
        <v>28</v>
      </c>
      <c r="B28" s="1" t="s">
        <v>46</v>
      </c>
      <c r="C28" s="2">
        <v>887</v>
      </c>
      <c r="D28" s="2">
        <v>1673</v>
      </c>
      <c r="E28" s="2"/>
      <c r="F28" s="2">
        <v>2560</v>
      </c>
      <c r="G28" s="3">
        <v>0.34648437500000001</v>
      </c>
      <c r="H28" s="3">
        <v>0.65351562500000004</v>
      </c>
      <c r="I28" s="1" t="s">
        <v>30</v>
      </c>
      <c r="J28" s="2">
        <v>981</v>
      </c>
      <c r="K28" s="2">
        <v>1740</v>
      </c>
      <c r="L28" s="2">
        <v>2721</v>
      </c>
      <c r="M28" s="3">
        <v>0.36052921719955899</v>
      </c>
      <c r="N28" s="6">
        <v>-1.4</v>
      </c>
    </row>
    <row r="29" spans="1:14" x14ac:dyDescent="0.2">
      <c r="A29" s="1" t="s">
        <v>28</v>
      </c>
      <c r="B29" s="1" t="s">
        <v>47</v>
      </c>
      <c r="C29" s="2">
        <v>52</v>
      </c>
      <c r="D29" s="2">
        <v>163</v>
      </c>
      <c r="E29" s="2"/>
      <c r="F29" s="2">
        <v>215</v>
      </c>
      <c r="G29" s="3">
        <v>0.24186046511627909</v>
      </c>
      <c r="H29" s="3">
        <v>0.75813953488372088</v>
      </c>
      <c r="I29" s="1" t="s">
        <v>30</v>
      </c>
      <c r="J29" s="2">
        <v>74</v>
      </c>
      <c r="K29" s="2">
        <v>162</v>
      </c>
      <c r="L29" s="2">
        <v>236</v>
      </c>
      <c r="M29" s="3">
        <v>0.3135593220338983</v>
      </c>
      <c r="N29" s="6">
        <v>-7.17</v>
      </c>
    </row>
    <row r="30" spans="1:14" x14ac:dyDescent="0.2">
      <c r="A30" s="1" t="s">
        <v>28</v>
      </c>
      <c r="B30" s="1" t="s">
        <v>48</v>
      </c>
      <c r="C30" s="2">
        <v>1696</v>
      </c>
      <c r="D30" s="2">
        <v>3537</v>
      </c>
      <c r="E30" s="2"/>
      <c r="F30" s="2">
        <v>5233</v>
      </c>
      <c r="G30" s="3">
        <v>0.32409707624689471</v>
      </c>
      <c r="H30" s="3">
        <v>0.67590292375310534</v>
      </c>
      <c r="I30" s="1" t="s">
        <v>30</v>
      </c>
      <c r="J30" s="2">
        <v>2047</v>
      </c>
      <c r="K30" s="2">
        <v>3702</v>
      </c>
      <c r="L30" s="2">
        <v>5749</v>
      </c>
      <c r="M30" s="3">
        <v>0.35606192381283702</v>
      </c>
      <c r="N30" s="6">
        <v>-3.2</v>
      </c>
    </row>
    <row r="31" spans="1:14" x14ac:dyDescent="0.2">
      <c r="A31" s="1" t="s">
        <v>28</v>
      </c>
      <c r="B31" s="1" t="s">
        <v>49</v>
      </c>
      <c r="C31" s="2">
        <v>648</v>
      </c>
      <c r="D31" s="2">
        <v>890</v>
      </c>
      <c r="E31" s="2"/>
      <c r="F31" s="2">
        <v>1538</v>
      </c>
      <c r="G31" s="3">
        <v>0.42132639791937582</v>
      </c>
      <c r="H31" s="3">
        <v>0.57867360208062424</v>
      </c>
      <c r="I31" s="1" t="s">
        <v>30</v>
      </c>
      <c r="J31" s="2">
        <v>660</v>
      </c>
      <c r="K31" s="2">
        <v>913</v>
      </c>
      <c r="L31" s="2">
        <v>1573</v>
      </c>
      <c r="M31" s="3">
        <v>0.41958041958041958</v>
      </c>
      <c r="N31" s="6">
        <v>0.17</v>
      </c>
    </row>
    <row r="32" spans="1:14" x14ac:dyDescent="0.2">
      <c r="A32" s="1" t="s">
        <v>28</v>
      </c>
      <c r="B32" s="1" t="s">
        <v>50</v>
      </c>
      <c r="C32" s="2">
        <v>680</v>
      </c>
      <c r="D32" s="2">
        <v>1964</v>
      </c>
      <c r="E32" s="2"/>
      <c r="F32" s="2">
        <v>2644</v>
      </c>
      <c r="G32" s="3">
        <v>0.25718608169440238</v>
      </c>
      <c r="H32" s="3">
        <v>0.74281391830559762</v>
      </c>
      <c r="I32" s="1" t="s">
        <v>30</v>
      </c>
      <c r="J32" s="2">
        <v>802</v>
      </c>
      <c r="K32" s="2">
        <v>1955</v>
      </c>
      <c r="L32" s="2">
        <v>2757</v>
      </c>
      <c r="M32" s="3">
        <v>0.29089590134203852</v>
      </c>
      <c r="N32" s="6">
        <v>-3.37</v>
      </c>
    </row>
    <row r="33" spans="1:14" x14ac:dyDescent="0.2">
      <c r="A33" s="1" t="s">
        <v>28</v>
      </c>
      <c r="B33" s="1" t="s">
        <v>51</v>
      </c>
      <c r="C33" s="2">
        <v>284</v>
      </c>
      <c r="D33" s="2">
        <v>905</v>
      </c>
      <c r="E33" s="2"/>
      <c r="F33" s="2">
        <v>1189</v>
      </c>
      <c r="G33" s="3">
        <v>0.2388561816652649</v>
      </c>
      <c r="H33" s="3">
        <v>0.7611438183347351</v>
      </c>
      <c r="I33" s="1" t="s">
        <v>30</v>
      </c>
      <c r="J33" s="2">
        <v>351</v>
      </c>
      <c r="K33" s="2">
        <v>849</v>
      </c>
      <c r="L33" s="2">
        <v>1200</v>
      </c>
      <c r="M33" s="3">
        <v>0.29249999999999998</v>
      </c>
      <c r="N33" s="6">
        <v>-5.36</v>
      </c>
    </row>
    <row r="34" spans="1:14" x14ac:dyDescent="0.2">
      <c r="A34" s="1" t="s">
        <v>28</v>
      </c>
      <c r="B34" s="1" t="s">
        <v>52</v>
      </c>
      <c r="C34" s="2">
        <v>61</v>
      </c>
      <c r="D34" s="2">
        <v>82</v>
      </c>
      <c r="E34" s="2"/>
      <c r="F34" s="2">
        <v>143</v>
      </c>
      <c r="G34" s="3">
        <v>0.42657342657342662</v>
      </c>
      <c r="H34" s="3">
        <v>0.57342657342657344</v>
      </c>
      <c r="I34" s="1" t="s">
        <v>30</v>
      </c>
      <c r="J34" s="2">
        <v>58</v>
      </c>
      <c r="K34" s="2">
        <v>105</v>
      </c>
      <c r="L34" s="2">
        <v>163</v>
      </c>
      <c r="M34" s="3">
        <v>0.35582822085889571</v>
      </c>
      <c r="N34" s="6">
        <v>7.07</v>
      </c>
    </row>
    <row r="35" spans="1:14" x14ac:dyDescent="0.2">
      <c r="A35" s="1" t="s">
        <v>53</v>
      </c>
      <c r="B35" s="1" t="s">
        <v>54</v>
      </c>
      <c r="C35" s="2">
        <v>640</v>
      </c>
      <c r="D35" s="2">
        <v>774</v>
      </c>
      <c r="E35" s="2"/>
      <c r="F35" s="2">
        <v>1414</v>
      </c>
      <c r="G35" s="3">
        <v>0.45261669024045259</v>
      </c>
      <c r="H35" s="3">
        <v>0.54738330975954741</v>
      </c>
      <c r="I35" s="1" t="s">
        <v>30</v>
      </c>
      <c r="J35" s="2">
        <v>601</v>
      </c>
      <c r="K35" s="2">
        <v>766</v>
      </c>
      <c r="L35" s="2">
        <v>1367</v>
      </c>
      <c r="M35" s="3">
        <v>0.43964886613021209</v>
      </c>
      <c r="N35" s="6">
        <v>1.3</v>
      </c>
    </row>
    <row r="36" spans="1:14" x14ac:dyDescent="0.2">
      <c r="A36" s="1" t="s">
        <v>53</v>
      </c>
      <c r="B36" s="1" t="s">
        <v>55</v>
      </c>
      <c r="C36" s="2">
        <v>26910</v>
      </c>
      <c r="D36" s="2">
        <v>14775</v>
      </c>
      <c r="E36" s="2"/>
      <c r="F36" s="2">
        <v>41685</v>
      </c>
      <c r="G36" s="3">
        <v>0.64555595537963295</v>
      </c>
      <c r="H36" s="3">
        <v>0.35444404462036699</v>
      </c>
      <c r="I36" s="1" t="s">
        <v>30</v>
      </c>
      <c r="J36" s="2">
        <v>26568</v>
      </c>
      <c r="K36" s="2">
        <v>14583</v>
      </c>
      <c r="L36" s="2">
        <v>41151</v>
      </c>
      <c r="M36" s="3">
        <v>0.64562222060217245</v>
      </c>
      <c r="N36" s="6">
        <v>-0.01</v>
      </c>
    </row>
    <row r="37" spans="1:14" x14ac:dyDescent="0.2">
      <c r="A37" s="1" t="s">
        <v>53</v>
      </c>
      <c r="B37" s="1" t="s">
        <v>56</v>
      </c>
      <c r="C37" s="2">
        <v>6536</v>
      </c>
      <c r="D37" s="2">
        <v>4103</v>
      </c>
      <c r="E37" s="2"/>
      <c r="F37" s="2">
        <v>10639</v>
      </c>
      <c r="G37" s="3">
        <v>0.61434345333208007</v>
      </c>
      <c r="H37" s="3">
        <v>0.38565654666791988</v>
      </c>
      <c r="I37" s="1" t="s">
        <v>30</v>
      </c>
      <c r="J37" s="2">
        <v>6612</v>
      </c>
      <c r="K37" s="2">
        <v>3834</v>
      </c>
      <c r="L37" s="2">
        <v>10446</v>
      </c>
      <c r="M37" s="3">
        <v>0.63296955772544516</v>
      </c>
      <c r="N37" s="6">
        <v>-1.86</v>
      </c>
    </row>
    <row r="38" spans="1:14" x14ac:dyDescent="0.2">
      <c r="A38" s="1" t="s">
        <v>53</v>
      </c>
      <c r="B38" s="1" t="s">
        <v>57</v>
      </c>
      <c r="C38" s="2">
        <v>1532</v>
      </c>
      <c r="D38" s="2">
        <v>1554</v>
      </c>
      <c r="E38" s="2"/>
      <c r="F38" s="2">
        <v>3086</v>
      </c>
      <c r="G38" s="3">
        <v>0.49643551523007129</v>
      </c>
      <c r="H38" s="3">
        <v>0.50356448476992866</v>
      </c>
      <c r="I38" s="1" t="s">
        <v>30</v>
      </c>
      <c r="J38" s="2">
        <v>1560</v>
      </c>
      <c r="K38" s="2">
        <v>1491</v>
      </c>
      <c r="L38" s="2">
        <v>3051</v>
      </c>
      <c r="M38" s="3">
        <v>0.51130776794493604</v>
      </c>
      <c r="N38" s="6">
        <v>-1.49</v>
      </c>
    </row>
    <row r="39" spans="1:14" x14ac:dyDescent="0.2">
      <c r="A39" s="1" t="s">
        <v>53</v>
      </c>
      <c r="B39" s="1" t="s">
        <v>58</v>
      </c>
      <c r="C39" s="2">
        <v>739</v>
      </c>
      <c r="D39" s="2">
        <v>831</v>
      </c>
      <c r="E39" s="2"/>
      <c r="F39" s="2">
        <v>1570</v>
      </c>
      <c r="G39" s="3">
        <v>0.47070063694267522</v>
      </c>
      <c r="H39" s="3">
        <v>0.52929936305732483</v>
      </c>
      <c r="I39" s="1" t="s">
        <v>30</v>
      </c>
      <c r="J39" s="2">
        <v>735</v>
      </c>
      <c r="K39" s="2">
        <v>804</v>
      </c>
      <c r="L39" s="2">
        <v>1539</v>
      </c>
      <c r="M39" s="3">
        <v>0.47758284600389861</v>
      </c>
      <c r="N39" s="6">
        <v>-0.69</v>
      </c>
    </row>
    <row r="40" spans="1:14" x14ac:dyDescent="0.2">
      <c r="A40" s="1" t="s">
        <v>53</v>
      </c>
      <c r="B40" s="1" t="s">
        <v>59</v>
      </c>
      <c r="C40" s="2">
        <v>905</v>
      </c>
      <c r="D40" s="2">
        <v>932</v>
      </c>
      <c r="E40" s="2"/>
      <c r="F40" s="2">
        <v>1837</v>
      </c>
      <c r="G40" s="3">
        <v>0.49265106151333699</v>
      </c>
      <c r="H40" s="3">
        <v>0.50734893848666307</v>
      </c>
      <c r="I40" s="1" t="s">
        <v>30</v>
      </c>
      <c r="J40" s="2">
        <v>899</v>
      </c>
      <c r="K40" s="2">
        <v>898</v>
      </c>
      <c r="L40" s="2">
        <v>1797</v>
      </c>
      <c r="M40" s="3">
        <v>0.50027824151363387</v>
      </c>
      <c r="N40" s="6">
        <v>-0.76</v>
      </c>
    </row>
    <row r="41" spans="1:14" x14ac:dyDescent="0.2">
      <c r="A41" s="1" t="s">
        <v>53</v>
      </c>
      <c r="B41" s="1" t="s">
        <v>60</v>
      </c>
      <c r="C41" s="2">
        <v>3516</v>
      </c>
      <c r="D41" s="2">
        <v>3342</v>
      </c>
      <c r="E41" s="2"/>
      <c r="F41" s="2">
        <v>6858</v>
      </c>
      <c r="G41" s="3">
        <v>0.51268591426071741</v>
      </c>
      <c r="H41" s="3">
        <v>0.48731408573928259</v>
      </c>
      <c r="I41" s="1" t="s">
        <v>30</v>
      </c>
      <c r="J41" s="2">
        <v>3663</v>
      </c>
      <c r="K41" s="2">
        <v>3236</v>
      </c>
      <c r="L41" s="2">
        <v>6899</v>
      </c>
      <c r="M41" s="3">
        <v>0.53094651398753445</v>
      </c>
      <c r="N41" s="6">
        <v>-1.83</v>
      </c>
    </row>
    <row r="42" spans="1:14" x14ac:dyDescent="0.2">
      <c r="A42" s="1" t="s">
        <v>53</v>
      </c>
      <c r="B42" s="1" t="s">
        <v>61</v>
      </c>
      <c r="C42" s="2">
        <v>1506</v>
      </c>
      <c r="D42" s="2">
        <v>835</v>
      </c>
      <c r="E42" s="2"/>
      <c r="F42" s="2">
        <v>2341</v>
      </c>
      <c r="G42" s="3">
        <v>0.64331482272533103</v>
      </c>
      <c r="H42" s="3">
        <v>0.35668517727466892</v>
      </c>
      <c r="I42" s="1" t="s">
        <v>30</v>
      </c>
      <c r="J42" s="2">
        <v>1433</v>
      </c>
      <c r="K42" s="2">
        <v>793</v>
      </c>
      <c r="L42" s="2">
        <v>2226</v>
      </c>
      <c r="M42" s="3">
        <v>0.64375561545372861</v>
      </c>
      <c r="N42" s="6">
        <v>-0.04</v>
      </c>
    </row>
    <row r="43" spans="1:14" x14ac:dyDescent="0.2">
      <c r="A43" s="1" t="s">
        <v>53</v>
      </c>
      <c r="B43" s="1" t="s">
        <v>62</v>
      </c>
      <c r="C43" s="2">
        <v>381</v>
      </c>
      <c r="D43" s="2">
        <v>358</v>
      </c>
      <c r="E43" s="2"/>
      <c r="F43" s="2">
        <v>739</v>
      </c>
      <c r="G43" s="3">
        <v>0.51556156968876865</v>
      </c>
      <c r="H43" s="3">
        <v>0.4844384303112314</v>
      </c>
      <c r="I43" s="1" t="s">
        <v>30</v>
      </c>
      <c r="J43" s="2">
        <v>379</v>
      </c>
      <c r="K43" s="2">
        <v>330</v>
      </c>
      <c r="L43" s="2">
        <v>709</v>
      </c>
      <c r="M43" s="3">
        <v>0.5345557122708039</v>
      </c>
      <c r="N43" s="6">
        <v>-1.9</v>
      </c>
    </row>
    <row r="44" spans="1:14" x14ac:dyDescent="0.2">
      <c r="A44" s="1" t="s">
        <v>53</v>
      </c>
      <c r="B44" s="1" t="s">
        <v>63</v>
      </c>
      <c r="C44" s="2">
        <v>589</v>
      </c>
      <c r="D44" s="2">
        <v>1465</v>
      </c>
      <c r="E44" s="2"/>
      <c r="F44" s="2">
        <v>2054</v>
      </c>
      <c r="G44" s="3">
        <v>0.28675754625121708</v>
      </c>
      <c r="H44" s="3">
        <v>0.71324245374878281</v>
      </c>
      <c r="I44" s="1" t="s">
        <v>30</v>
      </c>
      <c r="J44" s="2">
        <v>654</v>
      </c>
      <c r="K44" s="2">
        <v>1439</v>
      </c>
      <c r="L44" s="2">
        <v>2093</v>
      </c>
      <c r="M44" s="3">
        <v>0.3124701385570951</v>
      </c>
      <c r="N44" s="6">
        <v>-2.57</v>
      </c>
    </row>
    <row r="45" spans="1:14" x14ac:dyDescent="0.2">
      <c r="A45" s="1" t="s">
        <v>53</v>
      </c>
      <c r="B45" s="1" t="s">
        <v>64</v>
      </c>
      <c r="C45" s="2">
        <v>9890</v>
      </c>
      <c r="D45" s="2">
        <v>10546</v>
      </c>
      <c r="E45" s="2"/>
      <c r="F45" s="2">
        <v>20436</v>
      </c>
      <c r="G45" s="3">
        <v>0.48394989234683888</v>
      </c>
      <c r="H45" s="3">
        <v>0.51605010765316106</v>
      </c>
      <c r="I45" s="1" t="s">
        <v>30</v>
      </c>
      <c r="J45" s="2">
        <v>10021</v>
      </c>
      <c r="K45" s="2">
        <v>10199</v>
      </c>
      <c r="L45" s="2">
        <v>20220</v>
      </c>
      <c r="M45" s="3">
        <v>0.49559841740850641</v>
      </c>
      <c r="N45" s="6">
        <v>-1.1599999999999999</v>
      </c>
    </row>
    <row r="46" spans="1:14" x14ac:dyDescent="0.2">
      <c r="A46" s="1" t="s">
        <v>53</v>
      </c>
      <c r="B46" s="1" t="s">
        <v>65</v>
      </c>
      <c r="C46" s="2">
        <v>932</v>
      </c>
      <c r="D46" s="2">
        <v>1669</v>
      </c>
      <c r="E46" s="2"/>
      <c r="F46" s="2">
        <v>2601</v>
      </c>
      <c r="G46" s="3">
        <v>0.35832372164552101</v>
      </c>
      <c r="H46" s="3">
        <v>0.64167627835447905</v>
      </c>
      <c r="I46" s="1" t="s">
        <v>30</v>
      </c>
      <c r="J46" s="2">
        <v>985</v>
      </c>
      <c r="K46" s="2">
        <v>1586</v>
      </c>
      <c r="L46" s="2">
        <v>2571</v>
      </c>
      <c r="M46" s="3">
        <v>0.38311940879035389</v>
      </c>
      <c r="N46" s="6">
        <v>-2.48</v>
      </c>
    </row>
    <row r="47" spans="1:14" x14ac:dyDescent="0.2">
      <c r="A47" s="1" t="s">
        <v>53</v>
      </c>
      <c r="B47" s="1" t="s">
        <v>66</v>
      </c>
      <c r="C47" s="2">
        <v>512</v>
      </c>
      <c r="D47" s="2">
        <v>1051</v>
      </c>
      <c r="E47" s="2"/>
      <c r="F47" s="2">
        <v>1563</v>
      </c>
      <c r="G47" s="3">
        <v>0.327575175943698</v>
      </c>
      <c r="H47" s="3">
        <v>0.672424824056302</v>
      </c>
      <c r="I47" s="1" t="s">
        <v>30</v>
      </c>
      <c r="J47" s="2">
        <v>543</v>
      </c>
      <c r="K47" s="2">
        <v>990</v>
      </c>
      <c r="L47" s="2">
        <v>1533</v>
      </c>
      <c r="M47" s="3">
        <v>0.3542074363992172</v>
      </c>
      <c r="N47" s="6">
        <v>-2.66</v>
      </c>
    </row>
    <row r="48" spans="1:14" x14ac:dyDescent="0.2">
      <c r="A48" s="1" t="s">
        <v>53</v>
      </c>
      <c r="B48" s="1" t="s">
        <v>67</v>
      </c>
      <c r="C48" s="2">
        <v>787</v>
      </c>
      <c r="D48" s="2">
        <v>1913</v>
      </c>
      <c r="E48" s="2"/>
      <c r="F48" s="2">
        <v>2700</v>
      </c>
      <c r="G48" s="3">
        <v>0.29148148148148151</v>
      </c>
      <c r="H48" s="3">
        <v>0.70851851851851855</v>
      </c>
      <c r="I48" s="1" t="s">
        <v>30</v>
      </c>
      <c r="J48" s="2">
        <v>850</v>
      </c>
      <c r="K48" s="2">
        <v>1856</v>
      </c>
      <c r="L48" s="2">
        <v>2706</v>
      </c>
      <c r="M48" s="3">
        <v>0.31411677753141171</v>
      </c>
      <c r="N48" s="6">
        <v>-2.2599999999999998</v>
      </c>
    </row>
    <row r="49" spans="1:14" x14ac:dyDescent="0.2">
      <c r="A49" s="1" t="s">
        <v>53</v>
      </c>
      <c r="B49" s="1" t="s">
        <v>68</v>
      </c>
      <c r="C49" s="2">
        <v>970</v>
      </c>
      <c r="D49" s="2">
        <v>924</v>
      </c>
      <c r="E49" s="2"/>
      <c r="F49" s="2">
        <v>1894</v>
      </c>
      <c r="G49" s="3">
        <v>0.5121436114044351</v>
      </c>
      <c r="H49" s="3">
        <v>0.48785638859556502</v>
      </c>
      <c r="I49" s="1" t="s">
        <v>30</v>
      </c>
      <c r="J49" s="2">
        <v>980</v>
      </c>
      <c r="K49" s="2">
        <v>872</v>
      </c>
      <c r="L49" s="2">
        <v>1852</v>
      </c>
      <c r="M49" s="3">
        <v>0.52915766738660908</v>
      </c>
      <c r="N49" s="6">
        <v>-1.7</v>
      </c>
    </row>
    <row r="50" spans="1:14" x14ac:dyDescent="0.2">
      <c r="A50" s="1" t="s">
        <v>53</v>
      </c>
      <c r="B50" s="1" t="s">
        <v>69</v>
      </c>
      <c r="C50" s="2">
        <v>3865</v>
      </c>
      <c r="D50" s="2">
        <v>6171</v>
      </c>
      <c r="E50" s="2"/>
      <c r="F50" s="2">
        <v>10036</v>
      </c>
      <c r="G50" s="3">
        <v>0.38511359107214033</v>
      </c>
      <c r="H50" s="3">
        <v>0.61488640892785973</v>
      </c>
      <c r="I50" s="1" t="s">
        <v>30</v>
      </c>
      <c r="J50" s="2">
        <v>4022</v>
      </c>
      <c r="K50" s="2">
        <v>5915</v>
      </c>
      <c r="L50" s="2">
        <v>9937</v>
      </c>
      <c r="M50" s="3">
        <v>0.40474992452450442</v>
      </c>
      <c r="N50" s="6">
        <v>-1.96</v>
      </c>
    </row>
    <row r="51" spans="1:14" x14ac:dyDescent="0.2">
      <c r="A51" s="1" t="s">
        <v>53</v>
      </c>
      <c r="B51" s="1" t="s">
        <v>70</v>
      </c>
      <c r="C51" s="2">
        <v>3825</v>
      </c>
      <c r="D51" s="2">
        <v>4341</v>
      </c>
      <c r="E51" s="2"/>
      <c r="F51" s="2">
        <v>8166</v>
      </c>
      <c r="G51" s="3">
        <v>0.46840558412931671</v>
      </c>
      <c r="H51" s="3">
        <v>0.53159441587068335</v>
      </c>
      <c r="I51" s="1" t="s">
        <v>30</v>
      </c>
      <c r="J51" s="2">
        <v>4010</v>
      </c>
      <c r="K51" s="2">
        <v>4104</v>
      </c>
      <c r="L51" s="2">
        <v>8114</v>
      </c>
      <c r="M51" s="3">
        <v>0.49420754251910282</v>
      </c>
      <c r="N51" s="6">
        <v>-2.58</v>
      </c>
    </row>
    <row r="52" spans="1:14" x14ac:dyDescent="0.2">
      <c r="A52" s="1" t="s">
        <v>53</v>
      </c>
      <c r="B52" s="1" t="s">
        <v>71</v>
      </c>
      <c r="C52" s="2">
        <v>842</v>
      </c>
      <c r="D52" s="2">
        <v>1156</v>
      </c>
      <c r="E52" s="2"/>
      <c r="F52" s="2">
        <v>1998</v>
      </c>
      <c r="G52" s="3">
        <v>0.42142142142142142</v>
      </c>
      <c r="H52" s="3">
        <v>0.57857857857857853</v>
      </c>
      <c r="I52" s="1" t="s">
        <v>30</v>
      </c>
      <c r="J52" s="2">
        <v>800</v>
      </c>
      <c r="K52" s="2">
        <v>1156</v>
      </c>
      <c r="L52" s="2">
        <v>1956</v>
      </c>
      <c r="M52" s="3">
        <v>0.40899795501022501</v>
      </c>
      <c r="N52" s="6">
        <v>1.24</v>
      </c>
    </row>
    <row r="53" spans="1:14" x14ac:dyDescent="0.2">
      <c r="A53" s="1" t="s">
        <v>53</v>
      </c>
      <c r="B53" s="1" t="s">
        <v>72</v>
      </c>
      <c r="C53" s="2">
        <v>6876</v>
      </c>
      <c r="D53" s="2">
        <v>6322</v>
      </c>
      <c r="E53" s="2"/>
      <c r="F53" s="2">
        <v>13198</v>
      </c>
      <c r="G53" s="3">
        <v>0.52098802848916503</v>
      </c>
      <c r="H53" s="3">
        <v>0.47901197151083502</v>
      </c>
      <c r="I53" s="1" t="s">
        <v>30</v>
      </c>
      <c r="J53" s="2">
        <v>7019</v>
      </c>
      <c r="K53" s="2">
        <v>6110</v>
      </c>
      <c r="L53" s="2">
        <v>13129</v>
      </c>
      <c r="M53" s="3">
        <v>0.53461802117449919</v>
      </c>
      <c r="N53" s="6">
        <v>-1.36</v>
      </c>
    </row>
    <row r="54" spans="1:14" x14ac:dyDescent="0.2">
      <c r="A54" s="1" t="s">
        <v>53</v>
      </c>
      <c r="B54" s="1" t="s">
        <v>73</v>
      </c>
      <c r="C54" s="2">
        <v>7838</v>
      </c>
      <c r="D54" s="2">
        <v>8122</v>
      </c>
      <c r="E54" s="2"/>
      <c r="F54" s="2">
        <v>15960</v>
      </c>
      <c r="G54" s="3">
        <v>0.4911027568922306</v>
      </c>
      <c r="H54" s="3">
        <v>0.5088972431077694</v>
      </c>
      <c r="I54" s="1" t="s">
        <v>30</v>
      </c>
      <c r="J54" s="2">
        <v>8020</v>
      </c>
      <c r="K54" s="2">
        <v>7607</v>
      </c>
      <c r="L54" s="2">
        <v>15627</v>
      </c>
      <c r="M54" s="3">
        <v>0.51321430856850325</v>
      </c>
      <c r="N54" s="6">
        <v>-2.21</v>
      </c>
    </row>
    <row r="55" spans="1:14" x14ac:dyDescent="0.2">
      <c r="A55" s="1" t="s">
        <v>53</v>
      </c>
      <c r="B55" s="1" t="s">
        <v>74</v>
      </c>
      <c r="C55" s="2">
        <v>2304</v>
      </c>
      <c r="D55" s="2">
        <v>3150</v>
      </c>
      <c r="E55" s="2"/>
      <c r="F55" s="2">
        <v>5454</v>
      </c>
      <c r="G55" s="3">
        <v>0.42244224422442239</v>
      </c>
      <c r="H55" s="3">
        <v>0.57755775577557755</v>
      </c>
      <c r="I55" s="1" t="s">
        <v>30</v>
      </c>
      <c r="J55" s="2">
        <v>2380</v>
      </c>
      <c r="K55" s="2">
        <v>3135</v>
      </c>
      <c r="L55" s="2">
        <v>5515</v>
      </c>
      <c r="M55" s="3">
        <v>0.4315503173164098</v>
      </c>
      <c r="N55" s="6">
        <v>-0.91</v>
      </c>
    </row>
    <row r="56" spans="1:14" x14ac:dyDescent="0.2">
      <c r="A56" s="1" t="s">
        <v>53</v>
      </c>
      <c r="B56" s="1" t="s">
        <v>75</v>
      </c>
      <c r="C56" s="2">
        <v>5198</v>
      </c>
      <c r="D56" s="2">
        <v>5988</v>
      </c>
      <c r="E56" s="2"/>
      <c r="F56" s="2">
        <v>11186</v>
      </c>
      <c r="G56" s="3">
        <v>0.46468800286071882</v>
      </c>
      <c r="H56" s="3">
        <v>0.53531199713928124</v>
      </c>
      <c r="I56" s="1" t="s">
        <v>30</v>
      </c>
      <c r="J56" s="2">
        <v>5462</v>
      </c>
      <c r="K56" s="2">
        <v>5740</v>
      </c>
      <c r="L56" s="2">
        <v>11202</v>
      </c>
      <c r="M56" s="3">
        <v>0.48759150151758612</v>
      </c>
      <c r="N56" s="6">
        <v>-2.29</v>
      </c>
    </row>
    <row r="57" spans="1:14" x14ac:dyDescent="0.2">
      <c r="A57" s="1" t="s">
        <v>53</v>
      </c>
      <c r="B57" s="1" t="s">
        <v>76</v>
      </c>
      <c r="C57" s="2">
        <v>1208</v>
      </c>
      <c r="D57" s="2">
        <v>2725</v>
      </c>
      <c r="E57" s="2"/>
      <c r="F57" s="2">
        <v>3933</v>
      </c>
      <c r="G57" s="3">
        <v>0.30714467327739642</v>
      </c>
      <c r="H57" s="3">
        <v>0.69285532672260364</v>
      </c>
      <c r="I57" s="1" t="s">
        <v>30</v>
      </c>
      <c r="J57" s="2">
        <v>1266</v>
      </c>
      <c r="K57" s="2">
        <v>2669</v>
      </c>
      <c r="L57" s="2">
        <v>3935</v>
      </c>
      <c r="M57" s="3">
        <v>0.32172808132147401</v>
      </c>
      <c r="N57" s="6">
        <v>-1.46</v>
      </c>
    </row>
    <row r="58" spans="1:14" x14ac:dyDescent="0.2">
      <c r="A58" s="1" t="s">
        <v>53</v>
      </c>
      <c r="B58" s="1" t="s">
        <v>77</v>
      </c>
      <c r="C58" s="2">
        <v>1078</v>
      </c>
      <c r="D58" s="2">
        <v>2300</v>
      </c>
      <c r="E58" s="2"/>
      <c r="F58" s="2">
        <v>3378</v>
      </c>
      <c r="G58" s="3">
        <v>0.31912374185908821</v>
      </c>
      <c r="H58" s="3">
        <v>0.68087625814091179</v>
      </c>
      <c r="I58" s="1" t="s">
        <v>30</v>
      </c>
      <c r="J58" s="2">
        <v>1172</v>
      </c>
      <c r="K58" s="2">
        <v>2201</v>
      </c>
      <c r="L58" s="2">
        <v>3373</v>
      </c>
      <c r="M58" s="3">
        <v>0.34746516454195081</v>
      </c>
      <c r="N58" s="6">
        <v>-2.83</v>
      </c>
    </row>
    <row r="59" spans="1:14" x14ac:dyDescent="0.2">
      <c r="A59" s="1" t="s">
        <v>53</v>
      </c>
      <c r="B59" s="1" t="s">
        <v>78</v>
      </c>
      <c r="C59" s="2">
        <v>7160</v>
      </c>
      <c r="D59" s="2">
        <v>7320</v>
      </c>
      <c r="E59" s="2"/>
      <c r="F59" s="2">
        <v>14480</v>
      </c>
      <c r="G59" s="3">
        <v>0.49447513812154698</v>
      </c>
      <c r="H59" s="3">
        <v>0.50552486187845302</v>
      </c>
      <c r="I59" s="1" t="s">
        <v>30</v>
      </c>
      <c r="J59" s="2">
        <v>7383</v>
      </c>
      <c r="K59" s="2">
        <v>7036</v>
      </c>
      <c r="L59" s="2">
        <v>14419</v>
      </c>
      <c r="M59" s="3">
        <v>0.51203273458630971</v>
      </c>
      <c r="N59" s="6">
        <v>-1.76</v>
      </c>
    </row>
    <row r="60" spans="1:14" x14ac:dyDescent="0.2">
      <c r="A60" s="1" t="s">
        <v>79</v>
      </c>
      <c r="B60" s="1" t="s">
        <v>80</v>
      </c>
      <c r="C60" s="2">
        <v>1253</v>
      </c>
      <c r="D60" s="2">
        <v>2916</v>
      </c>
      <c r="E60" s="2"/>
      <c r="F60" s="2">
        <v>4169</v>
      </c>
      <c r="G60" s="3">
        <v>0.30055169105301027</v>
      </c>
      <c r="H60" s="3">
        <v>0.69944830894698973</v>
      </c>
      <c r="I60" s="1" t="s">
        <v>30</v>
      </c>
      <c r="J60" s="2">
        <v>1414</v>
      </c>
      <c r="K60" s="2">
        <v>2894</v>
      </c>
      <c r="L60" s="2">
        <v>4308</v>
      </c>
      <c r="M60" s="3">
        <v>0.32822655524605387</v>
      </c>
      <c r="N60" s="6">
        <v>-2.77</v>
      </c>
    </row>
    <row r="61" spans="1:14" x14ac:dyDescent="0.2">
      <c r="A61" s="1" t="s">
        <v>79</v>
      </c>
      <c r="B61" s="1" t="s">
        <v>81</v>
      </c>
      <c r="C61" s="2">
        <v>410</v>
      </c>
      <c r="D61" s="2">
        <v>1134</v>
      </c>
      <c r="E61" s="2"/>
      <c r="F61" s="2">
        <v>1544</v>
      </c>
      <c r="G61" s="3">
        <v>0.2655440414507772</v>
      </c>
      <c r="H61" s="3">
        <v>0.73445595854922274</v>
      </c>
      <c r="I61" s="1" t="s">
        <v>30</v>
      </c>
      <c r="J61" s="2">
        <v>471</v>
      </c>
      <c r="K61" s="2">
        <v>1124</v>
      </c>
      <c r="L61" s="2">
        <v>1595</v>
      </c>
      <c r="M61" s="3">
        <v>0.29529780564263319</v>
      </c>
      <c r="N61" s="6">
        <v>-2.98</v>
      </c>
    </row>
    <row r="62" spans="1:14" x14ac:dyDescent="0.2">
      <c r="A62" s="1" t="s">
        <v>79</v>
      </c>
      <c r="B62" s="1" t="s">
        <v>82</v>
      </c>
      <c r="C62" s="2">
        <v>480</v>
      </c>
      <c r="D62" s="2">
        <v>1089</v>
      </c>
      <c r="E62" s="2"/>
      <c r="F62" s="2">
        <v>1569</v>
      </c>
      <c r="G62" s="3">
        <v>0.30592734225621421</v>
      </c>
      <c r="H62" s="3">
        <v>0.6940726577437859</v>
      </c>
      <c r="I62" s="1" t="s">
        <v>30</v>
      </c>
      <c r="J62" s="2">
        <v>521</v>
      </c>
      <c r="K62" s="2">
        <v>997</v>
      </c>
      <c r="L62" s="2">
        <v>1518</v>
      </c>
      <c r="M62" s="3">
        <v>0.3432147562582345</v>
      </c>
      <c r="N62" s="6">
        <v>-3.73</v>
      </c>
    </row>
    <row r="63" spans="1:14" x14ac:dyDescent="0.2">
      <c r="A63" s="1" t="s">
        <v>83</v>
      </c>
      <c r="B63" s="1" t="s">
        <v>84</v>
      </c>
      <c r="C63" s="2">
        <v>1457</v>
      </c>
      <c r="D63" s="2">
        <v>2007</v>
      </c>
      <c r="E63" s="2"/>
      <c r="F63" s="2">
        <v>3464</v>
      </c>
      <c r="G63" s="3">
        <v>0.42061200923787528</v>
      </c>
      <c r="H63" s="3">
        <v>0.57938799076212466</v>
      </c>
      <c r="I63" s="1" t="s">
        <v>30</v>
      </c>
      <c r="J63" s="2">
        <v>1511</v>
      </c>
      <c r="K63" s="2">
        <v>2018</v>
      </c>
      <c r="L63" s="2">
        <v>3529</v>
      </c>
      <c r="M63" s="3">
        <v>0.42816661943893453</v>
      </c>
      <c r="N63" s="6">
        <v>-0.76</v>
      </c>
    </row>
    <row r="64" spans="1:14" x14ac:dyDescent="0.2">
      <c r="A64" s="1" t="s">
        <v>83</v>
      </c>
      <c r="B64" s="1" t="s">
        <v>85</v>
      </c>
      <c r="C64" s="2">
        <v>973</v>
      </c>
      <c r="D64" s="2">
        <v>1362</v>
      </c>
      <c r="E64" s="2"/>
      <c r="F64" s="2">
        <v>2335</v>
      </c>
      <c r="G64" s="3">
        <v>0.41670235546038542</v>
      </c>
      <c r="H64" s="3">
        <v>0.58329764453961452</v>
      </c>
      <c r="I64" s="1" t="s">
        <v>30</v>
      </c>
      <c r="J64" s="2">
        <v>959</v>
      </c>
      <c r="K64" s="2">
        <v>1364</v>
      </c>
      <c r="L64" s="2">
        <v>2323</v>
      </c>
      <c r="M64" s="3">
        <v>0.4128282393456737</v>
      </c>
      <c r="N64" s="6">
        <v>0.39</v>
      </c>
    </row>
    <row r="65" spans="1:14" x14ac:dyDescent="0.2">
      <c r="A65" s="1" t="s">
        <v>83</v>
      </c>
      <c r="B65" s="1" t="s">
        <v>86</v>
      </c>
      <c r="C65" s="2">
        <v>596</v>
      </c>
      <c r="D65" s="2">
        <v>774</v>
      </c>
      <c r="E65" s="2"/>
      <c r="F65" s="2">
        <v>1370</v>
      </c>
      <c r="G65" s="3">
        <v>0.43503649635036501</v>
      </c>
      <c r="H65" s="3">
        <v>0.56496350364963499</v>
      </c>
      <c r="I65" s="1" t="s">
        <v>30</v>
      </c>
      <c r="J65" s="2">
        <v>623</v>
      </c>
      <c r="K65" s="2">
        <v>726</v>
      </c>
      <c r="L65" s="2">
        <v>1349</v>
      </c>
      <c r="M65" s="3">
        <v>0.46182357301704968</v>
      </c>
      <c r="N65" s="6">
        <v>-2.68</v>
      </c>
    </row>
    <row r="66" spans="1:14" x14ac:dyDescent="0.2">
      <c r="A66" s="1" t="s">
        <v>83</v>
      </c>
      <c r="B66" s="1" t="s">
        <v>56</v>
      </c>
      <c r="C66" s="2">
        <v>16746</v>
      </c>
      <c r="D66" s="2">
        <v>8835</v>
      </c>
      <c r="E66" s="2"/>
      <c r="F66" s="2">
        <v>25581</v>
      </c>
      <c r="G66" s="3">
        <v>0.65462648059106365</v>
      </c>
      <c r="H66" s="3">
        <v>0.34537351940893629</v>
      </c>
      <c r="I66" s="1" t="s">
        <v>30</v>
      </c>
      <c r="J66" s="2">
        <v>17416</v>
      </c>
      <c r="K66" s="2">
        <v>8640</v>
      </c>
      <c r="L66" s="2">
        <v>26056</v>
      </c>
      <c r="M66" s="3">
        <v>0.66840650905741483</v>
      </c>
      <c r="N66" s="6">
        <v>-1.38</v>
      </c>
    </row>
    <row r="67" spans="1:14" x14ac:dyDescent="0.2">
      <c r="A67" s="1" t="s">
        <v>83</v>
      </c>
      <c r="B67" s="1" t="s">
        <v>87</v>
      </c>
      <c r="C67" s="2">
        <v>7966</v>
      </c>
      <c r="D67" s="2">
        <v>7967</v>
      </c>
      <c r="E67" s="2"/>
      <c r="F67" s="2">
        <v>15933</v>
      </c>
      <c r="G67" s="3">
        <v>0.49996861859034708</v>
      </c>
      <c r="H67" s="3">
        <v>0.50003138140965298</v>
      </c>
      <c r="I67" s="1" t="s">
        <v>30</v>
      </c>
      <c r="J67" s="2">
        <v>8595</v>
      </c>
      <c r="K67" s="2">
        <v>7440</v>
      </c>
      <c r="L67" s="2">
        <v>16035</v>
      </c>
      <c r="M67" s="3">
        <v>0.53601496725912068</v>
      </c>
      <c r="N67" s="6">
        <v>-3.6</v>
      </c>
    </row>
    <row r="68" spans="1:14" x14ac:dyDescent="0.2">
      <c r="A68" s="1" t="s">
        <v>83</v>
      </c>
      <c r="B68" s="1" t="s">
        <v>88</v>
      </c>
      <c r="C68" s="2">
        <v>2015</v>
      </c>
      <c r="D68" s="2">
        <v>3601</v>
      </c>
      <c r="E68" s="2"/>
      <c r="F68" s="2">
        <v>5616</v>
      </c>
      <c r="G68" s="3">
        <v>0.35879629629629628</v>
      </c>
      <c r="H68" s="3">
        <v>0.64120370370370372</v>
      </c>
      <c r="I68" s="1" t="s">
        <v>30</v>
      </c>
      <c r="J68" s="2">
        <v>2169</v>
      </c>
      <c r="K68" s="2">
        <v>3459</v>
      </c>
      <c r="L68" s="2">
        <v>5628</v>
      </c>
      <c r="M68" s="3">
        <v>0.3853944562899787</v>
      </c>
      <c r="N68" s="6">
        <v>-2.66</v>
      </c>
    </row>
    <row r="69" spans="1:14" x14ac:dyDescent="0.2">
      <c r="A69" s="1" t="s">
        <v>83</v>
      </c>
      <c r="B69" s="1" t="s">
        <v>89</v>
      </c>
      <c r="C69" s="2">
        <v>39</v>
      </c>
      <c r="D69" s="2">
        <v>83</v>
      </c>
      <c r="E69" s="2"/>
      <c r="F69" s="2">
        <v>122</v>
      </c>
      <c r="G69" s="3">
        <v>0.31967213114754101</v>
      </c>
      <c r="H69" s="3">
        <v>0.68032786885245899</v>
      </c>
      <c r="I69" s="1" t="s">
        <v>30</v>
      </c>
      <c r="J69" s="2">
        <v>40</v>
      </c>
      <c r="K69" s="2">
        <v>83</v>
      </c>
      <c r="L69" s="2">
        <v>123</v>
      </c>
      <c r="M69" s="3">
        <v>0.32520325203252032</v>
      </c>
      <c r="N69" s="6">
        <v>-0.55000000000000004</v>
      </c>
    </row>
    <row r="70" spans="1:14" x14ac:dyDescent="0.2">
      <c r="A70" s="1" t="s">
        <v>83</v>
      </c>
      <c r="B70" s="1" t="s">
        <v>90</v>
      </c>
      <c r="C70" s="2">
        <v>1368</v>
      </c>
      <c r="D70" s="2">
        <v>2001</v>
      </c>
      <c r="E70" s="2"/>
      <c r="F70" s="2">
        <v>3369</v>
      </c>
      <c r="G70" s="3">
        <v>0.40605520926090832</v>
      </c>
      <c r="H70" s="3">
        <v>0.59394479073909168</v>
      </c>
      <c r="I70" s="1" t="s">
        <v>30</v>
      </c>
      <c r="J70" s="2">
        <v>1484</v>
      </c>
      <c r="K70" s="2">
        <v>1959</v>
      </c>
      <c r="L70" s="2">
        <v>3443</v>
      </c>
      <c r="M70" s="3">
        <v>0.43101945977345341</v>
      </c>
      <c r="N70" s="6">
        <v>-2.5</v>
      </c>
    </row>
    <row r="71" spans="1:14" x14ac:dyDescent="0.2">
      <c r="A71" s="1" t="s">
        <v>83</v>
      </c>
      <c r="B71" s="1" t="s">
        <v>91</v>
      </c>
      <c r="C71" s="2">
        <v>183</v>
      </c>
      <c r="D71" s="2">
        <v>328</v>
      </c>
      <c r="E71" s="2"/>
      <c r="F71" s="2">
        <v>511</v>
      </c>
      <c r="G71" s="3">
        <v>0.35812133072407037</v>
      </c>
      <c r="H71" s="3">
        <v>0.64187866927592951</v>
      </c>
      <c r="I71" s="1" t="s">
        <v>30</v>
      </c>
      <c r="J71" s="2">
        <v>217</v>
      </c>
      <c r="K71" s="2">
        <v>309</v>
      </c>
      <c r="L71" s="2">
        <v>526</v>
      </c>
      <c r="M71" s="3">
        <v>0.41254752851711018</v>
      </c>
      <c r="N71" s="6">
        <v>-5.44</v>
      </c>
    </row>
    <row r="72" spans="1:14" x14ac:dyDescent="0.2">
      <c r="A72" s="1" t="s">
        <v>83</v>
      </c>
      <c r="B72" s="1" t="s">
        <v>92</v>
      </c>
      <c r="C72" s="2">
        <v>7358</v>
      </c>
      <c r="D72" s="2">
        <v>3173</v>
      </c>
      <c r="E72" s="2"/>
      <c r="F72" s="2">
        <v>10531</v>
      </c>
      <c r="G72" s="3">
        <v>0.69869907890988514</v>
      </c>
      <c r="H72" s="3">
        <v>0.30130092109011491</v>
      </c>
      <c r="I72" s="1" t="s">
        <v>30</v>
      </c>
      <c r="J72" s="2">
        <v>7604</v>
      </c>
      <c r="K72" s="2">
        <v>3303</v>
      </c>
      <c r="L72" s="2">
        <v>10907</v>
      </c>
      <c r="M72" s="3">
        <v>0.69716695700009168</v>
      </c>
      <c r="N72" s="6">
        <v>0.15</v>
      </c>
    </row>
    <row r="73" spans="1:14" x14ac:dyDescent="0.2">
      <c r="A73" s="1" t="s">
        <v>83</v>
      </c>
      <c r="B73" s="1" t="s">
        <v>93</v>
      </c>
      <c r="C73" s="2">
        <v>5061</v>
      </c>
      <c r="D73" s="2">
        <v>5218</v>
      </c>
      <c r="E73" s="2"/>
      <c r="F73" s="2">
        <v>10279</v>
      </c>
      <c r="G73" s="3">
        <v>0.49236307033758148</v>
      </c>
      <c r="H73" s="3">
        <v>0.50763692966241847</v>
      </c>
      <c r="I73" s="1" t="s">
        <v>30</v>
      </c>
      <c r="J73" s="2">
        <v>5358</v>
      </c>
      <c r="K73" s="2">
        <v>5027</v>
      </c>
      <c r="L73" s="2">
        <v>10385</v>
      </c>
      <c r="M73" s="3">
        <v>0.51593644679826678</v>
      </c>
      <c r="N73" s="6">
        <v>-2.36</v>
      </c>
    </row>
    <row r="74" spans="1:14" x14ac:dyDescent="0.2">
      <c r="A74" s="1" t="s">
        <v>83</v>
      </c>
      <c r="B74" s="1" t="s">
        <v>94</v>
      </c>
      <c r="C74" s="2">
        <v>688</v>
      </c>
      <c r="D74" s="2">
        <v>576</v>
      </c>
      <c r="E74" s="2"/>
      <c r="F74" s="2">
        <v>1264</v>
      </c>
      <c r="G74" s="3">
        <v>0.54430379746835444</v>
      </c>
      <c r="H74" s="3">
        <v>0.45569620253164561</v>
      </c>
      <c r="I74" s="1" t="s">
        <v>30</v>
      </c>
      <c r="J74" s="2">
        <v>714</v>
      </c>
      <c r="K74" s="2">
        <v>484</v>
      </c>
      <c r="L74" s="2">
        <v>1198</v>
      </c>
      <c r="M74" s="3">
        <v>0.59599332220367274</v>
      </c>
      <c r="N74" s="6">
        <v>-5.17</v>
      </c>
    </row>
    <row r="75" spans="1:14" x14ac:dyDescent="0.2">
      <c r="A75" s="1" t="s">
        <v>83</v>
      </c>
      <c r="B75" s="1" t="s">
        <v>95</v>
      </c>
      <c r="C75" s="2">
        <v>97</v>
      </c>
      <c r="D75" s="2">
        <v>108</v>
      </c>
      <c r="E75" s="2"/>
      <c r="F75" s="2">
        <v>205</v>
      </c>
      <c r="G75" s="3">
        <v>0.47317073170731699</v>
      </c>
      <c r="H75" s="3">
        <v>0.52682926829268295</v>
      </c>
      <c r="I75" s="1" t="s">
        <v>30</v>
      </c>
      <c r="J75" s="2">
        <v>109</v>
      </c>
      <c r="K75" s="2">
        <v>97</v>
      </c>
      <c r="L75" s="2">
        <v>206</v>
      </c>
      <c r="M75" s="3">
        <v>0.529126213592233</v>
      </c>
      <c r="N75" s="6">
        <v>-5.6</v>
      </c>
    </row>
    <row r="76" spans="1:14" x14ac:dyDescent="0.2">
      <c r="A76" s="1" t="s">
        <v>83</v>
      </c>
      <c r="B76" s="1" t="s">
        <v>62</v>
      </c>
      <c r="C76" s="2">
        <v>4067</v>
      </c>
      <c r="D76" s="2">
        <v>3883</v>
      </c>
      <c r="E76" s="2"/>
      <c r="F76" s="2">
        <v>7950</v>
      </c>
      <c r="G76" s="3">
        <v>0.51157232704402511</v>
      </c>
      <c r="H76" s="3">
        <v>0.48842767295597478</v>
      </c>
      <c r="I76" s="1" t="s">
        <v>30</v>
      </c>
      <c r="J76" s="2">
        <v>4341</v>
      </c>
      <c r="K76" s="2">
        <v>3620</v>
      </c>
      <c r="L76" s="2">
        <v>7961</v>
      </c>
      <c r="M76" s="3">
        <v>0.5452832558723778</v>
      </c>
      <c r="N76" s="6">
        <v>-3.37</v>
      </c>
    </row>
    <row r="77" spans="1:14" x14ac:dyDescent="0.2">
      <c r="A77" s="1" t="s">
        <v>83</v>
      </c>
      <c r="B77" s="1" t="s">
        <v>96</v>
      </c>
      <c r="C77" s="2">
        <v>1650</v>
      </c>
      <c r="D77" s="2">
        <v>1708</v>
      </c>
      <c r="E77" s="2"/>
      <c r="F77" s="2">
        <v>3358</v>
      </c>
      <c r="G77" s="3">
        <v>0.49136390708755212</v>
      </c>
      <c r="H77" s="3">
        <v>0.50863609291244793</v>
      </c>
      <c r="I77" s="1" t="s">
        <v>30</v>
      </c>
      <c r="J77" s="2">
        <v>1726</v>
      </c>
      <c r="K77" s="2">
        <v>1685</v>
      </c>
      <c r="L77" s="2">
        <v>3411</v>
      </c>
      <c r="M77" s="3">
        <v>0.50600996775139251</v>
      </c>
      <c r="N77" s="6">
        <v>-1.46</v>
      </c>
    </row>
    <row r="78" spans="1:14" x14ac:dyDescent="0.2">
      <c r="A78" s="1" t="s">
        <v>83</v>
      </c>
      <c r="B78" s="1" t="s">
        <v>97</v>
      </c>
      <c r="C78" s="2">
        <v>2062</v>
      </c>
      <c r="D78" s="2">
        <v>4588</v>
      </c>
      <c r="E78" s="2"/>
      <c r="F78" s="2">
        <v>6650</v>
      </c>
      <c r="G78" s="3">
        <v>0.31007518796992478</v>
      </c>
      <c r="H78" s="3">
        <v>0.68992481203007516</v>
      </c>
      <c r="I78" s="1" t="s">
        <v>30</v>
      </c>
      <c r="J78" s="2">
        <v>2244</v>
      </c>
      <c r="K78" s="2">
        <v>4439</v>
      </c>
      <c r="L78" s="2">
        <v>6683</v>
      </c>
      <c r="M78" s="3">
        <v>0.3357773455035164</v>
      </c>
      <c r="N78" s="6">
        <v>-2.57</v>
      </c>
    </row>
    <row r="79" spans="1:14" x14ac:dyDescent="0.2">
      <c r="A79" s="1" t="s">
        <v>83</v>
      </c>
      <c r="B79" s="1" t="s">
        <v>98</v>
      </c>
      <c r="C79" s="2">
        <v>579</v>
      </c>
      <c r="D79" s="2">
        <v>1212</v>
      </c>
      <c r="E79" s="2"/>
      <c r="F79" s="2">
        <v>1791</v>
      </c>
      <c r="G79" s="3">
        <v>0.32328308207705192</v>
      </c>
      <c r="H79" s="3">
        <v>0.67671691792294808</v>
      </c>
      <c r="I79" s="1" t="s">
        <v>30</v>
      </c>
      <c r="J79" s="2">
        <v>625</v>
      </c>
      <c r="K79" s="2">
        <v>1214</v>
      </c>
      <c r="L79" s="2">
        <v>1839</v>
      </c>
      <c r="M79" s="3">
        <v>0.33985861881457308</v>
      </c>
      <c r="N79" s="6">
        <v>-1.66</v>
      </c>
    </row>
    <row r="80" spans="1:14" x14ac:dyDescent="0.2">
      <c r="A80" s="1" t="s">
        <v>83</v>
      </c>
      <c r="B80" s="1" t="s">
        <v>99</v>
      </c>
      <c r="C80" s="2">
        <v>1881</v>
      </c>
      <c r="D80" s="2">
        <v>2673</v>
      </c>
      <c r="E80" s="2"/>
      <c r="F80" s="2">
        <v>4554</v>
      </c>
      <c r="G80" s="3">
        <v>0.41304347826086962</v>
      </c>
      <c r="H80" s="3">
        <v>0.58695652173913049</v>
      </c>
      <c r="I80" s="1" t="s">
        <v>30</v>
      </c>
      <c r="J80" s="2">
        <v>2047</v>
      </c>
      <c r="K80" s="2">
        <v>2499</v>
      </c>
      <c r="L80" s="2">
        <v>4546</v>
      </c>
      <c r="M80" s="3">
        <v>0.45028596568411788</v>
      </c>
      <c r="N80" s="6">
        <v>-3.72</v>
      </c>
    </row>
    <row r="81" spans="1:14" x14ac:dyDescent="0.2">
      <c r="A81" s="1" t="s">
        <v>83</v>
      </c>
      <c r="B81" s="1" t="s">
        <v>100</v>
      </c>
      <c r="C81" s="2">
        <v>3277</v>
      </c>
      <c r="D81" s="2">
        <v>3946</v>
      </c>
      <c r="E81" s="2"/>
      <c r="F81" s="2">
        <v>7223</v>
      </c>
      <c r="G81" s="3">
        <v>0.45368960265817532</v>
      </c>
      <c r="H81" s="3">
        <v>0.54631039734182474</v>
      </c>
      <c r="I81" s="1" t="s">
        <v>30</v>
      </c>
      <c r="J81" s="2">
        <v>3457</v>
      </c>
      <c r="K81" s="2">
        <v>3805</v>
      </c>
      <c r="L81" s="2">
        <v>7262</v>
      </c>
      <c r="M81" s="3">
        <v>0.47603965849628199</v>
      </c>
      <c r="N81" s="6">
        <v>-2.2400000000000002</v>
      </c>
    </row>
    <row r="82" spans="1:14" x14ac:dyDescent="0.2">
      <c r="A82" s="1" t="s">
        <v>83</v>
      </c>
      <c r="B82" s="1" t="s">
        <v>101</v>
      </c>
      <c r="C82" s="2">
        <v>1839</v>
      </c>
      <c r="D82" s="2">
        <v>4108</v>
      </c>
      <c r="E82" s="2"/>
      <c r="F82" s="2">
        <v>5947</v>
      </c>
      <c r="G82" s="3">
        <v>0.30923154531696662</v>
      </c>
      <c r="H82" s="3">
        <v>0.69076845468303349</v>
      </c>
      <c r="I82" s="1" t="s">
        <v>30</v>
      </c>
      <c r="J82" s="2">
        <v>2006</v>
      </c>
      <c r="K82" s="2">
        <v>4057</v>
      </c>
      <c r="L82" s="2">
        <v>6063</v>
      </c>
      <c r="M82" s="3">
        <v>0.33085931057232387</v>
      </c>
      <c r="N82" s="6">
        <v>-2.16</v>
      </c>
    </row>
    <row r="83" spans="1:14" x14ac:dyDescent="0.2">
      <c r="A83" s="1" t="s">
        <v>83</v>
      </c>
      <c r="B83" s="1" t="s">
        <v>102</v>
      </c>
      <c r="C83" s="2">
        <v>1510</v>
      </c>
      <c r="D83" s="2">
        <v>1656</v>
      </c>
      <c r="E83" s="2"/>
      <c r="F83" s="2">
        <v>3166</v>
      </c>
      <c r="G83" s="3">
        <v>0.47694251421351858</v>
      </c>
      <c r="H83" s="3">
        <v>0.52305748578648137</v>
      </c>
      <c r="I83" s="1" t="s">
        <v>30</v>
      </c>
      <c r="J83" s="2">
        <v>1596</v>
      </c>
      <c r="K83" s="2">
        <v>1664</v>
      </c>
      <c r="L83" s="2">
        <v>3260</v>
      </c>
      <c r="M83" s="3">
        <v>0.48957055214723932</v>
      </c>
      <c r="N83" s="6">
        <v>-1.26</v>
      </c>
    </row>
    <row r="84" spans="1:14" x14ac:dyDescent="0.2">
      <c r="A84" s="1" t="s">
        <v>83</v>
      </c>
      <c r="B84" s="1" t="s">
        <v>103</v>
      </c>
      <c r="C84" s="2">
        <v>834</v>
      </c>
      <c r="D84" s="2">
        <v>941</v>
      </c>
      <c r="E84" s="2"/>
      <c r="F84" s="2">
        <v>1775</v>
      </c>
      <c r="G84" s="3">
        <v>0.46985915492957753</v>
      </c>
      <c r="H84" s="3">
        <v>0.53014084507042258</v>
      </c>
      <c r="I84" s="1" t="s">
        <v>30</v>
      </c>
      <c r="J84" s="2">
        <v>847</v>
      </c>
      <c r="K84" s="2">
        <v>889</v>
      </c>
      <c r="L84" s="2">
        <v>1736</v>
      </c>
      <c r="M84" s="3">
        <v>0.48790322580645162</v>
      </c>
      <c r="N84" s="6">
        <v>-1.8</v>
      </c>
    </row>
    <row r="85" spans="1:14" x14ac:dyDescent="0.2">
      <c r="A85" s="1" t="s">
        <v>83</v>
      </c>
      <c r="B85" s="1" t="s">
        <v>104</v>
      </c>
      <c r="C85" s="2">
        <v>2658</v>
      </c>
      <c r="D85" s="2">
        <v>3046</v>
      </c>
      <c r="E85" s="2"/>
      <c r="F85" s="2">
        <v>5704</v>
      </c>
      <c r="G85" s="3">
        <v>0.46598877980364661</v>
      </c>
      <c r="H85" s="3">
        <v>0.53401122019635339</v>
      </c>
      <c r="I85" s="1" t="s">
        <v>30</v>
      </c>
      <c r="J85" s="2">
        <v>2573</v>
      </c>
      <c r="K85" s="2">
        <v>3023</v>
      </c>
      <c r="L85" s="2">
        <v>5596</v>
      </c>
      <c r="M85" s="3">
        <v>0.45979270907791281</v>
      </c>
      <c r="N85" s="6">
        <v>0.62</v>
      </c>
    </row>
    <row r="86" spans="1:14" x14ac:dyDescent="0.2">
      <c r="A86" s="1" t="s">
        <v>83</v>
      </c>
      <c r="B86" s="1" t="s">
        <v>105</v>
      </c>
      <c r="C86" s="2">
        <v>6790</v>
      </c>
      <c r="D86" s="2">
        <v>7004</v>
      </c>
      <c r="E86" s="2"/>
      <c r="F86" s="2">
        <v>13794</v>
      </c>
      <c r="G86" s="3">
        <v>0.49224300420472672</v>
      </c>
      <c r="H86" s="3">
        <v>0.50775699579527334</v>
      </c>
      <c r="I86" s="1" t="s">
        <v>30</v>
      </c>
      <c r="J86" s="2">
        <v>6974</v>
      </c>
      <c r="K86" s="2">
        <v>6736</v>
      </c>
      <c r="L86" s="2">
        <v>13710</v>
      </c>
      <c r="M86" s="3">
        <v>0.50867979576951128</v>
      </c>
      <c r="N86" s="6">
        <v>-1.64</v>
      </c>
    </row>
    <row r="87" spans="1:14" x14ac:dyDescent="0.2">
      <c r="A87" s="1" t="s">
        <v>83</v>
      </c>
      <c r="B87" s="1" t="s">
        <v>106</v>
      </c>
      <c r="C87" s="2">
        <v>671</v>
      </c>
      <c r="D87" s="2">
        <v>1175</v>
      </c>
      <c r="E87" s="2"/>
      <c r="F87" s="2">
        <v>1846</v>
      </c>
      <c r="G87" s="3">
        <v>0.36348862405200433</v>
      </c>
      <c r="H87" s="3">
        <v>0.63651137594799567</v>
      </c>
      <c r="I87" s="1" t="s">
        <v>30</v>
      </c>
      <c r="J87" s="2">
        <v>703</v>
      </c>
      <c r="K87" s="2">
        <v>1180</v>
      </c>
      <c r="L87" s="2">
        <v>1883</v>
      </c>
      <c r="M87" s="3">
        <v>0.37334041423260761</v>
      </c>
      <c r="N87" s="6">
        <v>-0.99</v>
      </c>
    </row>
    <row r="88" spans="1:14" x14ac:dyDescent="0.2">
      <c r="A88" s="1" t="s">
        <v>83</v>
      </c>
      <c r="B88" s="1" t="s">
        <v>107</v>
      </c>
      <c r="C88" s="2">
        <v>1222</v>
      </c>
      <c r="D88" s="2">
        <v>2729</v>
      </c>
      <c r="E88" s="2"/>
      <c r="F88" s="2">
        <v>3951</v>
      </c>
      <c r="G88" s="3">
        <v>0.30928878764869661</v>
      </c>
      <c r="H88" s="3">
        <v>0.69071121235130351</v>
      </c>
      <c r="I88" s="1" t="s">
        <v>30</v>
      </c>
      <c r="J88" s="2">
        <v>1361</v>
      </c>
      <c r="K88" s="2">
        <v>2561</v>
      </c>
      <c r="L88" s="2">
        <v>3922</v>
      </c>
      <c r="M88" s="3">
        <v>0.34701682814890361</v>
      </c>
      <c r="N88" s="6">
        <v>-3.77</v>
      </c>
    </row>
    <row r="89" spans="1:14" x14ac:dyDescent="0.2">
      <c r="A89" s="1" t="s">
        <v>83</v>
      </c>
      <c r="B89" s="1" t="s">
        <v>108</v>
      </c>
      <c r="C89" s="2">
        <v>74</v>
      </c>
      <c r="D89" s="2">
        <v>175</v>
      </c>
      <c r="E89" s="2"/>
      <c r="F89" s="2">
        <v>249</v>
      </c>
      <c r="G89" s="3">
        <v>0.2971887550200803</v>
      </c>
      <c r="H89" s="3">
        <v>0.70281124497991965</v>
      </c>
      <c r="I89" s="1" t="s">
        <v>30</v>
      </c>
      <c r="J89" s="2">
        <v>92</v>
      </c>
      <c r="K89" s="2">
        <v>167</v>
      </c>
      <c r="L89" s="2">
        <v>259</v>
      </c>
      <c r="M89" s="3">
        <v>0.35521235521235522</v>
      </c>
      <c r="N89" s="6">
        <v>-5.8</v>
      </c>
    </row>
    <row r="90" spans="1:14" x14ac:dyDescent="0.2">
      <c r="A90" s="1" t="s">
        <v>83</v>
      </c>
      <c r="B90" s="1" t="s">
        <v>109</v>
      </c>
      <c r="C90" s="2">
        <v>327</v>
      </c>
      <c r="D90" s="2">
        <v>605</v>
      </c>
      <c r="E90" s="2"/>
      <c r="F90" s="2">
        <v>932</v>
      </c>
      <c r="G90" s="3">
        <v>0.35085836909871237</v>
      </c>
      <c r="H90" s="3">
        <v>0.64914163090128751</v>
      </c>
      <c r="I90" s="1" t="s">
        <v>30</v>
      </c>
      <c r="J90" s="2">
        <v>335</v>
      </c>
      <c r="K90" s="2">
        <v>581</v>
      </c>
      <c r="L90" s="2">
        <v>916</v>
      </c>
      <c r="M90" s="3">
        <v>0.36572052401746719</v>
      </c>
      <c r="N90" s="6">
        <v>-1.49</v>
      </c>
    </row>
    <row r="91" spans="1:14" x14ac:dyDescent="0.2">
      <c r="A91" s="1" t="s">
        <v>83</v>
      </c>
      <c r="B91" s="1" t="s">
        <v>110</v>
      </c>
      <c r="C91" s="2">
        <v>196</v>
      </c>
      <c r="D91" s="2">
        <v>318</v>
      </c>
      <c r="E91" s="2"/>
      <c r="F91" s="2">
        <v>514</v>
      </c>
      <c r="G91" s="3">
        <v>0.38132295719844361</v>
      </c>
      <c r="H91" s="3">
        <v>0.61867704280155644</v>
      </c>
      <c r="I91" s="1" t="s">
        <v>30</v>
      </c>
      <c r="J91" s="2">
        <v>210</v>
      </c>
      <c r="K91" s="2">
        <v>309</v>
      </c>
      <c r="L91" s="2">
        <v>519</v>
      </c>
      <c r="M91" s="3">
        <v>0.40462427745664742</v>
      </c>
      <c r="N91" s="6">
        <v>-2.33</v>
      </c>
    </row>
    <row r="92" spans="1:14" x14ac:dyDescent="0.2">
      <c r="A92" s="1" t="s">
        <v>83</v>
      </c>
      <c r="B92" s="1" t="s">
        <v>111</v>
      </c>
      <c r="C92" s="2">
        <v>311</v>
      </c>
      <c r="D92" s="2">
        <v>461</v>
      </c>
      <c r="E92" s="2"/>
      <c r="F92" s="2">
        <v>772</v>
      </c>
      <c r="G92" s="3">
        <v>0.40284974093264247</v>
      </c>
      <c r="H92" s="3">
        <v>0.59715025906735753</v>
      </c>
      <c r="I92" s="1" t="s">
        <v>30</v>
      </c>
      <c r="J92" s="2">
        <v>331</v>
      </c>
      <c r="K92" s="2">
        <v>458</v>
      </c>
      <c r="L92" s="2">
        <v>789</v>
      </c>
      <c r="M92" s="3">
        <v>0.41951837769328271</v>
      </c>
      <c r="N92" s="6">
        <v>-1.67</v>
      </c>
    </row>
    <row r="93" spans="1:14" x14ac:dyDescent="0.2">
      <c r="A93" s="1" t="s">
        <v>83</v>
      </c>
      <c r="B93" s="1" t="s">
        <v>112</v>
      </c>
      <c r="C93" s="2">
        <v>1110</v>
      </c>
      <c r="D93" s="2">
        <v>2748</v>
      </c>
      <c r="E93" s="2"/>
      <c r="F93" s="2">
        <v>3858</v>
      </c>
      <c r="G93" s="3">
        <v>0.28771384136858469</v>
      </c>
      <c r="H93" s="3">
        <v>0.7122861586314152</v>
      </c>
      <c r="I93" s="1" t="s">
        <v>30</v>
      </c>
      <c r="J93" s="2">
        <v>1242</v>
      </c>
      <c r="K93" s="2">
        <v>2716</v>
      </c>
      <c r="L93" s="2">
        <v>3958</v>
      </c>
      <c r="M93" s="3">
        <v>0.31379484588175849</v>
      </c>
      <c r="N93" s="6">
        <v>-2.61</v>
      </c>
    </row>
    <row r="94" spans="1:14" x14ac:dyDescent="0.2">
      <c r="A94" s="1" t="s">
        <v>83</v>
      </c>
      <c r="B94" s="1" t="s">
        <v>113</v>
      </c>
      <c r="C94" s="2">
        <v>1907</v>
      </c>
      <c r="D94" s="2">
        <v>2162</v>
      </c>
      <c r="E94" s="2"/>
      <c r="F94" s="2">
        <v>4069</v>
      </c>
      <c r="G94" s="3">
        <v>0.46866551978373072</v>
      </c>
      <c r="H94" s="3">
        <v>0.53133448021626939</v>
      </c>
      <c r="I94" s="1" t="s">
        <v>30</v>
      </c>
      <c r="J94" s="2">
        <v>1964</v>
      </c>
      <c r="K94" s="2">
        <v>2147</v>
      </c>
      <c r="L94" s="2">
        <v>4111</v>
      </c>
      <c r="M94" s="3">
        <v>0.47774264169301872</v>
      </c>
      <c r="N94" s="6">
        <v>-0.91</v>
      </c>
    </row>
    <row r="95" spans="1:14" x14ac:dyDescent="0.2">
      <c r="A95" s="1" t="s">
        <v>83</v>
      </c>
      <c r="B95" s="1" t="s">
        <v>114</v>
      </c>
      <c r="C95" s="2">
        <v>411</v>
      </c>
      <c r="D95" s="2">
        <v>649</v>
      </c>
      <c r="E95" s="2"/>
      <c r="F95" s="2">
        <v>1060</v>
      </c>
      <c r="G95" s="3">
        <v>0.3877358490566038</v>
      </c>
      <c r="H95" s="3">
        <v>0.61226415094339626</v>
      </c>
      <c r="I95" s="1" t="s">
        <v>30</v>
      </c>
      <c r="J95" s="2">
        <v>416</v>
      </c>
      <c r="K95" s="2">
        <v>658</v>
      </c>
      <c r="L95" s="2">
        <v>1074</v>
      </c>
      <c r="M95" s="3">
        <v>0.38733705772811922</v>
      </c>
      <c r="N95" s="6">
        <v>0.04</v>
      </c>
    </row>
    <row r="96" spans="1:14" x14ac:dyDescent="0.2">
      <c r="A96" s="1" t="s">
        <v>83</v>
      </c>
      <c r="B96" s="1" t="s">
        <v>115</v>
      </c>
      <c r="C96" s="2">
        <v>979</v>
      </c>
      <c r="D96" s="2">
        <v>2098</v>
      </c>
      <c r="E96" s="2"/>
      <c r="F96" s="2">
        <v>3077</v>
      </c>
      <c r="G96" s="3">
        <v>0.31816704582385441</v>
      </c>
      <c r="H96" s="3">
        <v>0.68183295417614564</v>
      </c>
      <c r="I96" s="1" t="s">
        <v>30</v>
      </c>
      <c r="J96" s="2">
        <v>1041</v>
      </c>
      <c r="K96" s="2">
        <v>2088</v>
      </c>
      <c r="L96" s="2">
        <v>3129</v>
      </c>
      <c r="M96" s="3">
        <v>0.33269415148609782</v>
      </c>
      <c r="N96" s="6">
        <v>-1.45</v>
      </c>
    </row>
    <row r="97" spans="1:14" x14ac:dyDescent="0.2">
      <c r="A97" s="1" t="s">
        <v>83</v>
      </c>
      <c r="B97" s="1" t="s">
        <v>116</v>
      </c>
      <c r="C97" s="2">
        <v>272</v>
      </c>
      <c r="D97" s="2">
        <v>336</v>
      </c>
      <c r="E97" s="2"/>
      <c r="F97" s="2">
        <v>608</v>
      </c>
      <c r="G97" s="3">
        <v>0.44736842105263158</v>
      </c>
      <c r="H97" s="3">
        <v>0.55263157894736847</v>
      </c>
      <c r="I97" s="1" t="s">
        <v>30</v>
      </c>
      <c r="J97" s="2">
        <v>281</v>
      </c>
      <c r="K97" s="2">
        <v>310</v>
      </c>
      <c r="L97" s="2">
        <v>591</v>
      </c>
      <c r="M97" s="3">
        <v>0.47546531302876482</v>
      </c>
      <c r="N97" s="6">
        <v>-2.81</v>
      </c>
    </row>
    <row r="98" spans="1:14" x14ac:dyDescent="0.2">
      <c r="A98" s="1" t="s">
        <v>83</v>
      </c>
      <c r="B98" s="1" t="s">
        <v>117</v>
      </c>
      <c r="C98" s="2">
        <v>1708</v>
      </c>
      <c r="D98" s="2">
        <v>2481</v>
      </c>
      <c r="E98" s="2"/>
      <c r="F98" s="2">
        <v>4189</v>
      </c>
      <c r="G98" s="3">
        <v>0.40773454285032229</v>
      </c>
      <c r="H98" s="3">
        <v>0.59226545714967771</v>
      </c>
      <c r="I98" s="1" t="s">
        <v>30</v>
      </c>
      <c r="J98" s="2">
        <v>1847</v>
      </c>
      <c r="K98" s="2">
        <v>2401</v>
      </c>
      <c r="L98" s="2">
        <v>4248</v>
      </c>
      <c r="M98" s="3">
        <v>0.43479284369114879</v>
      </c>
      <c r="N98" s="6">
        <v>-2.71</v>
      </c>
    </row>
    <row r="99" spans="1:14" x14ac:dyDescent="0.2">
      <c r="A99" s="1" t="s">
        <v>83</v>
      </c>
      <c r="B99" s="1" t="s">
        <v>118</v>
      </c>
      <c r="C99" s="2">
        <v>1848</v>
      </c>
      <c r="D99" s="2">
        <v>1559</v>
      </c>
      <c r="E99" s="2"/>
      <c r="F99" s="2">
        <v>3407</v>
      </c>
      <c r="G99" s="3">
        <v>0.54241267977692986</v>
      </c>
      <c r="H99" s="3">
        <v>0.45758732022307008</v>
      </c>
      <c r="I99" s="1" t="s">
        <v>30</v>
      </c>
      <c r="J99" s="2">
        <v>1897</v>
      </c>
      <c r="K99" s="2">
        <v>1538</v>
      </c>
      <c r="L99" s="2">
        <v>3435</v>
      </c>
      <c r="M99" s="3">
        <v>0.55225618631732165</v>
      </c>
      <c r="N99" s="6">
        <v>-0.98</v>
      </c>
    </row>
    <row r="100" spans="1:14" x14ac:dyDescent="0.2">
      <c r="A100" s="1" t="s">
        <v>83</v>
      </c>
      <c r="B100" s="1" t="s">
        <v>119</v>
      </c>
      <c r="C100" s="2">
        <v>640</v>
      </c>
      <c r="D100" s="2">
        <v>886</v>
      </c>
      <c r="E100" s="2"/>
      <c r="F100" s="2">
        <v>1526</v>
      </c>
      <c r="G100" s="3">
        <v>0.41939711664482299</v>
      </c>
      <c r="H100" s="3">
        <v>0.58060288335517696</v>
      </c>
      <c r="I100" s="1" t="s">
        <v>30</v>
      </c>
      <c r="J100" s="2">
        <v>634</v>
      </c>
      <c r="K100" s="2">
        <v>856</v>
      </c>
      <c r="L100" s="2">
        <v>1490</v>
      </c>
      <c r="M100" s="3">
        <v>0.42550335570469799</v>
      </c>
      <c r="N100" s="6">
        <v>-0.61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1"/>
  <sheetViews>
    <sheetView workbookViewId="0"/>
  </sheetViews>
  <sheetFormatPr baseColWidth="10" defaultColWidth="8.83203125" defaultRowHeight="15" x14ac:dyDescent="0.2"/>
  <cols>
    <col min="1" max="1" width="12" customWidth="1"/>
    <col min="2" max="2" width="26" customWidth="1"/>
    <col min="3" max="3" width="31.5" customWidth="1"/>
    <col min="4" max="4" width="14" customWidth="1"/>
    <col min="5" max="5" width="16" customWidth="1"/>
    <col min="6" max="6" width="12" customWidth="1"/>
    <col min="7" max="7" width="13" customWidth="1"/>
    <col min="8" max="8" width="15" customWidth="1"/>
    <col min="9" max="9" width="37.1640625" customWidth="1"/>
    <col min="10" max="10" width="14" customWidth="1"/>
    <col min="11" max="11" width="16" customWidth="1"/>
    <col min="12" max="12" width="14" customWidth="1"/>
    <col min="13" max="13" width="13" customWidth="1"/>
    <col min="14" max="14" width="20" customWidth="1"/>
  </cols>
  <sheetData>
    <row r="1" spans="1:14" x14ac:dyDescent="0.2">
      <c r="A1" s="7" t="s">
        <v>521</v>
      </c>
      <c r="B1" s="8"/>
      <c r="C1" s="8"/>
      <c r="D1" s="8"/>
      <c r="E1" s="8"/>
      <c r="F1" s="8"/>
      <c r="G1" s="8"/>
      <c r="H1" s="8"/>
      <c r="I1" s="8"/>
    </row>
    <row r="2" spans="1:14" x14ac:dyDescent="0.2">
      <c r="A2" s="1" t="s">
        <v>522</v>
      </c>
      <c r="B2" s="1"/>
      <c r="C2" s="1"/>
      <c r="D2" s="1"/>
      <c r="E2" s="1"/>
      <c r="F2" s="1"/>
      <c r="G2" s="1"/>
      <c r="H2" s="1"/>
      <c r="I2" s="1"/>
    </row>
    <row r="3" spans="1:14" x14ac:dyDescent="0.2">
      <c r="A3" s="7" t="s">
        <v>509</v>
      </c>
      <c r="B3" s="8"/>
      <c r="C3" s="8"/>
      <c r="D3" s="8"/>
      <c r="E3" s="8"/>
      <c r="F3" s="8"/>
      <c r="G3" s="8"/>
      <c r="H3" s="8"/>
      <c r="I3" s="8"/>
    </row>
    <row r="4" spans="1:14" x14ac:dyDescent="0.2">
      <c r="A4" s="1" t="s">
        <v>3</v>
      </c>
      <c r="B4" s="1" t="s">
        <v>4</v>
      </c>
      <c r="C4" s="1" t="s">
        <v>5</v>
      </c>
      <c r="D4" s="1" t="s">
        <v>510</v>
      </c>
      <c r="E4" s="1" t="s">
        <v>7</v>
      </c>
      <c r="F4" s="1" t="s">
        <v>9</v>
      </c>
      <c r="G4" s="1" t="s">
        <v>10</v>
      </c>
      <c r="H4" s="1"/>
      <c r="I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</row>
    <row r="6" spans="1:14" x14ac:dyDescent="0.2">
      <c r="A6" s="7" t="s">
        <v>511</v>
      </c>
      <c r="B6" s="8"/>
      <c r="C6" s="8"/>
      <c r="D6" s="8"/>
      <c r="E6" s="8"/>
      <c r="F6" s="8"/>
      <c r="G6" s="8"/>
      <c r="H6" s="8"/>
      <c r="I6" s="8"/>
    </row>
    <row r="7" spans="1:14" x14ac:dyDescent="0.2">
      <c r="A7" s="1" t="s">
        <v>12</v>
      </c>
      <c r="B7" s="1" t="s">
        <v>123</v>
      </c>
      <c r="C7" s="1" t="s">
        <v>124</v>
      </c>
      <c r="D7" s="1" t="s">
        <v>512</v>
      </c>
      <c r="E7" s="1" t="s">
        <v>14</v>
      </c>
      <c r="F7" s="1" t="s">
        <v>16</v>
      </c>
      <c r="G7" s="1" t="s">
        <v>513</v>
      </c>
      <c r="H7" s="1" t="s">
        <v>18</v>
      </c>
      <c r="I7" s="1" t="s">
        <v>19</v>
      </c>
      <c r="J7" s="1" t="s">
        <v>514</v>
      </c>
      <c r="K7" s="1" t="s">
        <v>515</v>
      </c>
      <c r="L7" s="1" t="s">
        <v>516</v>
      </c>
      <c r="M7" s="1" t="s">
        <v>517</v>
      </c>
      <c r="N7" s="1" t="s">
        <v>518</v>
      </c>
    </row>
    <row r="8" spans="1:14" x14ac:dyDescent="0.2">
      <c r="A8" s="1" t="s">
        <v>20</v>
      </c>
      <c r="B8" s="1" t="s">
        <v>125</v>
      </c>
      <c r="C8" s="1"/>
      <c r="D8" s="2">
        <f>SUM(D12:D381)</f>
        <v>192332</v>
      </c>
      <c r="E8" s="2">
        <f>SUM(E12:E381)</f>
        <v>209050</v>
      </c>
      <c r="F8" s="2">
        <f>D8+E8</f>
        <v>401382</v>
      </c>
      <c r="G8" s="3">
        <f>IF(F8=0,"",D8/F8)</f>
        <v>0.47917445226741606</v>
      </c>
      <c r="H8" s="3">
        <f>IF(F8=0,"",E8/F8)</f>
        <v>0.52082554773258394</v>
      </c>
      <c r="I8" s="1" t="s">
        <v>519</v>
      </c>
      <c r="J8" s="2">
        <f>SUM(J12:J381)</f>
        <v>180335</v>
      </c>
      <c r="K8" s="2">
        <f>SUM(K12:K381)</f>
        <v>184501</v>
      </c>
      <c r="L8" s="2">
        <f>J8+K8</f>
        <v>364836</v>
      </c>
      <c r="M8" s="3">
        <f>IF(L8=0,"",J8/L8)</f>
        <v>0.49429058535890097</v>
      </c>
      <c r="N8" s="6">
        <f>IF(L8=0,"",(G8-M8)*100)</f>
        <v>-1.5116133091484907</v>
      </c>
    </row>
    <row r="9" spans="1:14" x14ac:dyDescent="0.2">
      <c r="A9" s="7" t="s">
        <v>520</v>
      </c>
      <c r="B9" s="8"/>
      <c r="C9" s="8"/>
      <c r="D9" s="8"/>
      <c r="E9" s="8"/>
      <c r="F9" s="8"/>
      <c r="G9" s="8"/>
      <c r="H9" s="8"/>
      <c r="I9" s="8"/>
    </row>
    <row r="10" spans="1:14" x14ac:dyDescent="0.2">
      <c r="A10" s="7" t="s">
        <v>127</v>
      </c>
      <c r="B10" s="8"/>
      <c r="C10" s="8"/>
      <c r="D10" s="8"/>
      <c r="E10" s="8"/>
      <c r="F10" s="8"/>
      <c r="G10" s="8"/>
      <c r="H10" s="8"/>
      <c r="I10" s="8"/>
    </row>
    <row r="11" spans="1:14" ht="31.5" customHeight="1" x14ac:dyDescent="0.2">
      <c r="A11" s="1" t="s">
        <v>25</v>
      </c>
      <c r="B11" s="1" t="s">
        <v>26</v>
      </c>
      <c r="C11" s="1" t="s">
        <v>128</v>
      </c>
      <c r="D11" s="1" t="s">
        <v>512</v>
      </c>
      <c r="E11" s="1" t="s">
        <v>14</v>
      </c>
      <c r="F11" s="1" t="s">
        <v>16</v>
      </c>
      <c r="G11" s="1" t="s">
        <v>513</v>
      </c>
      <c r="H11" s="1" t="s">
        <v>18</v>
      </c>
      <c r="I11" s="1" t="s">
        <v>27</v>
      </c>
      <c r="J11" s="1" t="s">
        <v>514</v>
      </c>
      <c r="K11" s="1" t="s">
        <v>515</v>
      </c>
      <c r="L11" s="1" t="s">
        <v>516</v>
      </c>
      <c r="M11" s="1" t="s">
        <v>517</v>
      </c>
      <c r="N11" s="1" t="s">
        <v>518</v>
      </c>
    </row>
    <row r="12" spans="1:14" x14ac:dyDescent="0.2">
      <c r="A12" s="1" t="s">
        <v>28</v>
      </c>
      <c r="B12" s="1" t="s">
        <v>29</v>
      </c>
      <c r="C12" s="1" t="s">
        <v>29</v>
      </c>
      <c r="D12" s="2">
        <v>137</v>
      </c>
      <c r="E12" s="2">
        <v>301</v>
      </c>
      <c r="F12" s="2">
        <f t="shared" ref="F12:F75" si="0">IF(COUNTA(D12:E12)=0,"",SUM(D12:E12))</f>
        <v>438</v>
      </c>
      <c r="G12" s="3">
        <f t="shared" ref="G12:G75" si="1">IF(OR(F12="",F12=0),"",D12/F12)</f>
        <v>0.31278538812785389</v>
      </c>
      <c r="H12" s="3">
        <f t="shared" ref="H12:H75" si="2">IF(OR(F12="",F12=0),"",E12/F12)</f>
        <v>0.68721461187214616</v>
      </c>
      <c r="I12" s="1" t="s">
        <v>523</v>
      </c>
      <c r="J12" s="2">
        <v>181</v>
      </c>
      <c r="K12" s="2">
        <v>284</v>
      </c>
      <c r="L12" s="2">
        <v>465</v>
      </c>
      <c r="M12" s="3">
        <v>0.38924731182795702</v>
      </c>
      <c r="N12" s="6">
        <v>-7.65</v>
      </c>
    </row>
    <row r="13" spans="1:14" x14ac:dyDescent="0.2">
      <c r="A13" s="1" t="s">
        <v>28</v>
      </c>
      <c r="B13" s="1" t="s">
        <v>31</v>
      </c>
      <c r="C13" s="1" t="s">
        <v>31</v>
      </c>
      <c r="D13" s="2">
        <v>94</v>
      </c>
      <c r="E13" s="2">
        <v>310</v>
      </c>
      <c r="F13" s="2">
        <f t="shared" si="0"/>
        <v>404</v>
      </c>
      <c r="G13" s="3">
        <f t="shared" si="1"/>
        <v>0.23267326732673269</v>
      </c>
      <c r="H13" s="3">
        <f t="shared" si="2"/>
        <v>0.76732673267326734</v>
      </c>
      <c r="I13" s="1" t="s">
        <v>523</v>
      </c>
      <c r="J13" s="2">
        <v>118</v>
      </c>
      <c r="K13" s="2">
        <v>298</v>
      </c>
      <c r="L13" s="2">
        <v>416</v>
      </c>
      <c r="M13" s="3">
        <v>0.28365384615384609</v>
      </c>
      <c r="N13" s="6">
        <v>-5.0999999999999996</v>
      </c>
    </row>
    <row r="14" spans="1:14" x14ac:dyDescent="0.2">
      <c r="A14" s="1" t="s">
        <v>28</v>
      </c>
      <c r="B14" s="1" t="s">
        <v>32</v>
      </c>
      <c r="C14" s="1" t="s">
        <v>32</v>
      </c>
      <c r="D14" s="2">
        <v>129</v>
      </c>
      <c r="E14" s="2">
        <v>274</v>
      </c>
      <c r="F14" s="2">
        <f t="shared" si="0"/>
        <v>403</v>
      </c>
      <c r="G14" s="3">
        <f t="shared" si="1"/>
        <v>0.32009925558312657</v>
      </c>
      <c r="H14" s="3">
        <f t="shared" si="2"/>
        <v>0.67990074441687343</v>
      </c>
      <c r="I14" s="1" t="s">
        <v>523</v>
      </c>
      <c r="J14" s="2">
        <v>143</v>
      </c>
      <c r="K14" s="2">
        <v>309</v>
      </c>
      <c r="L14" s="2">
        <v>452</v>
      </c>
      <c r="M14" s="3">
        <v>0.3163716814159292</v>
      </c>
      <c r="N14" s="6">
        <v>0.37</v>
      </c>
    </row>
    <row r="15" spans="1:14" x14ac:dyDescent="0.2">
      <c r="A15" s="1" t="s">
        <v>28</v>
      </c>
      <c r="B15" s="1" t="s">
        <v>33</v>
      </c>
      <c r="C15" s="1" t="s">
        <v>130</v>
      </c>
      <c r="D15" s="2">
        <v>210</v>
      </c>
      <c r="E15" s="2">
        <v>648</v>
      </c>
      <c r="F15" s="2">
        <f t="shared" si="0"/>
        <v>858</v>
      </c>
      <c r="G15" s="3">
        <f t="shared" si="1"/>
        <v>0.24475524475524477</v>
      </c>
      <c r="H15" s="3">
        <f t="shared" si="2"/>
        <v>0.75524475524475521</v>
      </c>
      <c r="I15" s="1" t="s">
        <v>523</v>
      </c>
      <c r="J15" s="2">
        <v>202</v>
      </c>
      <c r="K15" s="2">
        <v>640</v>
      </c>
      <c r="L15" s="2">
        <v>842</v>
      </c>
      <c r="M15" s="3">
        <v>0.23990498812351541</v>
      </c>
      <c r="N15" s="6">
        <v>0.49</v>
      </c>
    </row>
    <row r="16" spans="1:14" x14ac:dyDescent="0.2">
      <c r="A16" s="1" t="s">
        <v>28</v>
      </c>
      <c r="B16" s="1" t="s">
        <v>33</v>
      </c>
      <c r="C16" s="1" t="s">
        <v>131</v>
      </c>
      <c r="D16" s="2">
        <v>184</v>
      </c>
      <c r="E16" s="2">
        <v>533</v>
      </c>
      <c r="F16" s="2">
        <f t="shared" si="0"/>
        <v>717</v>
      </c>
      <c r="G16" s="3">
        <f t="shared" si="1"/>
        <v>0.25662482566248257</v>
      </c>
      <c r="H16" s="3">
        <f t="shared" si="2"/>
        <v>0.74337517433751743</v>
      </c>
      <c r="I16" s="1" t="s">
        <v>523</v>
      </c>
      <c r="J16" s="2">
        <v>232</v>
      </c>
      <c r="K16" s="2">
        <v>603</v>
      </c>
      <c r="L16" s="2">
        <v>835</v>
      </c>
      <c r="M16" s="3">
        <v>0.27784431137724552</v>
      </c>
      <c r="N16" s="6">
        <v>-2.12</v>
      </c>
    </row>
    <row r="17" spans="1:14" x14ac:dyDescent="0.2">
      <c r="A17" s="1" t="s">
        <v>28</v>
      </c>
      <c r="B17" s="1" t="s">
        <v>34</v>
      </c>
      <c r="C17" s="1" t="s">
        <v>34</v>
      </c>
      <c r="D17" s="2">
        <v>36</v>
      </c>
      <c r="E17" s="2">
        <v>76</v>
      </c>
      <c r="F17" s="2">
        <f t="shared" si="0"/>
        <v>112</v>
      </c>
      <c r="G17" s="3">
        <f t="shared" si="1"/>
        <v>0.32142857142857145</v>
      </c>
      <c r="H17" s="3">
        <f t="shared" si="2"/>
        <v>0.6785714285714286</v>
      </c>
      <c r="I17" s="1" t="s">
        <v>523</v>
      </c>
      <c r="J17" s="2">
        <v>38</v>
      </c>
      <c r="K17" s="2">
        <v>78</v>
      </c>
      <c r="L17" s="2">
        <v>116</v>
      </c>
      <c r="M17" s="3">
        <v>0.32758620689655171</v>
      </c>
      <c r="N17" s="6">
        <v>-0.62</v>
      </c>
    </row>
    <row r="18" spans="1:14" x14ac:dyDescent="0.2">
      <c r="A18" s="1" t="s">
        <v>28</v>
      </c>
      <c r="B18" s="1" t="s">
        <v>35</v>
      </c>
      <c r="C18" s="1" t="s">
        <v>132</v>
      </c>
      <c r="D18" s="2">
        <v>268</v>
      </c>
      <c r="E18" s="2">
        <v>756</v>
      </c>
      <c r="F18" s="2">
        <f t="shared" si="0"/>
        <v>1024</v>
      </c>
      <c r="G18" s="3">
        <f t="shared" si="1"/>
        <v>0.26171875</v>
      </c>
      <c r="H18" s="3">
        <f t="shared" si="2"/>
        <v>0.73828125</v>
      </c>
      <c r="I18" s="1" t="s">
        <v>523</v>
      </c>
      <c r="J18" s="2">
        <v>301</v>
      </c>
      <c r="K18" s="2">
        <v>760</v>
      </c>
      <c r="L18" s="2">
        <v>1061</v>
      </c>
      <c r="M18" s="3">
        <v>0.28369462770970783</v>
      </c>
      <c r="N18" s="6">
        <v>-2.2000000000000002</v>
      </c>
    </row>
    <row r="19" spans="1:14" x14ac:dyDescent="0.2">
      <c r="A19" s="1" t="s">
        <v>28</v>
      </c>
      <c r="B19" s="1" t="s">
        <v>35</v>
      </c>
      <c r="C19" s="1" t="s">
        <v>133</v>
      </c>
      <c r="D19" s="2">
        <v>150</v>
      </c>
      <c r="E19" s="2">
        <v>429</v>
      </c>
      <c r="F19" s="2">
        <f t="shared" si="0"/>
        <v>579</v>
      </c>
      <c r="G19" s="3">
        <f t="shared" si="1"/>
        <v>0.25906735751295334</v>
      </c>
      <c r="H19" s="3">
        <f t="shared" si="2"/>
        <v>0.7409326424870466</v>
      </c>
      <c r="I19" s="1" t="s">
        <v>523</v>
      </c>
      <c r="J19" s="2">
        <v>164</v>
      </c>
      <c r="K19" s="2">
        <v>450</v>
      </c>
      <c r="L19" s="2">
        <v>614</v>
      </c>
      <c r="M19" s="3">
        <v>0.26710097719869708</v>
      </c>
      <c r="N19" s="6">
        <v>-0.8</v>
      </c>
    </row>
    <row r="20" spans="1:14" x14ac:dyDescent="0.2">
      <c r="A20" s="1" t="s">
        <v>28</v>
      </c>
      <c r="B20" s="1" t="s">
        <v>35</v>
      </c>
      <c r="C20" s="1" t="s">
        <v>134</v>
      </c>
      <c r="D20" s="2">
        <v>196</v>
      </c>
      <c r="E20" s="2">
        <v>634</v>
      </c>
      <c r="F20" s="2">
        <f t="shared" si="0"/>
        <v>830</v>
      </c>
      <c r="G20" s="3">
        <f t="shared" si="1"/>
        <v>0.236144578313253</v>
      </c>
      <c r="H20" s="3">
        <f t="shared" si="2"/>
        <v>0.76385542168674703</v>
      </c>
      <c r="I20" s="1" t="s">
        <v>523</v>
      </c>
      <c r="J20" s="2">
        <v>235</v>
      </c>
      <c r="K20" s="2">
        <v>626</v>
      </c>
      <c r="L20" s="2">
        <v>861</v>
      </c>
      <c r="M20" s="3">
        <v>0.27293844367015102</v>
      </c>
      <c r="N20" s="6">
        <v>-3.68</v>
      </c>
    </row>
    <row r="21" spans="1:14" x14ac:dyDescent="0.2">
      <c r="A21" s="1" t="s">
        <v>28</v>
      </c>
      <c r="B21" s="1" t="s">
        <v>36</v>
      </c>
      <c r="C21" s="1" t="s">
        <v>135</v>
      </c>
      <c r="D21" s="2">
        <v>215</v>
      </c>
      <c r="E21" s="2">
        <v>287</v>
      </c>
      <c r="F21" s="2">
        <f t="shared" si="0"/>
        <v>502</v>
      </c>
      <c r="G21" s="3">
        <f t="shared" si="1"/>
        <v>0.42828685258964144</v>
      </c>
      <c r="H21" s="3">
        <f t="shared" si="2"/>
        <v>0.57171314741035861</v>
      </c>
      <c r="I21" s="1" t="s">
        <v>523</v>
      </c>
      <c r="J21" s="2">
        <v>229</v>
      </c>
      <c r="K21" s="2">
        <v>297</v>
      </c>
      <c r="L21" s="2">
        <v>526</v>
      </c>
      <c r="M21" s="3">
        <v>0.43536121673003803</v>
      </c>
      <c r="N21" s="6">
        <v>-0.71</v>
      </c>
    </row>
    <row r="22" spans="1:14" x14ac:dyDescent="0.2">
      <c r="A22" s="1" t="s">
        <v>28</v>
      </c>
      <c r="B22" s="1" t="s">
        <v>36</v>
      </c>
      <c r="C22" s="1" t="s">
        <v>136</v>
      </c>
      <c r="D22" s="2">
        <v>153</v>
      </c>
      <c r="E22" s="2">
        <v>209</v>
      </c>
      <c r="F22" s="2">
        <f t="shared" si="0"/>
        <v>362</v>
      </c>
      <c r="G22" s="3">
        <f t="shared" si="1"/>
        <v>0.42265193370165743</v>
      </c>
      <c r="H22" s="3">
        <f t="shared" si="2"/>
        <v>0.57734806629834257</v>
      </c>
      <c r="I22" s="1" t="s">
        <v>523</v>
      </c>
      <c r="J22" s="2">
        <v>163</v>
      </c>
      <c r="K22" s="2">
        <v>226</v>
      </c>
      <c r="L22" s="2">
        <v>389</v>
      </c>
      <c r="M22" s="3">
        <v>0.41902313624678661</v>
      </c>
      <c r="N22" s="6">
        <v>0.36</v>
      </c>
    </row>
    <row r="23" spans="1:14" x14ac:dyDescent="0.2">
      <c r="A23" s="1" t="s">
        <v>28</v>
      </c>
      <c r="B23" s="1" t="s">
        <v>36</v>
      </c>
      <c r="C23" s="1" t="s">
        <v>137</v>
      </c>
      <c r="D23" s="2">
        <v>264</v>
      </c>
      <c r="E23" s="2">
        <v>466</v>
      </c>
      <c r="F23" s="2">
        <f t="shared" si="0"/>
        <v>730</v>
      </c>
      <c r="G23" s="3">
        <f t="shared" si="1"/>
        <v>0.36164383561643837</v>
      </c>
      <c r="H23" s="3">
        <f t="shared" si="2"/>
        <v>0.63835616438356169</v>
      </c>
      <c r="I23" s="1" t="s">
        <v>523</v>
      </c>
      <c r="J23" s="2">
        <v>286</v>
      </c>
      <c r="K23" s="2">
        <v>464</v>
      </c>
      <c r="L23" s="2">
        <v>750</v>
      </c>
      <c r="M23" s="3">
        <v>0.38133333333333341</v>
      </c>
      <c r="N23" s="6">
        <v>-1.97</v>
      </c>
    </row>
    <row r="24" spans="1:14" x14ac:dyDescent="0.2">
      <c r="A24" s="1" t="s">
        <v>28</v>
      </c>
      <c r="B24" s="1" t="s">
        <v>36</v>
      </c>
      <c r="C24" s="1" t="s">
        <v>138</v>
      </c>
      <c r="D24" s="2">
        <v>126</v>
      </c>
      <c r="E24" s="2">
        <v>117</v>
      </c>
      <c r="F24" s="2">
        <f t="shared" si="0"/>
        <v>243</v>
      </c>
      <c r="G24" s="3">
        <f t="shared" si="1"/>
        <v>0.51851851851851849</v>
      </c>
      <c r="H24" s="3">
        <f t="shared" si="2"/>
        <v>0.48148148148148145</v>
      </c>
      <c r="I24" s="1" t="s">
        <v>523</v>
      </c>
      <c r="J24" s="2">
        <v>138</v>
      </c>
      <c r="K24" s="2">
        <v>134</v>
      </c>
      <c r="L24" s="2">
        <v>272</v>
      </c>
      <c r="M24" s="3">
        <v>0.50735294117647056</v>
      </c>
      <c r="N24" s="6">
        <v>1.1200000000000001</v>
      </c>
    </row>
    <row r="25" spans="1:14" x14ac:dyDescent="0.2">
      <c r="A25" s="1" t="s">
        <v>28</v>
      </c>
      <c r="B25" s="1" t="s">
        <v>36</v>
      </c>
      <c r="C25" s="1" t="s">
        <v>139</v>
      </c>
      <c r="D25" s="2">
        <v>267</v>
      </c>
      <c r="E25" s="2">
        <v>321</v>
      </c>
      <c r="F25" s="2">
        <f t="shared" si="0"/>
        <v>588</v>
      </c>
      <c r="G25" s="3">
        <f t="shared" si="1"/>
        <v>0.45408163265306123</v>
      </c>
      <c r="H25" s="3">
        <f t="shared" si="2"/>
        <v>0.54591836734693877</v>
      </c>
      <c r="I25" s="1" t="s">
        <v>523</v>
      </c>
      <c r="J25" s="2">
        <v>275</v>
      </c>
      <c r="K25" s="2">
        <v>352</v>
      </c>
      <c r="L25" s="2">
        <v>627</v>
      </c>
      <c r="M25" s="3">
        <v>0.43859649122807021</v>
      </c>
      <c r="N25" s="6">
        <v>1.55</v>
      </c>
    </row>
    <row r="26" spans="1:14" x14ac:dyDescent="0.2">
      <c r="A26" s="1" t="s">
        <v>28</v>
      </c>
      <c r="B26" s="1" t="s">
        <v>37</v>
      </c>
      <c r="C26" s="1" t="s">
        <v>140</v>
      </c>
      <c r="D26" s="2">
        <v>89</v>
      </c>
      <c r="E26" s="2">
        <v>195</v>
      </c>
      <c r="F26" s="2">
        <f t="shared" si="0"/>
        <v>284</v>
      </c>
      <c r="G26" s="3">
        <f t="shared" si="1"/>
        <v>0.31338028169014087</v>
      </c>
      <c r="H26" s="3">
        <f t="shared" si="2"/>
        <v>0.68661971830985913</v>
      </c>
      <c r="I26" s="1" t="s">
        <v>523</v>
      </c>
      <c r="J26" s="2">
        <v>120</v>
      </c>
      <c r="K26" s="2">
        <v>202</v>
      </c>
      <c r="L26" s="2">
        <v>322</v>
      </c>
      <c r="M26" s="3">
        <v>0.37267080745341608</v>
      </c>
      <c r="N26" s="6">
        <v>-5.93</v>
      </c>
    </row>
    <row r="27" spans="1:14" x14ac:dyDescent="0.2">
      <c r="A27" s="1" t="s">
        <v>28</v>
      </c>
      <c r="B27" s="1" t="s">
        <v>37</v>
      </c>
      <c r="C27" s="1" t="s">
        <v>141</v>
      </c>
      <c r="D27" s="2">
        <v>216</v>
      </c>
      <c r="E27" s="2">
        <v>537</v>
      </c>
      <c r="F27" s="2">
        <f t="shared" si="0"/>
        <v>753</v>
      </c>
      <c r="G27" s="3">
        <f t="shared" si="1"/>
        <v>0.28685258964143429</v>
      </c>
      <c r="H27" s="3">
        <f t="shared" si="2"/>
        <v>0.71314741035856577</v>
      </c>
      <c r="I27" s="1" t="s">
        <v>523</v>
      </c>
      <c r="J27" s="2">
        <v>227</v>
      </c>
      <c r="K27" s="2">
        <v>484</v>
      </c>
      <c r="L27" s="2">
        <v>711</v>
      </c>
      <c r="M27" s="3">
        <v>0.31926863572433201</v>
      </c>
      <c r="N27" s="6">
        <v>-3.24</v>
      </c>
    </row>
    <row r="28" spans="1:14" x14ac:dyDescent="0.2">
      <c r="A28" s="1" t="s">
        <v>28</v>
      </c>
      <c r="B28" s="1" t="s">
        <v>38</v>
      </c>
      <c r="C28" s="1" t="s">
        <v>142</v>
      </c>
      <c r="D28" s="2">
        <v>239</v>
      </c>
      <c r="E28" s="2">
        <v>407</v>
      </c>
      <c r="F28" s="2">
        <f t="shared" si="0"/>
        <v>646</v>
      </c>
      <c r="G28" s="3">
        <f t="shared" si="1"/>
        <v>0.36996904024767802</v>
      </c>
      <c r="H28" s="3">
        <f t="shared" si="2"/>
        <v>0.63003095975232193</v>
      </c>
      <c r="I28" s="1" t="s">
        <v>523</v>
      </c>
      <c r="J28" s="2">
        <v>249</v>
      </c>
      <c r="K28" s="2">
        <v>392</v>
      </c>
      <c r="L28" s="2">
        <v>641</v>
      </c>
      <c r="M28" s="3">
        <v>0.38845553822152878</v>
      </c>
      <c r="N28" s="6">
        <v>-1.85</v>
      </c>
    </row>
    <row r="29" spans="1:14" x14ac:dyDescent="0.2">
      <c r="A29" s="1" t="s">
        <v>28</v>
      </c>
      <c r="B29" s="1" t="s">
        <v>38</v>
      </c>
      <c r="C29" s="1" t="s">
        <v>143</v>
      </c>
      <c r="D29" s="2">
        <v>154</v>
      </c>
      <c r="E29" s="2">
        <v>236</v>
      </c>
      <c r="F29" s="2">
        <f t="shared" si="0"/>
        <v>390</v>
      </c>
      <c r="G29" s="3">
        <f t="shared" si="1"/>
        <v>0.39487179487179486</v>
      </c>
      <c r="H29" s="3">
        <f t="shared" si="2"/>
        <v>0.60512820512820509</v>
      </c>
      <c r="I29" s="1" t="s">
        <v>523</v>
      </c>
      <c r="J29" s="2">
        <v>152</v>
      </c>
      <c r="K29" s="2">
        <v>246</v>
      </c>
      <c r="L29" s="2">
        <v>398</v>
      </c>
      <c r="M29" s="3">
        <v>0.38190954773869351</v>
      </c>
      <c r="N29" s="6">
        <v>1.3</v>
      </c>
    </row>
    <row r="30" spans="1:14" x14ac:dyDescent="0.2">
      <c r="A30" s="1" t="s">
        <v>28</v>
      </c>
      <c r="B30" s="1" t="s">
        <v>38</v>
      </c>
      <c r="C30" s="1" t="s">
        <v>144</v>
      </c>
      <c r="D30" s="2">
        <v>162</v>
      </c>
      <c r="E30" s="2">
        <v>210</v>
      </c>
      <c r="F30" s="2">
        <f t="shared" si="0"/>
        <v>372</v>
      </c>
      <c r="G30" s="3">
        <f t="shared" si="1"/>
        <v>0.43548387096774194</v>
      </c>
      <c r="H30" s="3">
        <f t="shared" si="2"/>
        <v>0.56451612903225812</v>
      </c>
      <c r="I30" s="1" t="s">
        <v>523</v>
      </c>
      <c r="J30" s="2">
        <v>165</v>
      </c>
      <c r="K30" s="2">
        <v>237</v>
      </c>
      <c r="L30" s="2">
        <v>402</v>
      </c>
      <c r="M30" s="3">
        <v>0.41044776119402993</v>
      </c>
      <c r="N30" s="6">
        <v>2.5</v>
      </c>
    </row>
    <row r="31" spans="1:14" x14ac:dyDescent="0.2">
      <c r="A31" s="1" t="s">
        <v>28</v>
      </c>
      <c r="B31" s="1" t="s">
        <v>39</v>
      </c>
      <c r="C31" s="1" t="s">
        <v>39</v>
      </c>
      <c r="D31" s="2">
        <v>38</v>
      </c>
      <c r="E31" s="2">
        <v>101</v>
      </c>
      <c r="F31" s="2">
        <f t="shared" si="0"/>
        <v>139</v>
      </c>
      <c r="G31" s="3">
        <f t="shared" si="1"/>
        <v>0.2733812949640288</v>
      </c>
      <c r="H31" s="3">
        <f t="shared" si="2"/>
        <v>0.72661870503597126</v>
      </c>
      <c r="I31" s="1" t="s">
        <v>523</v>
      </c>
      <c r="J31" s="2">
        <v>38</v>
      </c>
      <c r="K31" s="2">
        <v>106</v>
      </c>
      <c r="L31" s="2">
        <v>144</v>
      </c>
      <c r="M31" s="3">
        <v>0.2638888888888889</v>
      </c>
      <c r="N31" s="6">
        <v>0.95</v>
      </c>
    </row>
    <row r="32" spans="1:14" x14ac:dyDescent="0.2">
      <c r="A32" s="1" t="s">
        <v>28</v>
      </c>
      <c r="B32" s="1" t="s">
        <v>40</v>
      </c>
      <c r="C32" s="1" t="s">
        <v>40</v>
      </c>
      <c r="D32" s="2">
        <v>50</v>
      </c>
      <c r="E32" s="2">
        <v>214</v>
      </c>
      <c r="F32" s="2">
        <f t="shared" si="0"/>
        <v>264</v>
      </c>
      <c r="G32" s="3">
        <f t="shared" si="1"/>
        <v>0.18939393939393939</v>
      </c>
      <c r="H32" s="3">
        <f t="shared" si="2"/>
        <v>0.81060606060606055</v>
      </c>
      <c r="I32" s="1" t="s">
        <v>523</v>
      </c>
      <c r="J32" s="2">
        <v>58</v>
      </c>
      <c r="K32" s="2">
        <v>214</v>
      </c>
      <c r="L32" s="2">
        <v>272</v>
      </c>
      <c r="M32" s="3">
        <v>0.21323529411764711</v>
      </c>
      <c r="N32" s="6">
        <v>-2.38</v>
      </c>
    </row>
    <row r="33" spans="1:14" x14ac:dyDescent="0.2">
      <c r="A33" s="1" t="s">
        <v>28</v>
      </c>
      <c r="B33" s="1" t="s">
        <v>41</v>
      </c>
      <c r="C33" s="1" t="s">
        <v>145</v>
      </c>
      <c r="D33" s="2">
        <v>302</v>
      </c>
      <c r="E33" s="2">
        <v>489</v>
      </c>
      <c r="F33" s="2">
        <f t="shared" si="0"/>
        <v>791</v>
      </c>
      <c r="G33" s="3">
        <f t="shared" si="1"/>
        <v>0.38179519595448796</v>
      </c>
      <c r="H33" s="3">
        <f t="shared" si="2"/>
        <v>0.61820480404551204</v>
      </c>
      <c r="I33" s="1" t="s">
        <v>523</v>
      </c>
      <c r="J33" s="2">
        <v>321</v>
      </c>
      <c r="K33" s="2">
        <v>498</v>
      </c>
      <c r="L33" s="2">
        <v>819</v>
      </c>
      <c r="M33" s="3">
        <v>0.39194139194139188</v>
      </c>
      <c r="N33" s="6">
        <v>-1.01</v>
      </c>
    </row>
    <row r="34" spans="1:14" x14ac:dyDescent="0.2">
      <c r="A34" s="1" t="s">
        <v>28</v>
      </c>
      <c r="B34" s="1" t="s">
        <v>41</v>
      </c>
      <c r="C34" s="1" t="s">
        <v>146</v>
      </c>
      <c r="D34" s="2">
        <v>305</v>
      </c>
      <c r="E34" s="2">
        <v>411</v>
      </c>
      <c r="F34" s="2">
        <f t="shared" si="0"/>
        <v>716</v>
      </c>
      <c r="G34" s="3">
        <f t="shared" si="1"/>
        <v>0.42597765363128492</v>
      </c>
      <c r="H34" s="3">
        <f t="shared" si="2"/>
        <v>0.57402234636871508</v>
      </c>
      <c r="I34" s="1" t="s">
        <v>523</v>
      </c>
      <c r="J34" s="2">
        <v>288</v>
      </c>
      <c r="K34" s="2">
        <v>448</v>
      </c>
      <c r="L34" s="2">
        <v>736</v>
      </c>
      <c r="M34" s="3">
        <v>0.39130434782608697</v>
      </c>
      <c r="N34" s="6">
        <v>3.47</v>
      </c>
    </row>
    <row r="35" spans="1:14" x14ac:dyDescent="0.2">
      <c r="A35" s="1" t="s">
        <v>28</v>
      </c>
      <c r="B35" s="1" t="s">
        <v>41</v>
      </c>
      <c r="C35" s="1" t="s">
        <v>147</v>
      </c>
      <c r="D35" s="2">
        <v>295</v>
      </c>
      <c r="E35" s="2">
        <v>462</v>
      </c>
      <c r="F35" s="2">
        <f t="shared" si="0"/>
        <v>757</v>
      </c>
      <c r="G35" s="3">
        <f t="shared" si="1"/>
        <v>0.38969616908850724</v>
      </c>
      <c r="H35" s="3">
        <f t="shared" si="2"/>
        <v>0.61030383091149276</v>
      </c>
      <c r="I35" s="1" t="s">
        <v>523</v>
      </c>
      <c r="J35" s="2">
        <v>317</v>
      </c>
      <c r="K35" s="2">
        <v>527</v>
      </c>
      <c r="L35" s="2">
        <v>844</v>
      </c>
      <c r="M35" s="3">
        <v>0.37559241706161139</v>
      </c>
      <c r="N35" s="6">
        <v>1.41</v>
      </c>
    </row>
    <row r="36" spans="1:14" x14ac:dyDescent="0.2">
      <c r="A36" s="1" t="s">
        <v>28</v>
      </c>
      <c r="B36" s="1" t="s">
        <v>42</v>
      </c>
      <c r="C36" s="1" t="s">
        <v>148</v>
      </c>
      <c r="D36" s="2">
        <v>267</v>
      </c>
      <c r="E36" s="2">
        <v>730</v>
      </c>
      <c r="F36" s="2">
        <f t="shared" si="0"/>
        <v>997</v>
      </c>
      <c r="G36" s="3">
        <f t="shared" si="1"/>
        <v>0.2678034102306921</v>
      </c>
      <c r="H36" s="3">
        <f t="shared" si="2"/>
        <v>0.7321965897693079</v>
      </c>
      <c r="I36" s="1" t="s">
        <v>523</v>
      </c>
      <c r="J36" s="2">
        <v>285</v>
      </c>
      <c r="K36" s="2">
        <v>760</v>
      </c>
      <c r="L36" s="2">
        <v>1045</v>
      </c>
      <c r="M36" s="3">
        <v>0.27272727272727271</v>
      </c>
      <c r="N36" s="6">
        <v>-0.49</v>
      </c>
    </row>
    <row r="37" spans="1:14" x14ac:dyDescent="0.2">
      <c r="A37" s="1" t="s">
        <v>28</v>
      </c>
      <c r="B37" s="1" t="s">
        <v>42</v>
      </c>
      <c r="C37" s="1" t="s">
        <v>149</v>
      </c>
      <c r="D37" s="2">
        <v>200</v>
      </c>
      <c r="E37" s="2">
        <v>484</v>
      </c>
      <c r="F37" s="2">
        <f t="shared" si="0"/>
        <v>684</v>
      </c>
      <c r="G37" s="3">
        <f t="shared" si="1"/>
        <v>0.29239766081871343</v>
      </c>
      <c r="H37" s="3">
        <f t="shared" si="2"/>
        <v>0.70760233918128657</v>
      </c>
      <c r="I37" s="1" t="s">
        <v>523</v>
      </c>
      <c r="J37" s="2">
        <v>228</v>
      </c>
      <c r="K37" s="2">
        <v>522</v>
      </c>
      <c r="L37" s="2">
        <v>750</v>
      </c>
      <c r="M37" s="3">
        <v>0.30399999999999999</v>
      </c>
      <c r="N37" s="6">
        <v>-1.1599999999999999</v>
      </c>
    </row>
    <row r="38" spans="1:14" x14ac:dyDescent="0.2">
      <c r="A38" s="1" t="s">
        <v>28</v>
      </c>
      <c r="B38" s="1" t="s">
        <v>43</v>
      </c>
      <c r="C38" s="1" t="s">
        <v>150</v>
      </c>
      <c r="D38" s="2">
        <v>115</v>
      </c>
      <c r="E38" s="2">
        <v>382</v>
      </c>
      <c r="F38" s="2">
        <f t="shared" si="0"/>
        <v>497</v>
      </c>
      <c r="G38" s="3">
        <f t="shared" si="1"/>
        <v>0.23138832997987926</v>
      </c>
      <c r="H38" s="3">
        <f t="shared" si="2"/>
        <v>0.76861167002012076</v>
      </c>
      <c r="I38" s="1" t="s">
        <v>523</v>
      </c>
      <c r="J38" s="2">
        <v>135</v>
      </c>
      <c r="K38" s="2">
        <v>395</v>
      </c>
      <c r="L38" s="2">
        <v>530</v>
      </c>
      <c r="M38" s="3">
        <v>0.25471698113207553</v>
      </c>
      <c r="N38" s="6">
        <v>-2.33</v>
      </c>
    </row>
    <row r="39" spans="1:14" x14ac:dyDescent="0.2">
      <c r="A39" s="1" t="s">
        <v>28</v>
      </c>
      <c r="B39" s="1" t="s">
        <v>43</v>
      </c>
      <c r="C39" s="1" t="s">
        <v>151</v>
      </c>
      <c r="D39" s="2">
        <v>106</v>
      </c>
      <c r="E39" s="2">
        <v>285</v>
      </c>
      <c r="F39" s="2">
        <f t="shared" si="0"/>
        <v>391</v>
      </c>
      <c r="G39" s="3">
        <f t="shared" si="1"/>
        <v>0.2710997442455243</v>
      </c>
      <c r="H39" s="3">
        <f t="shared" si="2"/>
        <v>0.7289002557544757</v>
      </c>
      <c r="I39" s="1" t="s">
        <v>523</v>
      </c>
      <c r="J39" s="2">
        <v>124</v>
      </c>
      <c r="K39" s="2">
        <v>298</v>
      </c>
      <c r="L39" s="2">
        <v>422</v>
      </c>
      <c r="M39" s="3">
        <v>0.29383886255924169</v>
      </c>
      <c r="N39" s="6">
        <v>-2.27</v>
      </c>
    </row>
    <row r="40" spans="1:14" x14ac:dyDescent="0.2">
      <c r="A40" s="1" t="s">
        <v>28</v>
      </c>
      <c r="B40" s="1" t="s">
        <v>43</v>
      </c>
      <c r="C40" s="1" t="s">
        <v>152</v>
      </c>
      <c r="D40" s="2">
        <v>367</v>
      </c>
      <c r="E40" s="2">
        <v>934</v>
      </c>
      <c r="F40" s="2">
        <f t="shared" si="0"/>
        <v>1301</v>
      </c>
      <c r="G40" s="3">
        <f t="shared" si="1"/>
        <v>0.28209069946195237</v>
      </c>
      <c r="H40" s="3">
        <f t="shared" si="2"/>
        <v>0.71790930053804769</v>
      </c>
      <c r="I40" s="1" t="s">
        <v>523</v>
      </c>
      <c r="J40" s="2">
        <v>424</v>
      </c>
      <c r="K40" s="2">
        <v>988</v>
      </c>
      <c r="L40" s="2">
        <v>1412</v>
      </c>
      <c r="M40" s="3">
        <v>0.3002832861189802</v>
      </c>
      <c r="N40" s="6">
        <v>-1.82</v>
      </c>
    </row>
    <row r="41" spans="1:14" x14ac:dyDescent="0.2">
      <c r="A41" s="1" t="s">
        <v>28</v>
      </c>
      <c r="B41" s="1" t="s">
        <v>44</v>
      </c>
      <c r="C41" s="1" t="s">
        <v>153</v>
      </c>
      <c r="D41" s="2">
        <v>276</v>
      </c>
      <c r="E41" s="2">
        <v>424</v>
      </c>
      <c r="F41" s="2">
        <f t="shared" si="0"/>
        <v>700</v>
      </c>
      <c r="G41" s="3">
        <f t="shared" si="1"/>
        <v>0.39428571428571429</v>
      </c>
      <c r="H41" s="3">
        <f t="shared" si="2"/>
        <v>0.60571428571428576</v>
      </c>
      <c r="I41" s="1" t="s">
        <v>523</v>
      </c>
      <c r="J41" s="2">
        <v>279</v>
      </c>
      <c r="K41" s="2">
        <v>445</v>
      </c>
      <c r="L41" s="2">
        <v>724</v>
      </c>
      <c r="M41" s="3">
        <v>0.38535911602209938</v>
      </c>
      <c r="N41" s="6">
        <v>0.89</v>
      </c>
    </row>
    <row r="42" spans="1:14" x14ac:dyDescent="0.2">
      <c r="A42" s="1" t="s">
        <v>28</v>
      </c>
      <c r="B42" s="1" t="s">
        <v>44</v>
      </c>
      <c r="C42" s="1" t="s">
        <v>154</v>
      </c>
      <c r="D42" s="2">
        <v>267</v>
      </c>
      <c r="E42" s="2">
        <v>489</v>
      </c>
      <c r="F42" s="2">
        <f t="shared" si="0"/>
        <v>756</v>
      </c>
      <c r="G42" s="3">
        <f t="shared" si="1"/>
        <v>0.3531746031746032</v>
      </c>
      <c r="H42" s="3">
        <f t="shared" si="2"/>
        <v>0.64682539682539686</v>
      </c>
      <c r="I42" s="1" t="s">
        <v>523</v>
      </c>
      <c r="J42" s="2">
        <v>309</v>
      </c>
      <c r="K42" s="2">
        <v>488</v>
      </c>
      <c r="L42" s="2">
        <v>797</v>
      </c>
      <c r="M42" s="3">
        <v>0.38770388958594731</v>
      </c>
      <c r="N42" s="6">
        <v>-3.45</v>
      </c>
    </row>
    <row r="43" spans="1:14" x14ac:dyDescent="0.2">
      <c r="A43" s="1" t="s">
        <v>28</v>
      </c>
      <c r="B43" s="1" t="s">
        <v>45</v>
      </c>
      <c r="C43" s="1" t="s">
        <v>45</v>
      </c>
      <c r="D43" s="2">
        <v>95</v>
      </c>
      <c r="E43" s="2">
        <v>499</v>
      </c>
      <c r="F43" s="2">
        <f t="shared" si="0"/>
        <v>594</v>
      </c>
      <c r="G43" s="3">
        <f t="shared" si="1"/>
        <v>0.15993265993265993</v>
      </c>
      <c r="H43" s="3">
        <f t="shared" si="2"/>
        <v>0.84006734006734007</v>
      </c>
      <c r="I43" s="1" t="s">
        <v>523</v>
      </c>
      <c r="J43" s="2">
        <v>134</v>
      </c>
      <c r="K43" s="2">
        <v>503</v>
      </c>
      <c r="L43" s="2">
        <v>637</v>
      </c>
      <c r="M43" s="3">
        <v>0.21036106750392461</v>
      </c>
      <c r="N43" s="6">
        <v>-5.04</v>
      </c>
    </row>
    <row r="44" spans="1:14" x14ac:dyDescent="0.2">
      <c r="A44" s="1" t="s">
        <v>28</v>
      </c>
      <c r="B44" s="1" t="s">
        <v>46</v>
      </c>
      <c r="C44" s="1" t="s">
        <v>155</v>
      </c>
      <c r="D44" s="2">
        <v>279</v>
      </c>
      <c r="E44" s="2">
        <v>606</v>
      </c>
      <c r="F44" s="2">
        <f t="shared" si="0"/>
        <v>885</v>
      </c>
      <c r="G44" s="3">
        <f t="shared" si="1"/>
        <v>0.31525423728813562</v>
      </c>
      <c r="H44" s="3">
        <f t="shared" si="2"/>
        <v>0.68474576271186438</v>
      </c>
      <c r="I44" s="1" t="s">
        <v>523</v>
      </c>
      <c r="J44" s="2">
        <v>281</v>
      </c>
      <c r="K44" s="2">
        <v>592</v>
      </c>
      <c r="L44" s="2">
        <v>873</v>
      </c>
      <c r="M44" s="3">
        <v>0.3218785796105384</v>
      </c>
      <c r="N44" s="6">
        <v>-0.66</v>
      </c>
    </row>
    <row r="45" spans="1:14" x14ac:dyDescent="0.2">
      <c r="A45" s="1" t="s">
        <v>28</v>
      </c>
      <c r="B45" s="1" t="s">
        <v>46</v>
      </c>
      <c r="C45" s="1" t="s">
        <v>156</v>
      </c>
      <c r="D45" s="2">
        <v>476</v>
      </c>
      <c r="E45" s="2">
        <v>786</v>
      </c>
      <c r="F45" s="2">
        <f t="shared" si="0"/>
        <v>1262</v>
      </c>
      <c r="G45" s="3">
        <f t="shared" si="1"/>
        <v>0.37717908082408874</v>
      </c>
      <c r="H45" s="3">
        <f t="shared" si="2"/>
        <v>0.6228209191759112</v>
      </c>
      <c r="I45" s="1" t="s">
        <v>523</v>
      </c>
      <c r="J45" s="2">
        <v>467</v>
      </c>
      <c r="K45" s="2">
        <v>782</v>
      </c>
      <c r="L45" s="2">
        <v>1249</v>
      </c>
      <c r="M45" s="3">
        <v>0.37389911929543629</v>
      </c>
      <c r="N45" s="6">
        <v>0.33</v>
      </c>
    </row>
    <row r="46" spans="1:14" x14ac:dyDescent="0.2">
      <c r="A46" s="1" t="s">
        <v>28</v>
      </c>
      <c r="B46" s="1" t="s">
        <v>46</v>
      </c>
      <c r="C46" s="1" t="s">
        <v>157</v>
      </c>
      <c r="D46" s="2">
        <v>132</v>
      </c>
      <c r="E46" s="2">
        <v>281</v>
      </c>
      <c r="F46" s="2">
        <f t="shared" si="0"/>
        <v>413</v>
      </c>
      <c r="G46" s="3">
        <f t="shared" si="1"/>
        <v>0.31961259079903148</v>
      </c>
      <c r="H46" s="3">
        <f t="shared" si="2"/>
        <v>0.68038740920096852</v>
      </c>
      <c r="I46" s="1" t="s">
        <v>523</v>
      </c>
      <c r="J46" s="2">
        <v>136</v>
      </c>
      <c r="K46" s="2">
        <v>278</v>
      </c>
      <c r="L46" s="2">
        <v>414</v>
      </c>
      <c r="M46" s="3">
        <v>0.32850241545893721</v>
      </c>
      <c r="N46" s="6">
        <v>-0.89</v>
      </c>
    </row>
    <row r="47" spans="1:14" x14ac:dyDescent="0.2">
      <c r="A47" s="1" t="s">
        <v>28</v>
      </c>
      <c r="B47" s="1" t="s">
        <v>47</v>
      </c>
      <c r="C47" s="1" t="s">
        <v>47</v>
      </c>
      <c r="D47" s="2">
        <v>52</v>
      </c>
      <c r="E47" s="2">
        <v>163</v>
      </c>
      <c r="F47" s="2">
        <f t="shared" si="0"/>
        <v>215</v>
      </c>
      <c r="G47" s="3">
        <f t="shared" si="1"/>
        <v>0.24186046511627907</v>
      </c>
      <c r="H47" s="3">
        <f t="shared" si="2"/>
        <v>0.75813953488372088</v>
      </c>
      <c r="I47" s="1" t="s">
        <v>523</v>
      </c>
      <c r="J47" s="2">
        <v>68</v>
      </c>
      <c r="K47" s="2">
        <v>153</v>
      </c>
      <c r="L47" s="2">
        <v>221</v>
      </c>
      <c r="M47" s="3">
        <v>0.30769230769230771</v>
      </c>
      <c r="N47" s="6">
        <v>-6.58</v>
      </c>
    </row>
    <row r="48" spans="1:14" x14ac:dyDescent="0.2">
      <c r="A48" s="1" t="s">
        <v>28</v>
      </c>
      <c r="B48" s="1" t="s">
        <v>48</v>
      </c>
      <c r="C48" s="1" t="s">
        <v>158</v>
      </c>
      <c r="D48" s="2">
        <v>379</v>
      </c>
      <c r="E48" s="2">
        <v>713</v>
      </c>
      <c r="F48" s="2">
        <f t="shared" si="0"/>
        <v>1092</v>
      </c>
      <c r="G48" s="3">
        <f t="shared" si="1"/>
        <v>0.34706959706959706</v>
      </c>
      <c r="H48" s="3">
        <f t="shared" si="2"/>
        <v>0.65293040293040294</v>
      </c>
      <c r="I48" s="1" t="s">
        <v>523</v>
      </c>
      <c r="J48" s="2">
        <v>432</v>
      </c>
      <c r="K48" s="2">
        <v>705</v>
      </c>
      <c r="L48" s="2">
        <v>1137</v>
      </c>
      <c r="M48" s="3">
        <v>0.37994722955145122</v>
      </c>
      <c r="N48" s="6">
        <v>-3.29</v>
      </c>
    </row>
    <row r="49" spans="1:14" x14ac:dyDescent="0.2">
      <c r="A49" s="1" t="s">
        <v>28</v>
      </c>
      <c r="B49" s="1" t="s">
        <v>48</v>
      </c>
      <c r="C49" s="1" t="s">
        <v>159</v>
      </c>
      <c r="D49" s="2">
        <v>267</v>
      </c>
      <c r="E49" s="2">
        <v>521</v>
      </c>
      <c r="F49" s="2">
        <f t="shared" si="0"/>
        <v>788</v>
      </c>
      <c r="G49" s="3">
        <f t="shared" si="1"/>
        <v>0.33883248730964466</v>
      </c>
      <c r="H49" s="3">
        <f t="shared" si="2"/>
        <v>0.66116751269035534</v>
      </c>
      <c r="I49" s="1" t="s">
        <v>523</v>
      </c>
      <c r="J49" s="2">
        <v>296</v>
      </c>
      <c r="K49" s="2">
        <v>529</v>
      </c>
      <c r="L49" s="2">
        <v>825</v>
      </c>
      <c r="M49" s="3">
        <v>0.35878787878787882</v>
      </c>
      <c r="N49" s="6">
        <v>-2</v>
      </c>
    </row>
    <row r="50" spans="1:14" x14ac:dyDescent="0.2">
      <c r="A50" s="1" t="s">
        <v>28</v>
      </c>
      <c r="B50" s="1" t="s">
        <v>48</v>
      </c>
      <c r="C50" s="1" t="s">
        <v>160</v>
      </c>
      <c r="D50" s="2">
        <v>403</v>
      </c>
      <c r="E50" s="2">
        <v>745</v>
      </c>
      <c r="F50" s="2">
        <f t="shared" si="0"/>
        <v>1148</v>
      </c>
      <c r="G50" s="3">
        <f t="shared" si="1"/>
        <v>0.35104529616724739</v>
      </c>
      <c r="H50" s="3">
        <f t="shared" si="2"/>
        <v>0.64895470383275267</v>
      </c>
      <c r="I50" s="1" t="s">
        <v>523</v>
      </c>
      <c r="J50" s="2">
        <v>460</v>
      </c>
      <c r="K50" s="2">
        <v>791</v>
      </c>
      <c r="L50" s="2">
        <v>1251</v>
      </c>
      <c r="M50" s="3">
        <v>0.36770583533173462</v>
      </c>
      <c r="N50" s="6">
        <v>-1.67</v>
      </c>
    </row>
    <row r="51" spans="1:14" x14ac:dyDescent="0.2">
      <c r="A51" s="1" t="s">
        <v>28</v>
      </c>
      <c r="B51" s="1" t="s">
        <v>48</v>
      </c>
      <c r="C51" s="1" t="s">
        <v>161</v>
      </c>
      <c r="D51" s="2">
        <v>336</v>
      </c>
      <c r="E51" s="2">
        <v>873</v>
      </c>
      <c r="F51" s="2">
        <f t="shared" si="0"/>
        <v>1209</v>
      </c>
      <c r="G51" s="3">
        <f t="shared" si="1"/>
        <v>0.27791563275434245</v>
      </c>
      <c r="H51" s="3">
        <f t="shared" si="2"/>
        <v>0.72208436724565761</v>
      </c>
      <c r="I51" s="1" t="s">
        <v>523</v>
      </c>
      <c r="J51" s="2">
        <v>425</v>
      </c>
      <c r="K51" s="2">
        <v>920</v>
      </c>
      <c r="L51" s="2">
        <v>1345</v>
      </c>
      <c r="M51" s="3">
        <v>0.31598513011152418</v>
      </c>
      <c r="N51" s="6">
        <v>-3.81</v>
      </c>
    </row>
    <row r="52" spans="1:14" x14ac:dyDescent="0.2">
      <c r="A52" s="1" t="s">
        <v>28</v>
      </c>
      <c r="B52" s="1" t="s">
        <v>48</v>
      </c>
      <c r="C52" s="1" t="s">
        <v>162</v>
      </c>
      <c r="D52" s="2">
        <v>311</v>
      </c>
      <c r="E52" s="2">
        <v>685</v>
      </c>
      <c r="F52" s="2">
        <f t="shared" si="0"/>
        <v>996</v>
      </c>
      <c r="G52" s="3">
        <f t="shared" si="1"/>
        <v>0.31224899598393574</v>
      </c>
      <c r="H52" s="3">
        <f t="shared" si="2"/>
        <v>0.68775100401606426</v>
      </c>
      <c r="I52" s="1" t="s">
        <v>523</v>
      </c>
      <c r="J52" s="2">
        <v>397</v>
      </c>
      <c r="K52" s="2">
        <v>692</v>
      </c>
      <c r="L52" s="2">
        <v>1089</v>
      </c>
      <c r="M52" s="3">
        <v>0.36455463728191001</v>
      </c>
      <c r="N52" s="6">
        <v>-5.23</v>
      </c>
    </row>
    <row r="53" spans="1:14" x14ac:dyDescent="0.2">
      <c r="A53" s="1" t="s">
        <v>28</v>
      </c>
      <c r="B53" s="1" t="s">
        <v>49</v>
      </c>
      <c r="C53" s="1" t="s">
        <v>163</v>
      </c>
      <c r="D53" s="2">
        <v>163</v>
      </c>
      <c r="E53" s="2">
        <v>201</v>
      </c>
      <c r="F53" s="2">
        <f t="shared" si="0"/>
        <v>364</v>
      </c>
      <c r="G53" s="3">
        <f t="shared" si="1"/>
        <v>0.44780219780219782</v>
      </c>
      <c r="H53" s="3">
        <f t="shared" si="2"/>
        <v>0.55219780219780223</v>
      </c>
      <c r="I53" s="1" t="s">
        <v>523</v>
      </c>
      <c r="J53" s="2">
        <v>175</v>
      </c>
      <c r="K53" s="2">
        <v>212</v>
      </c>
      <c r="L53" s="2">
        <v>387</v>
      </c>
      <c r="M53" s="3">
        <v>0.45219638242894061</v>
      </c>
      <c r="N53" s="6">
        <v>-0.44</v>
      </c>
    </row>
    <row r="54" spans="1:14" x14ac:dyDescent="0.2">
      <c r="A54" s="1" t="s">
        <v>28</v>
      </c>
      <c r="B54" s="1" t="s">
        <v>49</v>
      </c>
      <c r="C54" s="1" t="s">
        <v>164</v>
      </c>
      <c r="D54" s="2">
        <v>190</v>
      </c>
      <c r="E54" s="2">
        <v>202</v>
      </c>
      <c r="F54" s="2">
        <f t="shared" si="0"/>
        <v>392</v>
      </c>
      <c r="G54" s="3">
        <f t="shared" si="1"/>
        <v>0.48469387755102039</v>
      </c>
      <c r="H54" s="3">
        <f t="shared" si="2"/>
        <v>0.51530612244897955</v>
      </c>
      <c r="I54" s="1" t="s">
        <v>523</v>
      </c>
      <c r="J54" s="2">
        <v>184</v>
      </c>
      <c r="K54" s="2">
        <v>208</v>
      </c>
      <c r="L54" s="2">
        <v>392</v>
      </c>
      <c r="M54" s="3">
        <v>0.46938775510204078</v>
      </c>
      <c r="N54" s="6">
        <v>1.53</v>
      </c>
    </row>
    <row r="55" spans="1:14" x14ac:dyDescent="0.2">
      <c r="A55" s="1" t="s">
        <v>28</v>
      </c>
      <c r="B55" s="1" t="s">
        <v>49</v>
      </c>
      <c r="C55" s="1" t="s">
        <v>165</v>
      </c>
      <c r="D55" s="2">
        <v>107</v>
      </c>
      <c r="E55" s="2">
        <v>186</v>
      </c>
      <c r="F55" s="2">
        <f t="shared" si="0"/>
        <v>293</v>
      </c>
      <c r="G55" s="3">
        <f t="shared" si="1"/>
        <v>0.3651877133105802</v>
      </c>
      <c r="H55" s="3">
        <f t="shared" si="2"/>
        <v>0.6348122866894198</v>
      </c>
      <c r="I55" s="1" t="s">
        <v>523</v>
      </c>
      <c r="J55" s="2">
        <v>102</v>
      </c>
      <c r="K55" s="2">
        <v>192</v>
      </c>
      <c r="L55" s="2">
        <v>294</v>
      </c>
      <c r="M55" s="3">
        <v>0.34693877551020408</v>
      </c>
      <c r="N55" s="6">
        <v>1.82</v>
      </c>
    </row>
    <row r="56" spans="1:14" x14ac:dyDescent="0.2">
      <c r="A56" s="1" t="s">
        <v>28</v>
      </c>
      <c r="B56" s="1" t="s">
        <v>49</v>
      </c>
      <c r="C56" s="1" t="s">
        <v>166</v>
      </c>
      <c r="D56" s="2">
        <v>188</v>
      </c>
      <c r="E56" s="2">
        <v>301</v>
      </c>
      <c r="F56" s="2">
        <f t="shared" si="0"/>
        <v>489</v>
      </c>
      <c r="G56" s="3">
        <f t="shared" si="1"/>
        <v>0.38445807770961143</v>
      </c>
      <c r="H56" s="3">
        <f t="shared" si="2"/>
        <v>0.61554192229038851</v>
      </c>
      <c r="I56" s="1" t="s">
        <v>523</v>
      </c>
      <c r="J56" s="2">
        <v>194</v>
      </c>
      <c r="K56" s="2">
        <v>296</v>
      </c>
      <c r="L56" s="2">
        <v>490</v>
      </c>
      <c r="M56" s="3">
        <v>0.39591836734693869</v>
      </c>
      <c r="N56" s="6">
        <v>-1.1499999999999999</v>
      </c>
    </row>
    <row r="57" spans="1:14" x14ac:dyDescent="0.2">
      <c r="A57" s="1" t="s">
        <v>28</v>
      </c>
      <c r="B57" s="1" t="s">
        <v>50</v>
      </c>
      <c r="C57" s="1" t="s">
        <v>167</v>
      </c>
      <c r="D57" s="2">
        <v>235</v>
      </c>
      <c r="E57" s="2">
        <v>664</v>
      </c>
      <c r="F57" s="2">
        <f t="shared" si="0"/>
        <v>899</v>
      </c>
      <c r="G57" s="3">
        <f t="shared" si="1"/>
        <v>0.26140155728587317</v>
      </c>
      <c r="H57" s="3">
        <f t="shared" si="2"/>
        <v>0.73859844271412678</v>
      </c>
      <c r="I57" s="1" t="s">
        <v>523</v>
      </c>
      <c r="J57" s="2">
        <v>298</v>
      </c>
      <c r="K57" s="2">
        <v>649</v>
      </c>
      <c r="L57" s="2">
        <v>947</v>
      </c>
      <c r="M57" s="3">
        <v>0.3146779303062302</v>
      </c>
      <c r="N57" s="6">
        <v>-5.33</v>
      </c>
    </row>
    <row r="58" spans="1:14" x14ac:dyDescent="0.2">
      <c r="A58" s="1" t="s">
        <v>28</v>
      </c>
      <c r="B58" s="1" t="s">
        <v>50</v>
      </c>
      <c r="C58" s="1" t="s">
        <v>168</v>
      </c>
      <c r="D58" s="2">
        <v>229</v>
      </c>
      <c r="E58" s="2">
        <v>695</v>
      </c>
      <c r="F58" s="2">
        <f t="shared" si="0"/>
        <v>924</v>
      </c>
      <c r="G58" s="3">
        <f t="shared" si="1"/>
        <v>0.24783549783549783</v>
      </c>
      <c r="H58" s="3">
        <f t="shared" si="2"/>
        <v>0.75216450216450215</v>
      </c>
      <c r="I58" s="1" t="s">
        <v>523</v>
      </c>
      <c r="J58" s="2">
        <v>253</v>
      </c>
      <c r="K58" s="2">
        <v>710</v>
      </c>
      <c r="L58" s="2">
        <v>963</v>
      </c>
      <c r="M58" s="3">
        <v>0.26272066458982352</v>
      </c>
      <c r="N58" s="6">
        <v>-1.49</v>
      </c>
    </row>
    <row r="59" spans="1:14" x14ac:dyDescent="0.2">
      <c r="A59" s="1" t="s">
        <v>28</v>
      </c>
      <c r="B59" s="1" t="s">
        <v>50</v>
      </c>
      <c r="C59" s="1" t="s">
        <v>169</v>
      </c>
      <c r="D59" s="2">
        <v>216</v>
      </c>
      <c r="E59" s="2">
        <v>605</v>
      </c>
      <c r="F59" s="2">
        <f t="shared" si="0"/>
        <v>821</v>
      </c>
      <c r="G59" s="3">
        <f t="shared" si="1"/>
        <v>0.26309378806333739</v>
      </c>
      <c r="H59" s="3">
        <f t="shared" si="2"/>
        <v>0.73690621193666261</v>
      </c>
      <c r="I59" s="1" t="s">
        <v>523</v>
      </c>
      <c r="J59" s="2">
        <v>238</v>
      </c>
      <c r="K59" s="2">
        <v>586</v>
      </c>
      <c r="L59" s="2">
        <v>824</v>
      </c>
      <c r="M59" s="3">
        <v>0.28883495145631072</v>
      </c>
      <c r="N59" s="6">
        <v>-2.57</v>
      </c>
    </row>
    <row r="60" spans="1:14" x14ac:dyDescent="0.2">
      <c r="A60" s="1" t="s">
        <v>28</v>
      </c>
      <c r="B60" s="1" t="s">
        <v>51</v>
      </c>
      <c r="C60" s="1" t="s">
        <v>170</v>
      </c>
      <c r="D60" s="2">
        <v>193</v>
      </c>
      <c r="E60" s="2">
        <v>596</v>
      </c>
      <c r="F60" s="2">
        <f t="shared" si="0"/>
        <v>789</v>
      </c>
      <c r="G60" s="3">
        <f t="shared" si="1"/>
        <v>0.24461343472750316</v>
      </c>
      <c r="H60" s="3">
        <f t="shared" si="2"/>
        <v>0.75538656527249681</v>
      </c>
      <c r="I60" s="1" t="s">
        <v>523</v>
      </c>
      <c r="J60" s="2">
        <v>238</v>
      </c>
      <c r="K60" s="2">
        <v>541</v>
      </c>
      <c r="L60" s="2">
        <v>779</v>
      </c>
      <c r="M60" s="3">
        <v>0.30551989730423618</v>
      </c>
      <c r="N60" s="6">
        <v>-6.09</v>
      </c>
    </row>
    <row r="61" spans="1:14" x14ac:dyDescent="0.2">
      <c r="A61" s="1" t="s">
        <v>28</v>
      </c>
      <c r="B61" s="1" t="s">
        <v>51</v>
      </c>
      <c r="C61" s="1" t="s">
        <v>171</v>
      </c>
      <c r="D61" s="2">
        <v>91</v>
      </c>
      <c r="E61" s="2">
        <v>309</v>
      </c>
      <c r="F61" s="2">
        <f t="shared" si="0"/>
        <v>400</v>
      </c>
      <c r="G61" s="3">
        <f t="shared" si="1"/>
        <v>0.22750000000000001</v>
      </c>
      <c r="H61" s="3">
        <f t="shared" si="2"/>
        <v>0.77249999999999996</v>
      </c>
      <c r="I61" s="1" t="s">
        <v>523</v>
      </c>
      <c r="J61" s="2">
        <v>103</v>
      </c>
      <c r="K61" s="2">
        <v>292</v>
      </c>
      <c r="L61" s="2">
        <v>395</v>
      </c>
      <c r="M61" s="3">
        <v>0.26075949367088608</v>
      </c>
      <c r="N61" s="6">
        <v>-3.33</v>
      </c>
    </row>
    <row r="62" spans="1:14" x14ac:dyDescent="0.2">
      <c r="A62" s="1" t="s">
        <v>28</v>
      </c>
      <c r="B62" s="1" t="s">
        <v>52</v>
      </c>
      <c r="C62" s="1" t="s">
        <v>52</v>
      </c>
      <c r="D62" s="2">
        <v>61</v>
      </c>
      <c r="E62" s="2">
        <v>82</v>
      </c>
      <c r="F62" s="2">
        <f t="shared" si="0"/>
        <v>143</v>
      </c>
      <c r="G62" s="3">
        <f t="shared" si="1"/>
        <v>0.42657342657342656</v>
      </c>
      <c r="H62" s="3">
        <f t="shared" si="2"/>
        <v>0.57342657342657344</v>
      </c>
      <c r="I62" s="1" t="s">
        <v>523</v>
      </c>
      <c r="J62" s="2">
        <v>53</v>
      </c>
      <c r="K62" s="2">
        <v>99</v>
      </c>
      <c r="L62" s="2">
        <v>152</v>
      </c>
      <c r="M62" s="3">
        <v>0.34868421052631582</v>
      </c>
      <c r="N62" s="6">
        <v>7.79</v>
      </c>
    </row>
    <row r="63" spans="1:14" x14ac:dyDescent="0.2">
      <c r="A63" s="1" t="s">
        <v>53</v>
      </c>
      <c r="B63" s="1" t="s">
        <v>54</v>
      </c>
      <c r="C63" s="1" t="s">
        <v>54</v>
      </c>
      <c r="D63" s="2">
        <v>640</v>
      </c>
      <c r="E63" s="2">
        <v>774</v>
      </c>
      <c r="F63" s="2">
        <f t="shared" si="0"/>
        <v>1414</v>
      </c>
      <c r="G63" s="3">
        <f t="shared" si="1"/>
        <v>0.45261669024045259</v>
      </c>
      <c r="H63" s="3">
        <f t="shared" si="2"/>
        <v>0.54738330975954741</v>
      </c>
      <c r="I63" s="1" t="s">
        <v>523</v>
      </c>
      <c r="J63" s="2">
        <v>601</v>
      </c>
      <c r="K63" s="2">
        <v>766</v>
      </c>
      <c r="L63" s="2">
        <v>1367</v>
      </c>
      <c r="M63" s="3">
        <v>0.43964886613021209</v>
      </c>
      <c r="N63" s="6">
        <v>1.3</v>
      </c>
    </row>
    <row r="64" spans="1:14" x14ac:dyDescent="0.2">
      <c r="A64" s="1" t="s">
        <v>53</v>
      </c>
      <c r="B64" s="1" t="s">
        <v>55</v>
      </c>
      <c r="C64" s="1" t="s">
        <v>172</v>
      </c>
      <c r="D64" s="2">
        <v>532</v>
      </c>
      <c r="E64" s="2">
        <v>181</v>
      </c>
      <c r="F64" s="2">
        <f t="shared" si="0"/>
        <v>713</v>
      </c>
      <c r="G64" s="3">
        <f t="shared" si="1"/>
        <v>0.74614305750350629</v>
      </c>
      <c r="H64" s="3">
        <f t="shared" si="2"/>
        <v>0.25385694249649371</v>
      </c>
      <c r="I64" s="1" t="s">
        <v>523</v>
      </c>
      <c r="J64" s="2">
        <v>437</v>
      </c>
      <c r="K64" s="2">
        <v>173</v>
      </c>
      <c r="L64" s="2">
        <v>610</v>
      </c>
      <c r="M64" s="3">
        <v>0.71639344262295079</v>
      </c>
      <c r="N64" s="6">
        <v>2.97</v>
      </c>
    </row>
    <row r="65" spans="1:14" x14ac:dyDescent="0.2">
      <c r="A65" s="1" t="s">
        <v>53</v>
      </c>
      <c r="B65" s="1" t="s">
        <v>55</v>
      </c>
      <c r="C65" s="1" t="s">
        <v>173</v>
      </c>
      <c r="D65" s="2">
        <v>361</v>
      </c>
      <c r="E65" s="2">
        <v>168</v>
      </c>
      <c r="F65" s="2">
        <f t="shared" si="0"/>
        <v>529</v>
      </c>
      <c r="G65" s="3">
        <f t="shared" si="1"/>
        <v>0.68241965973534968</v>
      </c>
      <c r="H65" s="3">
        <f t="shared" si="2"/>
        <v>0.31758034026465026</v>
      </c>
      <c r="I65" s="1" t="s">
        <v>523</v>
      </c>
      <c r="J65" s="2">
        <v>328</v>
      </c>
      <c r="K65" s="2">
        <v>173</v>
      </c>
      <c r="L65" s="2">
        <v>501</v>
      </c>
      <c r="M65" s="3">
        <v>0.65469061876247503</v>
      </c>
      <c r="N65" s="6">
        <v>2.77</v>
      </c>
    </row>
    <row r="66" spans="1:14" x14ac:dyDescent="0.2">
      <c r="A66" s="1" t="s">
        <v>53</v>
      </c>
      <c r="B66" s="1" t="s">
        <v>55</v>
      </c>
      <c r="C66" s="1" t="s">
        <v>174</v>
      </c>
      <c r="D66" s="2">
        <v>410</v>
      </c>
      <c r="E66" s="2">
        <v>138</v>
      </c>
      <c r="F66" s="2">
        <f t="shared" si="0"/>
        <v>548</v>
      </c>
      <c r="G66" s="3">
        <f t="shared" si="1"/>
        <v>0.74817518248175185</v>
      </c>
      <c r="H66" s="3">
        <f t="shared" si="2"/>
        <v>0.2518248175182482</v>
      </c>
      <c r="I66" s="1" t="s">
        <v>523</v>
      </c>
      <c r="J66" s="2">
        <v>347</v>
      </c>
      <c r="K66" s="2">
        <v>147</v>
      </c>
      <c r="L66" s="2">
        <v>494</v>
      </c>
      <c r="M66" s="3">
        <v>0.70242914979757087</v>
      </c>
      <c r="N66" s="6">
        <v>4.57</v>
      </c>
    </row>
    <row r="67" spans="1:14" x14ac:dyDescent="0.2">
      <c r="A67" s="1" t="s">
        <v>53</v>
      </c>
      <c r="B67" s="1" t="s">
        <v>55</v>
      </c>
      <c r="C67" s="1" t="s">
        <v>175</v>
      </c>
      <c r="D67" s="2">
        <v>326</v>
      </c>
      <c r="E67" s="2">
        <v>129</v>
      </c>
      <c r="F67" s="2">
        <f t="shared" si="0"/>
        <v>455</v>
      </c>
      <c r="G67" s="3">
        <f t="shared" si="1"/>
        <v>0.71648351648351649</v>
      </c>
      <c r="H67" s="3">
        <f t="shared" si="2"/>
        <v>0.28351648351648351</v>
      </c>
      <c r="I67" s="1" t="s">
        <v>523</v>
      </c>
      <c r="J67" s="2">
        <v>314</v>
      </c>
      <c r="K67" s="2">
        <v>149</v>
      </c>
      <c r="L67" s="2">
        <v>463</v>
      </c>
      <c r="M67" s="3">
        <v>0.67818574514038876</v>
      </c>
      <c r="N67" s="6">
        <v>3.83</v>
      </c>
    </row>
    <row r="68" spans="1:14" x14ac:dyDescent="0.2">
      <c r="A68" s="1" t="s">
        <v>53</v>
      </c>
      <c r="B68" s="1" t="s">
        <v>55</v>
      </c>
      <c r="C68" s="1" t="s">
        <v>176</v>
      </c>
      <c r="D68" s="2">
        <v>407</v>
      </c>
      <c r="E68" s="2">
        <v>145</v>
      </c>
      <c r="F68" s="2">
        <f t="shared" si="0"/>
        <v>552</v>
      </c>
      <c r="G68" s="3">
        <f t="shared" si="1"/>
        <v>0.7373188405797102</v>
      </c>
      <c r="H68" s="3">
        <f t="shared" si="2"/>
        <v>0.26268115942028986</v>
      </c>
      <c r="I68" s="1" t="s">
        <v>523</v>
      </c>
      <c r="J68" s="2">
        <v>364</v>
      </c>
      <c r="K68" s="2">
        <v>137</v>
      </c>
      <c r="L68" s="2">
        <v>501</v>
      </c>
      <c r="M68" s="3">
        <v>0.72654690618762474</v>
      </c>
      <c r="N68" s="6">
        <v>1.08</v>
      </c>
    </row>
    <row r="69" spans="1:14" x14ac:dyDescent="0.2">
      <c r="A69" s="1" t="s">
        <v>53</v>
      </c>
      <c r="B69" s="1" t="s">
        <v>55</v>
      </c>
      <c r="C69" s="1" t="s">
        <v>177</v>
      </c>
      <c r="D69" s="2">
        <v>407</v>
      </c>
      <c r="E69" s="2">
        <v>194</v>
      </c>
      <c r="F69" s="2">
        <f t="shared" si="0"/>
        <v>601</v>
      </c>
      <c r="G69" s="3">
        <f t="shared" si="1"/>
        <v>0.67720465890183024</v>
      </c>
      <c r="H69" s="3">
        <f t="shared" si="2"/>
        <v>0.32279534109816971</v>
      </c>
      <c r="I69" s="1" t="s">
        <v>523</v>
      </c>
      <c r="J69" s="2">
        <v>399</v>
      </c>
      <c r="K69" s="2">
        <v>171</v>
      </c>
      <c r="L69" s="2">
        <v>570</v>
      </c>
      <c r="M69" s="3">
        <v>0.7</v>
      </c>
      <c r="N69" s="6">
        <v>-2.2799999999999998</v>
      </c>
    </row>
    <row r="70" spans="1:14" x14ac:dyDescent="0.2">
      <c r="A70" s="1" t="s">
        <v>53</v>
      </c>
      <c r="B70" s="1" t="s">
        <v>55</v>
      </c>
      <c r="C70" s="1" t="s">
        <v>178</v>
      </c>
      <c r="D70" s="2">
        <v>948</v>
      </c>
      <c r="E70" s="2">
        <v>317</v>
      </c>
      <c r="F70" s="2">
        <f t="shared" si="0"/>
        <v>1265</v>
      </c>
      <c r="G70" s="3">
        <f t="shared" si="1"/>
        <v>0.74940711462450593</v>
      </c>
      <c r="H70" s="3">
        <f t="shared" si="2"/>
        <v>0.25059288537549407</v>
      </c>
      <c r="I70" s="1" t="s">
        <v>523</v>
      </c>
      <c r="J70" s="2">
        <v>1034</v>
      </c>
      <c r="K70" s="2">
        <v>285</v>
      </c>
      <c r="L70" s="2">
        <v>1319</v>
      </c>
      <c r="M70" s="3">
        <v>0.78392721758908268</v>
      </c>
      <c r="N70" s="6">
        <v>-3.45</v>
      </c>
    </row>
    <row r="71" spans="1:14" x14ac:dyDescent="0.2">
      <c r="A71" s="1" t="s">
        <v>53</v>
      </c>
      <c r="B71" s="1" t="s">
        <v>55</v>
      </c>
      <c r="C71" s="1" t="s">
        <v>179</v>
      </c>
      <c r="D71" s="2">
        <v>367</v>
      </c>
      <c r="E71" s="2">
        <v>198</v>
      </c>
      <c r="F71" s="2">
        <f t="shared" si="0"/>
        <v>565</v>
      </c>
      <c r="G71" s="3">
        <f t="shared" si="1"/>
        <v>0.64955752212389384</v>
      </c>
      <c r="H71" s="3">
        <f t="shared" si="2"/>
        <v>0.35044247787610622</v>
      </c>
      <c r="I71" s="1" t="s">
        <v>523</v>
      </c>
      <c r="J71" s="2">
        <v>377</v>
      </c>
      <c r="K71" s="2">
        <v>190</v>
      </c>
      <c r="L71" s="2">
        <v>567</v>
      </c>
      <c r="M71" s="3">
        <v>0.66490299823633159</v>
      </c>
      <c r="N71" s="6">
        <v>-1.53</v>
      </c>
    </row>
    <row r="72" spans="1:14" x14ac:dyDescent="0.2">
      <c r="A72" s="1" t="s">
        <v>53</v>
      </c>
      <c r="B72" s="1" t="s">
        <v>55</v>
      </c>
      <c r="C72" s="1" t="s">
        <v>180</v>
      </c>
      <c r="D72" s="2">
        <v>561</v>
      </c>
      <c r="E72" s="2">
        <v>419</v>
      </c>
      <c r="F72" s="2">
        <f t="shared" si="0"/>
        <v>980</v>
      </c>
      <c r="G72" s="3">
        <f t="shared" si="1"/>
        <v>0.57244897959183672</v>
      </c>
      <c r="H72" s="3">
        <f t="shared" si="2"/>
        <v>0.42755102040816328</v>
      </c>
      <c r="I72" s="1" t="s">
        <v>523</v>
      </c>
      <c r="J72" s="2">
        <v>619</v>
      </c>
      <c r="K72" s="2">
        <v>400</v>
      </c>
      <c r="L72" s="2">
        <v>1019</v>
      </c>
      <c r="M72" s="3">
        <v>0.60745829244357208</v>
      </c>
      <c r="N72" s="6">
        <v>-3.5</v>
      </c>
    </row>
    <row r="73" spans="1:14" x14ac:dyDescent="0.2">
      <c r="A73" s="1" t="s">
        <v>53</v>
      </c>
      <c r="B73" s="1" t="s">
        <v>55</v>
      </c>
      <c r="C73" s="1" t="s">
        <v>181</v>
      </c>
      <c r="D73" s="2">
        <v>398</v>
      </c>
      <c r="E73" s="2">
        <v>292</v>
      </c>
      <c r="F73" s="2">
        <f t="shared" si="0"/>
        <v>690</v>
      </c>
      <c r="G73" s="3">
        <f t="shared" si="1"/>
        <v>0.57681159420289851</v>
      </c>
      <c r="H73" s="3">
        <f t="shared" si="2"/>
        <v>0.42318840579710143</v>
      </c>
      <c r="I73" s="1" t="s">
        <v>523</v>
      </c>
      <c r="J73" s="2">
        <v>438</v>
      </c>
      <c r="K73" s="2">
        <v>259</v>
      </c>
      <c r="L73" s="2">
        <v>697</v>
      </c>
      <c r="M73" s="3">
        <v>0.6284074605451937</v>
      </c>
      <c r="N73" s="6">
        <v>-5.16</v>
      </c>
    </row>
    <row r="74" spans="1:14" x14ac:dyDescent="0.2">
      <c r="A74" s="1" t="s">
        <v>53</v>
      </c>
      <c r="B74" s="1" t="s">
        <v>55</v>
      </c>
      <c r="C74" s="1" t="s">
        <v>182</v>
      </c>
      <c r="D74" s="2">
        <v>476</v>
      </c>
      <c r="E74" s="2">
        <v>201</v>
      </c>
      <c r="F74" s="2">
        <f t="shared" si="0"/>
        <v>677</v>
      </c>
      <c r="G74" s="3">
        <f t="shared" si="1"/>
        <v>0.70310192023633677</v>
      </c>
      <c r="H74" s="3">
        <f t="shared" si="2"/>
        <v>0.29689807976366323</v>
      </c>
      <c r="I74" s="1" t="s">
        <v>523</v>
      </c>
      <c r="J74" s="2">
        <v>428</v>
      </c>
      <c r="K74" s="2">
        <v>195</v>
      </c>
      <c r="L74" s="2">
        <v>623</v>
      </c>
      <c r="M74" s="3">
        <v>0.6869983948635634</v>
      </c>
      <c r="N74" s="6">
        <v>1.61</v>
      </c>
    </row>
    <row r="75" spans="1:14" x14ac:dyDescent="0.2">
      <c r="A75" s="1" t="s">
        <v>53</v>
      </c>
      <c r="B75" s="1" t="s">
        <v>55</v>
      </c>
      <c r="C75" s="1" t="s">
        <v>183</v>
      </c>
      <c r="D75" s="2">
        <v>568</v>
      </c>
      <c r="E75" s="2">
        <v>341</v>
      </c>
      <c r="F75" s="2">
        <f t="shared" si="0"/>
        <v>909</v>
      </c>
      <c r="G75" s="3">
        <f t="shared" si="1"/>
        <v>0.62486248624862484</v>
      </c>
      <c r="H75" s="3">
        <f t="shared" si="2"/>
        <v>0.37513751375137516</v>
      </c>
      <c r="I75" s="1" t="s">
        <v>523</v>
      </c>
      <c r="J75" s="2">
        <v>563</v>
      </c>
      <c r="K75" s="2">
        <v>322</v>
      </c>
      <c r="L75" s="2">
        <v>885</v>
      </c>
      <c r="M75" s="3">
        <v>0.63615819209039548</v>
      </c>
      <c r="N75" s="6">
        <v>-1.1299999999999999</v>
      </c>
    </row>
    <row r="76" spans="1:14" x14ac:dyDescent="0.2">
      <c r="A76" s="1" t="s">
        <v>53</v>
      </c>
      <c r="B76" s="1" t="s">
        <v>55</v>
      </c>
      <c r="C76" s="1" t="s">
        <v>184</v>
      </c>
      <c r="D76" s="2">
        <v>420</v>
      </c>
      <c r="E76" s="2">
        <v>305</v>
      </c>
      <c r="F76" s="2">
        <f t="shared" ref="F76:F139" si="3">IF(COUNTA(D76:E76)=0,"",SUM(D76:E76))</f>
        <v>725</v>
      </c>
      <c r="G76" s="3">
        <f t="shared" ref="G76:G139" si="4">IF(OR(F76="",F76=0),"",D76/F76)</f>
        <v>0.57931034482758625</v>
      </c>
      <c r="H76" s="3">
        <f t="shared" ref="H76:H139" si="5">IF(OR(F76="",F76=0),"",E76/F76)</f>
        <v>0.4206896551724138</v>
      </c>
      <c r="I76" s="1" t="s">
        <v>523</v>
      </c>
      <c r="J76" s="2">
        <v>472</v>
      </c>
      <c r="K76" s="2">
        <v>273</v>
      </c>
      <c r="L76" s="2">
        <v>745</v>
      </c>
      <c r="M76" s="3">
        <v>0.63355704697986581</v>
      </c>
      <c r="N76" s="6">
        <v>-5.42</v>
      </c>
    </row>
    <row r="77" spans="1:14" x14ac:dyDescent="0.2">
      <c r="A77" s="1" t="s">
        <v>53</v>
      </c>
      <c r="B77" s="1" t="s">
        <v>55</v>
      </c>
      <c r="C77" s="1" t="s">
        <v>185</v>
      </c>
      <c r="D77" s="2">
        <v>399</v>
      </c>
      <c r="E77" s="2">
        <v>331</v>
      </c>
      <c r="F77" s="2">
        <f t="shared" si="3"/>
        <v>730</v>
      </c>
      <c r="G77" s="3">
        <f t="shared" si="4"/>
        <v>0.54657534246575346</v>
      </c>
      <c r="H77" s="3">
        <f t="shared" si="5"/>
        <v>0.4534246575342466</v>
      </c>
      <c r="I77" s="1" t="s">
        <v>523</v>
      </c>
      <c r="J77" s="2">
        <v>426</v>
      </c>
      <c r="K77" s="2">
        <v>331</v>
      </c>
      <c r="L77" s="2">
        <v>757</v>
      </c>
      <c r="M77" s="3">
        <v>0.56274768824306476</v>
      </c>
      <c r="N77" s="6">
        <v>-1.62</v>
      </c>
    </row>
    <row r="78" spans="1:14" x14ac:dyDescent="0.2">
      <c r="A78" s="1" t="s">
        <v>53</v>
      </c>
      <c r="B78" s="1" t="s">
        <v>55</v>
      </c>
      <c r="C78" s="1" t="s">
        <v>186</v>
      </c>
      <c r="D78" s="2">
        <v>441</v>
      </c>
      <c r="E78" s="2">
        <v>312</v>
      </c>
      <c r="F78" s="2">
        <f t="shared" si="3"/>
        <v>753</v>
      </c>
      <c r="G78" s="3">
        <f t="shared" si="4"/>
        <v>0.58565737051792832</v>
      </c>
      <c r="H78" s="3">
        <f t="shared" si="5"/>
        <v>0.41434262948207173</v>
      </c>
      <c r="I78" s="1" t="s">
        <v>523</v>
      </c>
      <c r="J78" s="2">
        <v>418</v>
      </c>
      <c r="K78" s="2">
        <v>278</v>
      </c>
      <c r="L78" s="2">
        <v>696</v>
      </c>
      <c r="M78" s="3">
        <v>0.60057471264367812</v>
      </c>
      <c r="N78" s="6">
        <v>-1.49</v>
      </c>
    </row>
    <row r="79" spans="1:14" x14ac:dyDescent="0.2">
      <c r="A79" s="1" t="s">
        <v>53</v>
      </c>
      <c r="B79" s="1" t="s">
        <v>55</v>
      </c>
      <c r="C79" s="1" t="s">
        <v>187</v>
      </c>
      <c r="D79" s="2">
        <v>480</v>
      </c>
      <c r="E79" s="2">
        <v>169</v>
      </c>
      <c r="F79" s="2">
        <f t="shared" si="3"/>
        <v>649</v>
      </c>
      <c r="G79" s="3">
        <f t="shared" si="4"/>
        <v>0.73959938366718025</v>
      </c>
      <c r="H79" s="3">
        <f t="shared" si="5"/>
        <v>0.26040061633281975</v>
      </c>
      <c r="I79" s="1" t="s">
        <v>523</v>
      </c>
      <c r="J79" s="2">
        <v>424</v>
      </c>
      <c r="K79" s="2">
        <v>188</v>
      </c>
      <c r="L79" s="2">
        <v>612</v>
      </c>
      <c r="M79" s="3">
        <v>0.69281045751633985</v>
      </c>
      <c r="N79" s="6">
        <v>4.68</v>
      </c>
    </row>
    <row r="80" spans="1:14" x14ac:dyDescent="0.2">
      <c r="A80" s="1" t="s">
        <v>53</v>
      </c>
      <c r="B80" s="1" t="s">
        <v>55</v>
      </c>
      <c r="C80" s="1" t="s">
        <v>188</v>
      </c>
      <c r="D80" s="2">
        <v>361</v>
      </c>
      <c r="E80" s="2">
        <v>176</v>
      </c>
      <c r="F80" s="2">
        <f t="shared" si="3"/>
        <v>537</v>
      </c>
      <c r="G80" s="3">
        <f t="shared" si="4"/>
        <v>0.67225325884543763</v>
      </c>
      <c r="H80" s="3">
        <f t="shared" si="5"/>
        <v>0.32774674115456237</v>
      </c>
      <c r="I80" s="1" t="s">
        <v>523</v>
      </c>
      <c r="J80" s="2">
        <v>330</v>
      </c>
      <c r="K80" s="2">
        <v>195</v>
      </c>
      <c r="L80" s="2">
        <v>525</v>
      </c>
      <c r="M80" s="3">
        <v>0.62857142857142856</v>
      </c>
      <c r="N80" s="6">
        <v>4.37</v>
      </c>
    </row>
    <row r="81" spans="1:14" x14ac:dyDescent="0.2">
      <c r="A81" s="1" t="s">
        <v>53</v>
      </c>
      <c r="B81" s="1" t="s">
        <v>55</v>
      </c>
      <c r="C81" s="1" t="s">
        <v>189</v>
      </c>
      <c r="D81" s="2">
        <v>431</v>
      </c>
      <c r="E81" s="2">
        <v>253</v>
      </c>
      <c r="F81" s="2">
        <f t="shared" si="3"/>
        <v>684</v>
      </c>
      <c r="G81" s="3">
        <f t="shared" si="4"/>
        <v>0.63011695906432752</v>
      </c>
      <c r="H81" s="3">
        <f t="shared" si="5"/>
        <v>0.36988304093567254</v>
      </c>
      <c r="I81" s="1" t="s">
        <v>523</v>
      </c>
      <c r="J81" s="2">
        <v>441</v>
      </c>
      <c r="K81" s="2">
        <v>232</v>
      </c>
      <c r="L81" s="2">
        <v>673</v>
      </c>
      <c r="M81" s="3">
        <v>0.65527488855869243</v>
      </c>
      <c r="N81" s="6">
        <v>-2.52</v>
      </c>
    </row>
    <row r="82" spans="1:14" x14ac:dyDescent="0.2">
      <c r="A82" s="1" t="s">
        <v>53</v>
      </c>
      <c r="B82" s="1" t="s">
        <v>55</v>
      </c>
      <c r="C82" s="1" t="s">
        <v>190</v>
      </c>
      <c r="D82" s="2">
        <v>341</v>
      </c>
      <c r="E82" s="2">
        <v>163</v>
      </c>
      <c r="F82" s="2">
        <f t="shared" si="3"/>
        <v>504</v>
      </c>
      <c r="G82" s="3">
        <f t="shared" si="4"/>
        <v>0.67658730158730163</v>
      </c>
      <c r="H82" s="3">
        <f t="shared" si="5"/>
        <v>0.32341269841269843</v>
      </c>
      <c r="I82" s="1" t="s">
        <v>523</v>
      </c>
      <c r="J82" s="2">
        <v>313</v>
      </c>
      <c r="K82" s="2">
        <v>155</v>
      </c>
      <c r="L82" s="2">
        <v>468</v>
      </c>
      <c r="M82" s="3">
        <v>0.66880341880341876</v>
      </c>
      <c r="N82" s="6">
        <v>0.78</v>
      </c>
    </row>
    <row r="83" spans="1:14" x14ac:dyDescent="0.2">
      <c r="A83" s="1" t="s">
        <v>53</v>
      </c>
      <c r="B83" s="1" t="s">
        <v>55</v>
      </c>
      <c r="C83" s="1" t="s">
        <v>191</v>
      </c>
      <c r="D83" s="2">
        <v>595</v>
      </c>
      <c r="E83" s="2">
        <v>401</v>
      </c>
      <c r="F83" s="2">
        <f t="shared" si="3"/>
        <v>996</v>
      </c>
      <c r="G83" s="3">
        <f t="shared" si="4"/>
        <v>0.59738955823293172</v>
      </c>
      <c r="H83" s="3">
        <f t="shared" si="5"/>
        <v>0.40261044176706828</v>
      </c>
      <c r="I83" s="1" t="s">
        <v>523</v>
      </c>
      <c r="J83" s="2">
        <v>658</v>
      </c>
      <c r="K83" s="2">
        <v>375</v>
      </c>
      <c r="L83" s="2">
        <v>1033</v>
      </c>
      <c r="M83" s="3">
        <v>0.63697967086156826</v>
      </c>
      <c r="N83" s="6">
        <v>-3.96</v>
      </c>
    </row>
    <row r="84" spans="1:14" x14ac:dyDescent="0.2">
      <c r="A84" s="1" t="s">
        <v>53</v>
      </c>
      <c r="B84" s="1" t="s">
        <v>55</v>
      </c>
      <c r="C84" s="1" t="s">
        <v>192</v>
      </c>
      <c r="D84" s="2">
        <v>777</v>
      </c>
      <c r="E84" s="2">
        <v>414</v>
      </c>
      <c r="F84" s="2">
        <f t="shared" si="3"/>
        <v>1191</v>
      </c>
      <c r="G84" s="3">
        <f t="shared" si="4"/>
        <v>0.65239294710327456</v>
      </c>
      <c r="H84" s="3">
        <f t="shared" si="5"/>
        <v>0.34760705289672544</v>
      </c>
      <c r="I84" s="1" t="s">
        <v>523</v>
      </c>
      <c r="J84" s="2">
        <v>693</v>
      </c>
      <c r="K84" s="2">
        <v>389</v>
      </c>
      <c r="L84" s="2">
        <v>1082</v>
      </c>
      <c r="M84" s="3">
        <v>0.64048059149722736</v>
      </c>
      <c r="N84" s="6">
        <v>1.19</v>
      </c>
    </row>
    <row r="85" spans="1:14" x14ac:dyDescent="0.2">
      <c r="A85" s="1" t="s">
        <v>53</v>
      </c>
      <c r="B85" s="1" t="s">
        <v>55</v>
      </c>
      <c r="C85" s="1" t="s">
        <v>193</v>
      </c>
      <c r="D85" s="2">
        <v>461</v>
      </c>
      <c r="E85" s="2">
        <v>386</v>
      </c>
      <c r="F85" s="2">
        <f t="shared" si="3"/>
        <v>847</v>
      </c>
      <c r="G85" s="3">
        <f t="shared" si="4"/>
        <v>0.54427390791027153</v>
      </c>
      <c r="H85" s="3">
        <f t="shared" si="5"/>
        <v>0.45572609208972847</v>
      </c>
      <c r="I85" s="1" t="s">
        <v>523</v>
      </c>
      <c r="J85" s="2">
        <v>446</v>
      </c>
      <c r="K85" s="2">
        <v>382</v>
      </c>
      <c r="L85" s="2">
        <v>828</v>
      </c>
      <c r="M85" s="3">
        <v>0.53864734299516903</v>
      </c>
      <c r="N85" s="6">
        <v>0.56000000000000005</v>
      </c>
    </row>
    <row r="86" spans="1:14" x14ac:dyDescent="0.2">
      <c r="A86" s="1" t="s">
        <v>53</v>
      </c>
      <c r="B86" s="1" t="s">
        <v>55</v>
      </c>
      <c r="C86" s="1" t="s">
        <v>194</v>
      </c>
      <c r="D86" s="2">
        <v>592</v>
      </c>
      <c r="E86" s="2">
        <v>389</v>
      </c>
      <c r="F86" s="2">
        <f t="shared" si="3"/>
        <v>981</v>
      </c>
      <c r="G86" s="3">
        <f t="shared" si="4"/>
        <v>0.60346585117227314</v>
      </c>
      <c r="H86" s="3">
        <f t="shared" si="5"/>
        <v>0.39653414882772681</v>
      </c>
      <c r="I86" s="1" t="s">
        <v>523</v>
      </c>
      <c r="J86" s="2">
        <v>627</v>
      </c>
      <c r="K86" s="2">
        <v>389</v>
      </c>
      <c r="L86" s="2">
        <v>1016</v>
      </c>
      <c r="M86" s="3">
        <v>0.61712598425196852</v>
      </c>
      <c r="N86" s="6">
        <v>-1.37</v>
      </c>
    </row>
    <row r="87" spans="1:14" x14ac:dyDescent="0.2">
      <c r="A87" s="1" t="s">
        <v>53</v>
      </c>
      <c r="B87" s="1" t="s">
        <v>55</v>
      </c>
      <c r="C87" s="1" t="s">
        <v>195</v>
      </c>
      <c r="D87" s="2">
        <v>611</v>
      </c>
      <c r="E87" s="2">
        <v>419</v>
      </c>
      <c r="F87" s="2">
        <f t="shared" si="3"/>
        <v>1030</v>
      </c>
      <c r="G87" s="3">
        <f t="shared" si="4"/>
        <v>0.59320388349514563</v>
      </c>
      <c r="H87" s="3">
        <f t="shared" si="5"/>
        <v>0.40679611650485437</v>
      </c>
      <c r="I87" s="1" t="s">
        <v>523</v>
      </c>
      <c r="J87" s="2">
        <v>645</v>
      </c>
      <c r="K87" s="2">
        <v>418</v>
      </c>
      <c r="L87" s="2">
        <v>1063</v>
      </c>
      <c r="M87" s="3">
        <v>0.60677328316086543</v>
      </c>
      <c r="N87" s="6">
        <v>-1.36</v>
      </c>
    </row>
    <row r="88" spans="1:14" x14ac:dyDescent="0.2">
      <c r="A88" s="1" t="s">
        <v>53</v>
      </c>
      <c r="B88" s="1" t="s">
        <v>55</v>
      </c>
      <c r="C88" s="1" t="s">
        <v>196</v>
      </c>
      <c r="D88" s="2">
        <v>462</v>
      </c>
      <c r="E88" s="2">
        <v>332</v>
      </c>
      <c r="F88" s="2">
        <f t="shared" si="3"/>
        <v>794</v>
      </c>
      <c r="G88" s="3">
        <f t="shared" si="4"/>
        <v>0.58186397984886651</v>
      </c>
      <c r="H88" s="3">
        <f t="shared" si="5"/>
        <v>0.41813602015113349</v>
      </c>
      <c r="I88" s="1" t="s">
        <v>523</v>
      </c>
      <c r="J88" s="2">
        <v>452</v>
      </c>
      <c r="K88" s="2">
        <v>341</v>
      </c>
      <c r="L88" s="2">
        <v>793</v>
      </c>
      <c r="M88" s="3">
        <v>0.56998738965952078</v>
      </c>
      <c r="N88" s="6">
        <v>1.19</v>
      </c>
    </row>
    <row r="89" spans="1:14" x14ac:dyDescent="0.2">
      <c r="A89" s="1" t="s">
        <v>53</v>
      </c>
      <c r="B89" s="1" t="s">
        <v>55</v>
      </c>
      <c r="C89" s="1" t="s">
        <v>197</v>
      </c>
      <c r="D89" s="2">
        <v>522</v>
      </c>
      <c r="E89" s="2">
        <v>351</v>
      </c>
      <c r="F89" s="2">
        <f t="shared" si="3"/>
        <v>873</v>
      </c>
      <c r="G89" s="3">
        <f t="shared" si="4"/>
        <v>0.59793814432989689</v>
      </c>
      <c r="H89" s="3">
        <f t="shared" si="5"/>
        <v>0.40206185567010311</v>
      </c>
      <c r="I89" s="1" t="s">
        <v>523</v>
      </c>
      <c r="J89" s="2">
        <v>541</v>
      </c>
      <c r="K89" s="2">
        <v>325</v>
      </c>
      <c r="L89" s="2">
        <v>866</v>
      </c>
      <c r="M89" s="3">
        <v>0.62471131639722866</v>
      </c>
      <c r="N89" s="6">
        <v>-2.68</v>
      </c>
    </row>
    <row r="90" spans="1:14" x14ac:dyDescent="0.2">
      <c r="A90" s="1" t="s">
        <v>53</v>
      </c>
      <c r="B90" s="1" t="s">
        <v>55</v>
      </c>
      <c r="C90" s="1" t="s">
        <v>198</v>
      </c>
      <c r="D90" s="2">
        <v>823</v>
      </c>
      <c r="E90" s="2">
        <v>610</v>
      </c>
      <c r="F90" s="2">
        <f t="shared" si="3"/>
        <v>1433</v>
      </c>
      <c r="G90" s="3">
        <f t="shared" si="4"/>
        <v>0.57431960921144454</v>
      </c>
      <c r="H90" s="3">
        <f t="shared" si="5"/>
        <v>0.42568039078855546</v>
      </c>
      <c r="I90" s="1" t="s">
        <v>523</v>
      </c>
      <c r="J90" s="2">
        <v>783</v>
      </c>
      <c r="K90" s="2">
        <v>562</v>
      </c>
      <c r="L90" s="2">
        <v>1345</v>
      </c>
      <c r="M90" s="3">
        <v>0.58215613382899634</v>
      </c>
      <c r="N90" s="6">
        <v>-0.78</v>
      </c>
    </row>
    <row r="91" spans="1:14" x14ac:dyDescent="0.2">
      <c r="A91" s="1" t="s">
        <v>53</v>
      </c>
      <c r="B91" s="1" t="s">
        <v>55</v>
      </c>
      <c r="C91" s="1" t="s">
        <v>199</v>
      </c>
      <c r="D91" s="2">
        <v>454</v>
      </c>
      <c r="E91" s="2">
        <v>238</v>
      </c>
      <c r="F91" s="2">
        <f t="shared" si="3"/>
        <v>692</v>
      </c>
      <c r="G91" s="3">
        <f t="shared" si="4"/>
        <v>0.65606936416184969</v>
      </c>
      <c r="H91" s="3">
        <f t="shared" si="5"/>
        <v>0.34393063583815031</v>
      </c>
      <c r="I91" s="1" t="s">
        <v>523</v>
      </c>
      <c r="J91" s="2">
        <v>454</v>
      </c>
      <c r="K91" s="2">
        <v>218</v>
      </c>
      <c r="L91" s="2">
        <v>672</v>
      </c>
      <c r="M91" s="3">
        <v>0.67559523809523814</v>
      </c>
      <c r="N91" s="6">
        <v>-1.95</v>
      </c>
    </row>
    <row r="92" spans="1:14" x14ac:dyDescent="0.2">
      <c r="A92" s="1" t="s">
        <v>53</v>
      </c>
      <c r="B92" s="1" t="s">
        <v>55</v>
      </c>
      <c r="C92" s="1" t="s">
        <v>200</v>
      </c>
      <c r="D92" s="2">
        <v>450</v>
      </c>
      <c r="E92" s="2">
        <v>288</v>
      </c>
      <c r="F92" s="2">
        <f t="shared" si="3"/>
        <v>738</v>
      </c>
      <c r="G92" s="3">
        <f t="shared" si="4"/>
        <v>0.6097560975609756</v>
      </c>
      <c r="H92" s="3">
        <f t="shared" si="5"/>
        <v>0.3902439024390244</v>
      </c>
      <c r="I92" s="1" t="s">
        <v>523</v>
      </c>
      <c r="J92" s="2">
        <v>502</v>
      </c>
      <c r="K92" s="2">
        <v>274</v>
      </c>
      <c r="L92" s="2">
        <v>776</v>
      </c>
      <c r="M92" s="3">
        <v>0.64690721649484539</v>
      </c>
      <c r="N92" s="6">
        <v>-3.72</v>
      </c>
    </row>
    <row r="93" spans="1:14" x14ac:dyDescent="0.2">
      <c r="A93" s="1" t="s">
        <v>53</v>
      </c>
      <c r="B93" s="1" t="s">
        <v>55</v>
      </c>
      <c r="C93" s="1" t="s">
        <v>201</v>
      </c>
      <c r="D93" s="2">
        <v>461</v>
      </c>
      <c r="E93" s="2">
        <v>310</v>
      </c>
      <c r="F93" s="2">
        <f t="shared" si="3"/>
        <v>771</v>
      </c>
      <c r="G93" s="3">
        <f t="shared" si="4"/>
        <v>0.59792477302204927</v>
      </c>
      <c r="H93" s="3">
        <f t="shared" si="5"/>
        <v>0.40207522697795073</v>
      </c>
      <c r="I93" s="1" t="s">
        <v>523</v>
      </c>
      <c r="J93" s="2">
        <v>502</v>
      </c>
      <c r="K93" s="2">
        <v>283</v>
      </c>
      <c r="L93" s="2">
        <v>785</v>
      </c>
      <c r="M93" s="3">
        <v>0.63949044585987258</v>
      </c>
      <c r="N93" s="6">
        <v>-4.16</v>
      </c>
    </row>
    <row r="94" spans="1:14" x14ac:dyDescent="0.2">
      <c r="A94" s="1" t="s">
        <v>53</v>
      </c>
      <c r="B94" s="1" t="s">
        <v>55</v>
      </c>
      <c r="C94" s="1" t="s">
        <v>202</v>
      </c>
      <c r="D94" s="2">
        <v>371</v>
      </c>
      <c r="E94" s="2">
        <v>202</v>
      </c>
      <c r="F94" s="2">
        <f t="shared" si="3"/>
        <v>573</v>
      </c>
      <c r="G94" s="3">
        <f t="shared" si="4"/>
        <v>0.64746945898778363</v>
      </c>
      <c r="H94" s="3">
        <f t="shared" si="5"/>
        <v>0.35253054101221643</v>
      </c>
      <c r="I94" s="1" t="s">
        <v>524</v>
      </c>
    </row>
    <row r="95" spans="1:14" x14ac:dyDescent="0.2">
      <c r="A95" s="1" t="s">
        <v>53</v>
      </c>
      <c r="B95" s="1" t="s">
        <v>55</v>
      </c>
      <c r="C95" s="1" t="s">
        <v>204</v>
      </c>
      <c r="D95" s="2">
        <v>1012</v>
      </c>
      <c r="E95" s="2">
        <v>553</v>
      </c>
      <c r="F95" s="2">
        <f t="shared" si="3"/>
        <v>1565</v>
      </c>
      <c r="G95" s="3">
        <f t="shared" si="4"/>
        <v>0.64664536741214063</v>
      </c>
      <c r="H95" s="3">
        <f t="shared" si="5"/>
        <v>0.35335463258785943</v>
      </c>
      <c r="I95" s="1" t="s">
        <v>525</v>
      </c>
    </row>
    <row r="96" spans="1:14" x14ac:dyDescent="0.2">
      <c r="A96" s="1" t="s">
        <v>53</v>
      </c>
      <c r="B96" s="1" t="s">
        <v>55</v>
      </c>
      <c r="C96" s="1" t="s">
        <v>205</v>
      </c>
      <c r="D96" s="2">
        <v>459</v>
      </c>
      <c r="E96" s="2">
        <v>234</v>
      </c>
      <c r="F96" s="2">
        <f t="shared" si="3"/>
        <v>693</v>
      </c>
      <c r="G96" s="3">
        <f t="shared" si="4"/>
        <v>0.66233766233766234</v>
      </c>
      <c r="H96" s="3">
        <f t="shared" si="5"/>
        <v>0.33766233766233766</v>
      </c>
      <c r="I96" s="1" t="s">
        <v>523</v>
      </c>
      <c r="J96" s="2">
        <v>488</v>
      </c>
      <c r="K96" s="2">
        <v>252</v>
      </c>
      <c r="L96" s="2">
        <v>740</v>
      </c>
      <c r="M96" s="3">
        <v>0.6594594594594595</v>
      </c>
      <c r="N96" s="6">
        <v>0.28999999999999998</v>
      </c>
    </row>
    <row r="97" spans="1:14" x14ac:dyDescent="0.2">
      <c r="A97" s="1" t="s">
        <v>53</v>
      </c>
      <c r="B97" s="1" t="s">
        <v>55</v>
      </c>
      <c r="C97" s="1" t="s">
        <v>206</v>
      </c>
      <c r="D97" s="2">
        <v>563</v>
      </c>
      <c r="E97" s="2">
        <v>387</v>
      </c>
      <c r="F97" s="2">
        <f t="shared" si="3"/>
        <v>950</v>
      </c>
      <c r="G97" s="3">
        <f t="shared" si="4"/>
        <v>0.5926315789473684</v>
      </c>
      <c r="H97" s="3">
        <f t="shared" si="5"/>
        <v>0.4073684210526316</v>
      </c>
      <c r="I97" s="1" t="s">
        <v>523</v>
      </c>
      <c r="J97" s="2">
        <v>601</v>
      </c>
      <c r="K97" s="2">
        <v>394</v>
      </c>
      <c r="L97" s="2">
        <v>995</v>
      </c>
      <c r="M97" s="3">
        <v>0.60402010050251254</v>
      </c>
      <c r="N97" s="6">
        <v>-1.1399999999999999</v>
      </c>
    </row>
    <row r="98" spans="1:14" x14ac:dyDescent="0.2">
      <c r="A98" s="1" t="s">
        <v>53</v>
      </c>
      <c r="B98" s="1" t="s">
        <v>55</v>
      </c>
      <c r="C98" s="1" t="s">
        <v>207</v>
      </c>
      <c r="D98" s="2">
        <v>19</v>
      </c>
      <c r="E98" s="2">
        <v>10</v>
      </c>
      <c r="F98" s="2">
        <f t="shared" si="3"/>
        <v>29</v>
      </c>
      <c r="G98" s="3">
        <f t="shared" si="4"/>
        <v>0.65517241379310343</v>
      </c>
      <c r="H98" s="3">
        <f t="shared" si="5"/>
        <v>0.34482758620689657</v>
      </c>
      <c r="I98" s="1" t="s">
        <v>526</v>
      </c>
    </row>
    <row r="99" spans="1:14" x14ac:dyDescent="0.2">
      <c r="A99" s="1" t="s">
        <v>53</v>
      </c>
      <c r="B99" s="1" t="s">
        <v>55</v>
      </c>
      <c r="C99" s="1" t="s">
        <v>208</v>
      </c>
      <c r="D99" s="2">
        <v>317</v>
      </c>
      <c r="E99" s="2">
        <v>280</v>
      </c>
      <c r="F99" s="2">
        <f t="shared" si="3"/>
        <v>597</v>
      </c>
      <c r="G99" s="3">
        <f t="shared" si="4"/>
        <v>0.53098827470686771</v>
      </c>
      <c r="H99" s="3">
        <f t="shared" si="5"/>
        <v>0.46901172529313234</v>
      </c>
      <c r="I99" s="1" t="s">
        <v>523</v>
      </c>
      <c r="J99" s="2">
        <v>330</v>
      </c>
      <c r="K99" s="2">
        <v>270</v>
      </c>
      <c r="L99" s="2">
        <v>600</v>
      </c>
      <c r="M99" s="3">
        <v>0.55000000000000004</v>
      </c>
      <c r="N99" s="6">
        <v>-1.9</v>
      </c>
    </row>
    <row r="100" spans="1:14" x14ac:dyDescent="0.2">
      <c r="A100" s="1" t="s">
        <v>53</v>
      </c>
      <c r="B100" s="1" t="s">
        <v>55</v>
      </c>
      <c r="C100" s="1" t="s">
        <v>209</v>
      </c>
      <c r="D100" s="2">
        <v>632</v>
      </c>
      <c r="E100" s="2">
        <v>337</v>
      </c>
      <c r="F100" s="2">
        <f t="shared" si="3"/>
        <v>969</v>
      </c>
      <c r="G100" s="3">
        <f t="shared" si="4"/>
        <v>0.65221878224974206</v>
      </c>
      <c r="H100" s="3">
        <f t="shared" si="5"/>
        <v>0.347781217750258</v>
      </c>
      <c r="I100" s="1" t="s">
        <v>523</v>
      </c>
      <c r="J100" s="2">
        <v>591</v>
      </c>
      <c r="K100" s="2">
        <v>333</v>
      </c>
      <c r="L100" s="2">
        <v>924</v>
      </c>
      <c r="M100" s="3">
        <v>0.63961038961038963</v>
      </c>
      <c r="N100" s="6">
        <v>1.26</v>
      </c>
    </row>
    <row r="101" spans="1:14" x14ac:dyDescent="0.2">
      <c r="A101" s="1" t="s">
        <v>53</v>
      </c>
      <c r="B101" s="1" t="s">
        <v>55</v>
      </c>
      <c r="C101" s="1" t="s">
        <v>210</v>
      </c>
      <c r="D101" s="2">
        <v>334</v>
      </c>
      <c r="E101" s="2">
        <v>261</v>
      </c>
      <c r="F101" s="2">
        <f t="shared" si="3"/>
        <v>595</v>
      </c>
      <c r="G101" s="3">
        <f t="shared" si="4"/>
        <v>0.56134453781512605</v>
      </c>
      <c r="H101" s="3">
        <f t="shared" si="5"/>
        <v>0.43865546218487395</v>
      </c>
      <c r="I101" s="1" t="s">
        <v>523</v>
      </c>
      <c r="J101" s="2">
        <v>347</v>
      </c>
      <c r="K101" s="2">
        <v>243</v>
      </c>
      <c r="L101" s="2">
        <v>590</v>
      </c>
      <c r="M101" s="3">
        <v>0.58813559322033904</v>
      </c>
      <c r="N101" s="6">
        <v>-2.68</v>
      </c>
    </row>
    <row r="102" spans="1:14" x14ac:dyDescent="0.2">
      <c r="A102" s="1" t="s">
        <v>53</v>
      </c>
      <c r="B102" s="1" t="s">
        <v>55</v>
      </c>
      <c r="C102" s="1" t="s">
        <v>211</v>
      </c>
      <c r="D102" s="2">
        <v>480</v>
      </c>
      <c r="E102" s="2">
        <v>265</v>
      </c>
      <c r="F102" s="2">
        <f t="shared" si="3"/>
        <v>745</v>
      </c>
      <c r="G102" s="3">
        <f t="shared" si="4"/>
        <v>0.64429530201342278</v>
      </c>
      <c r="H102" s="3">
        <f t="shared" si="5"/>
        <v>0.35570469798657717</v>
      </c>
      <c r="I102" s="1" t="s">
        <v>523</v>
      </c>
      <c r="J102" s="2">
        <v>440</v>
      </c>
      <c r="K102" s="2">
        <v>259</v>
      </c>
      <c r="L102" s="2">
        <v>699</v>
      </c>
      <c r="M102" s="3">
        <v>0.62947067238912735</v>
      </c>
      <c r="N102" s="6">
        <v>1.48</v>
      </c>
    </row>
    <row r="103" spans="1:14" x14ac:dyDescent="0.2">
      <c r="A103" s="1" t="s">
        <v>53</v>
      </c>
      <c r="B103" s="1" t="s">
        <v>55</v>
      </c>
      <c r="C103" s="1" t="s">
        <v>212</v>
      </c>
      <c r="D103" s="2">
        <v>510</v>
      </c>
      <c r="E103" s="2">
        <v>428</v>
      </c>
      <c r="F103" s="2">
        <f t="shared" si="3"/>
        <v>938</v>
      </c>
      <c r="G103" s="3">
        <f t="shared" si="4"/>
        <v>0.54371002132196167</v>
      </c>
      <c r="H103" s="3">
        <f t="shared" si="5"/>
        <v>0.45628997867803839</v>
      </c>
      <c r="I103" s="1" t="s">
        <v>523</v>
      </c>
      <c r="J103" s="2">
        <v>553</v>
      </c>
      <c r="K103" s="2">
        <v>367</v>
      </c>
      <c r="L103" s="2">
        <v>920</v>
      </c>
      <c r="M103" s="3">
        <v>0.60108695652173916</v>
      </c>
      <c r="N103" s="6">
        <v>-5.74</v>
      </c>
    </row>
    <row r="104" spans="1:14" x14ac:dyDescent="0.2">
      <c r="A104" s="1" t="s">
        <v>53</v>
      </c>
      <c r="B104" s="1" t="s">
        <v>55</v>
      </c>
      <c r="C104" s="1" t="s">
        <v>213</v>
      </c>
      <c r="D104" s="2">
        <v>1</v>
      </c>
      <c r="E104" s="2">
        <v>1</v>
      </c>
      <c r="F104" s="2">
        <f t="shared" si="3"/>
        <v>2</v>
      </c>
      <c r="G104" s="3">
        <f t="shared" si="4"/>
        <v>0.5</v>
      </c>
      <c r="H104" s="3">
        <f t="shared" si="5"/>
        <v>0.5</v>
      </c>
      <c r="I104" s="1" t="s">
        <v>527</v>
      </c>
    </row>
    <row r="105" spans="1:14" x14ac:dyDescent="0.2">
      <c r="A105" s="1" t="s">
        <v>53</v>
      </c>
      <c r="B105" s="1" t="s">
        <v>55</v>
      </c>
      <c r="C105" s="1" t="s">
        <v>214</v>
      </c>
      <c r="D105" s="2">
        <v>805</v>
      </c>
      <c r="E105" s="2">
        <v>548</v>
      </c>
      <c r="F105" s="2">
        <f t="shared" si="3"/>
        <v>1353</v>
      </c>
      <c r="G105" s="3">
        <f t="shared" si="4"/>
        <v>0.59497413155949741</v>
      </c>
      <c r="H105" s="3">
        <f t="shared" si="5"/>
        <v>0.40502586844050259</v>
      </c>
      <c r="I105" s="1" t="s">
        <v>523</v>
      </c>
      <c r="J105" s="2">
        <v>821</v>
      </c>
      <c r="K105" s="2">
        <v>504</v>
      </c>
      <c r="L105" s="2">
        <v>1325</v>
      </c>
      <c r="M105" s="3">
        <v>0.61962264150943391</v>
      </c>
      <c r="N105" s="6">
        <v>-2.46</v>
      </c>
    </row>
    <row r="106" spans="1:14" x14ac:dyDescent="0.2">
      <c r="A106" s="1" t="s">
        <v>53</v>
      </c>
      <c r="B106" s="1" t="s">
        <v>55</v>
      </c>
      <c r="C106" s="1" t="s">
        <v>215</v>
      </c>
      <c r="D106" s="2">
        <v>546</v>
      </c>
      <c r="E106" s="2">
        <v>187</v>
      </c>
      <c r="F106" s="2">
        <f t="shared" si="3"/>
        <v>733</v>
      </c>
      <c r="G106" s="3">
        <f t="shared" si="4"/>
        <v>0.74488403819918148</v>
      </c>
      <c r="H106" s="3">
        <f t="shared" si="5"/>
        <v>0.25511596180081858</v>
      </c>
      <c r="I106" s="1" t="s">
        <v>523</v>
      </c>
      <c r="J106" s="2">
        <v>487</v>
      </c>
      <c r="K106" s="2">
        <v>191</v>
      </c>
      <c r="L106" s="2">
        <v>678</v>
      </c>
      <c r="M106" s="3">
        <v>0.71828908554572268</v>
      </c>
      <c r="N106" s="6">
        <v>2.66</v>
      </c>
    </row>
    <row r="107" spans="1:14" x14ac:dyDescent="0.2">
      <c r="A107" s="1" t="s">
        <v>53</v>
      </c>
      <c r="B107" s="1" t="s">
        <v>55</v>
      </c>
      <c r="C107" s="1" t="s">
        <v>216</v>
      </c>
      <c r="D107" s="2">
        <v>322</v>
      </c>
      <c r="E107" s="2">
        <v>170</v>
      </c>
      <c r="F107" s="2">
        <f t="shared" si="3"/>
        <v>492</v>
      </c>
      <c r="G107" s="3">
        <f t="shared" si="4"/>
        <v>0.65447154471544711</v>
      </c>
      <c r="H107" s="3">
        <f t="shared" si="5"/>
        <v>0.34552845528455284</v>
      </c>
      <c r="I107" s="1" t="s">
        <v>528</v>
      </c>
    </row>
    <row r="108" spans="1:14" x14ac:dyDescent="0.2">
      <c r="A108" s="1" t="s">
        <v>53</v>
      </c>
      <c r="B108" s="1" t="s">
        <v>55</v>
      </c>
      <c r="C108" s="1" t="s">
        <v>217</v>
      </c>
      <c r="D108" s="2">
        <v>709</v>
      </c>
      <c r="E108" s="2">
        <v>211</v>
      </c>
      <c r="F108" s="2">
        <f t="shared" si="3"/>
        <v>920</v>
      </c>
      <c r="G108" s="3">
        <f t="shared" si="4"/>
        <v>0.77065217391304353</v>
      </c>
      <c r="H108" s="3">
        <f t="shared" si="5"/>
        <v>0.22934782608695653</v>
      </c>
      <c r="I108" s="1" t="s">
        <v>523</v>
      </c>
      <c r="J108" s="2">
        <v>677</v>
      </c>
      <c r="K108" s="2">
        <v>264</v>
      </c>
      <c r="L108" s="2">
        <v>941</v>
      </c>
      <c r="M108" s="3">
        <v>0.71944739638682254</v>
      </c>
      <c r="N108" s="6">
        <v>5.12</v>
      </c>
    </row>
    <row r="109" spans="1:14" x14ac:dyDescent="0.2">
      <c r="A109" s="1" t="s">
        <v>53</v>
      </c>
      <c r="B109" s="1" t="s">
        <v>55</v>
      </c>
      <c r="C109" s="1" t="s">
        <v>218</v>
      </c>
      <c r="D109" s="2">
        <v>300</v>
      </c>
      <c r="E109" s="2">
        <v>130</v>
      </c>
      <c r="F109" s="2">
        <f t="shared" si="3"/>
        <v>430</v>
      </c>
      <c r="G109" s="3">
        <f t="shared" si="4"/>
        <v>0.69767441860465118</v>
      </c>
      <c r="H109" s="3">
        <f t="shared" si="5"/>
        <v>0.30232558139534882</v>
      </c>
      <c r="I109" s="1" t="s">
        <v>523</v>
      </c>
      <c r="J109" s="2">
        <v>283</v>
      </c>
      <c r="K109" s="2">
        <v>138</v>
      </c>
      <c r="L109" s="2">
        <v>421</v>
      </c>
      <c r="M109" s="3">
        <v>0.67220902612826605</v>
      </c>
      <c r="N109" s="6">
        <v>2.5499999999999998</v>
      </c>
    </row>
    <row r="110" spans="1:14" x14ac:dyDescent="0.2">
      <c r="A110" s="1" t="s">
        <v>53</v>
      </c>
      <c r="B110" s="1" t="s">
        <v>55</v>
      </c>
      <c r="C110" s="1" t="s">
        <v>219</v>
      </c>
      <c r="D110" s="2">
        <v>392</v>
      </c>
      <c r="E110" s="2">
        <v>128</v>
      </c>
      <c r="F110" s="2">
        <f t="shared" si="3"/>
        <v>520</v>
      </c>
      <c r="G110" s="3">
        <f t="shared" si="4"/>
        <v>0.75384615384615383</v>
      </c>
      <c r="H110" s="3">
        <f t="shared" si="5"/>
        <v>0.24615384615384617</v>
      </c>
      <c r="I110" s="1" t="s">
        <v>523</v>
      </c>
      <c r="J110" s="2">
        <v>447</v>
      </c>
      <c r="K110" s="2">
        <v>152</v>
      </c>
      <c r="L110" s="2">
        <v>599</v>
      </c>
      <c r="M110" s="3">
        <v>0.74624373956594325</v>
      </c>
      <c r="N110" s="6">
        <v>0.76</v>
      </c>
    </row>
    <row r="111" spans="1:14" x14ac:dyDescent="0.2">
      <c r="A111" s="1" t="s">
        <v>53</v>
      </c>
      <c r="B111" s="1" t="s">
        <v>55</v>
      </c>
      <c r="C111" s="1" t="s">
        <v>220</v>
      </c>
      <c r="D111" s="2">
        <v>220</v>
      </c>
      <c r="E111" s="2">
        <v>92</v>
      </c>
      <c r="F111" s="2">
        <f t="shared" si="3"/>
        <v>312</v>
      </c>
      <c r="G111" s="3">
        <f t="shared" si="4"/>
        <v>0.70512820512820518</v>
      </c>
      <c r="H111" s="3">
        <f t="shared" si="5"/>
        <v>0.29487179487179488</v>
      </c>
      <c r="I111" s="1" t="s">
        <v>523</v>
      </c>
      <c r="J111" s="2">
        <v>179</v>
      </c>
      <c r="K111" s="2">
        <v>112</v>
      </c>
      <c r="L111" s="2">
        <v>291</v>
      </c>
      <c r="M111" s="3">
        <v>0.61512027491408938</v>
      </c>
      <c r="N111" s="6">
        <v>9</v>
      </c>
    </row>
    <row r="112" spans="1:14" x14ac:dyDescent="0.2">
      <c r="A112" s="1" t="s">
        <v>53</v>
      </c>
      <c r="B112" s="1" t="s">
        <v>55</v>
      </c>
      <c r="C112" s="1" t="s">
        <v>221</v>
      </c>
      <c r="D112" s="2">
        <v>392</v>
      </c>
      <c r="E112" s="2">
        <v>196</v>
      </c>
      <c r="F112" s="2">
        <f t="shared" si="3"/>
        <v>588</v>
      </c>
      <c r="G112" s="3">
        <f t="shared" si="4"/>
        <v>0.66666666666666663</v>
      </c>
      <c r="H112" s="3">
        <f t="shared" si="5"/>
        <v>0.33333333333333331</v>
      </c>
      <c r="I112" s="1" t="s">
        <v>523</v>
      </c>
      <c r="J112" s="2">
        <v>357</v>
      </c>
      <c r="K112" s="2">
        <v>225</v>
      </c>
      <c r="L112" s="2">
        <v>582</v>
      </c>
      <c r="M112" s="3">
        <v>0.61340206185567014</v>
      </c>
      <c r="N112" s="6">
        <v>5.33</v>
      </c>
    </row>
    <row r="113" spans="1:14" x14ac:dyDescent="0.2">
      <c r="A113" s="1" t="s">
        <v>53</v>
      </c>
      <c r="B113" s="1" t="s">
        <v>55</v>
      </c>
      <c r="C113" s="1" t="s">
        <v>222</v>
      </c>
      <c r="D113" s="2">
        <v>545</v>
      </c>
      <c r="E113" s="2">
        <v>215</v>
      </c>
      <c r="F113" s="2">
        <f t="shared" si="3"/>
        <v>760</v>
      </c>
      <c r="G113" s="3">
        <f t="shared" si="4"/>
        <v>0.71710526315789469</v>
      </c>
      <c r="H113" s="3">
        <f t="shared" si="5"/>
        <v>0.28289473684210525</v>
      </c>
      <c r="I113" s="1" t="s">
        <v>523</v>
      </c>
      <c r="J113" s="2">
        <v>520</v>
      </c>
      <c r="K113" s="2">
        <v>193</v>
      </c>
      <c r="L113" s="2">
        <v>713</v>
      </c>
      <c r="M113" s="3">
        <v>0.72931276297335201</v>
      </c>
      <c r="N113" s="6">
        <v>-1.22</v>
      </c>
    </row>
    <row r="114" spans="1:14" x14ac:dyDescent="0.2">
      <c r="A114" s="1" t="s">
        <v>53</v>
      </c>
      <c r="B114" s="1" t="s">
        <v>55</v>
      </c>
      <c r="C114" s="1" t="s">
        <v>223</v>
      </c>
      <c r="D114" s="2">
        <v>238</v>
      </c>
      <c r="E114" s="2">
        <v>75</v>
      </c>
      <c r="F114" s="2">
        <f t="shared" si="3"/>
        <v>313</v>
      </c>
      <c r="G114" s="3">
        <f t="shared" si="4"/>
        <v>0.76038338658146964</v>
      </c>
      <c r="H114" s="3">
        <f t="shared" si="5"/>
        <v>0.23961661341853036</v>
      </c>
      <c r="I114" s="1" t="s">
        <v>523</v>
      </c>
      <c r="J114" s="2">
        <v>218</v>
      </c>
      <c r="K114" s="2">
        <v>86</v>
      </c>
      <c r="L114" s="2">
        <v>304</v>
      </c>
      <c r="M114" s="3">
        <v>0.71710526315789469</v>
      </c>
      <c r="N114" s="6">
        <v>4.33</v>
      </c>
    </row>
    <row r="115" spans="1:14" x14ac:dyDescent="0.2">
      <c r="A115" s="1" t="s">
        <v>53</v>
      </c>
      <c r="B115" s="1" t="s">
        <v>55</v>
      </c>
      <c r="C115" s="1" t="s">
        <v>224</v>
      </c>
      <c r="D115" s="2">
        <v>306</v>
      </c>
      <c r="E115" s="2">
        <v>83</v>
      </c>
      <c r="F115" s="2">
        <f t="shared" si="3"/>
        <v>389</v>
      </c>
      <c r="G115" s="3">
        <f t="shared" si="4"/>
        <v>0.78663239074550129</v>
      </c>
      <c r="H115" s="3">
        <f t="shared" si="5"/>
        <v>0.21336760925449871</v>
      </c>
      <c r="I115" s="1" t="s">
        <v>523</v>
      </c>
      <c r="J115" s="2">
        <v>262</v>
      </c>
      <c r="K115" s="2">
        <v>109</v>
      </c>
      <c r="L115" s="2">
        <v>371</v>
      </c>
      <c r="M115" s="3">
        <v>0.70619946091644203</v>
      </c>
      <c r="N115" s="6">
        <v>8.0399999999999991</v>
      </c>
    </row>
    <row r="116" spans="1:14" x14ac:dyDescent="0.2">
      <c r="A116" s="1" t="s">
        <v>53</v>
      </c>
      <c r="B116" s="1" t="s">
        <v>55</v>
      </c>
      <c r="C116" s="1" t="s">
        <v>225</v>
      </c>
      <c r="D116" s="2">
        <v>441</v>
      </c>
      <c r="E116" s="2">
        <v>147</v>
      </c>
      <c r="F116" s="2">
        <f t="shared" si="3"/>
        <v>588</v>
      </c>
      <c r="G116" s="3">
        <f t="shared" si="4"/>
        <v>0.75</v>
      </c>
      <c r="H116" s="3">
        <f t="shared" si="5"/>
        <v>0.25</v>
      </c>
      <c r="I116" s="1" t="s">
        <v>523</v>
      </c>
      <c r="J116" s="2">
        <v>424</v>
      </c>
      <c r="K116" s="2">
        <v>151</v>
      </c>
      <c r="L116" s="2">
        <v>575</v>
      </c>
      <c r="M116" s="3">
        <v>0.73739130434782607</v>
      </c>
      <c r="N116" s="6">
        <v>1.26</v>
      </c>
    </row>
    <row r="117" spans="1:14" x14ac:dyDescent="0.2">
      <c r="A117" s="1" t="s">
        <v>53</v>
      </c>
      <c r="B117" s="1" t="s">
        <v>55</v>
      </c>
      <c r="C117" s="1" t="s">
        <v>226</v>
      </c>
      <c r="D117" s="2">
        <v>566</v>
      </c>
      <c r="E117" s="2">
        <v>324</v>
      </c>
      <c r="F117" s="2">
        <f t="shared" si="3"/>
        <v>890</v>
      </c>
      <c r="G117" s="3">
        <f t="shared" si="4"/>
        <v>0.63595505617977532</v>
      </c>
      <c r="H117" s="3">
        <f t="shared" si="5"/>
        <v>0.36404494382022473</v>
      </c>
      <c r="I117" s="1" t="s">
        <v>523</v>
      </c>
      <c r="J117" s="2">
        <v>565</v>
      </c>
      <c r="K117" s="2">
        <v>277</v>
      </c>
      <c r="L117" s="2">
        <v>842</v>
      </c>
      <c r="M117" s="3">
        <v>0.67102137767220904</v>
      </c>
      <c r="N117" s="6">
        <v>-3.51</v>
      </c>
    </row>
    <row r="118" spans="1:14" x14ac:dyDescent="0.2">
      <c r="A118" s="1" t="s">
        <v>53</v>
      </c>
      <c r="B118" s="1" t="s">
        <v>55</v>
      </c>
      <c r="C118" s="1" t="s">
        <v>227</v>
      </c>
      <c r="D118" s="2">
        <v>275</v>
      </c>
      <c r="E118" s="2">
        <v>134</v>
      </c>
      <c r="F118" s="2">
        <f t="shared" si="3"/>
        <v>409</v>
      </c>
      <c r="G118" s="3">
        <f t="shared" si="4"/>
        <v>0.67237163814180934</v>
      </c>
      <c r="H118" s="3">
        <f t="shared" si="5"/>
        <v>0.32762836185819072</v>
      </c>
      <c r="I118" s="1" t="s">
        <v>523</v>
      </c>
      <c r="J118" s="2">
        <v>260</v>
      </c>
      <c r="K118" s="2">
        <v>121</v>
      </c>
      <c r="L118" s="2">
        <v>381</v>
      </c>
      <c r="M118" s="3">
        <v>0.6824146981627297</v>
      </c>
      <c r="N118" s="6">
        <v>-1</v>
      </c>
    </row>
    <row r="119" spans="1:14" x14ac:dyDescent="0.2">
      <c r="A119" s="1" t="s">
        <v>53</v>
      </c>
      <c r="B119" s="1" t="s">
        <v>55</v>
      </c>
      <c r="C119" s="1" t="s">
        <v>228</v>
      </c>
      <c r="D119" s="2">
        <v>365</v>
      </c>
      <c r="E119" s="2">
        <v>153</v>
      </c>
      <c r="F119" s="2">
        <f t="shared" si="3"/>
        <v>518</v>
      </c>
      <c r="G119" s="3">
        <f t="shared" si="4"/>
        <v>0.70463320463320467</v>
      </c>
      <c r="H119" s="3">
        <f t="shared" si="5"/>
        <v>0.29536679536679539</v>
      </c>
      <c r="I119" s="1" t="s">
        <v>523</v>
      </c>
      <c r="J119" s="2">
        <v>317</v>
      </c>
      <c r="K119" s="2">
        <v>152</v>
      </c>
      <c r="L119" s="2">
        <v>469</v>
      </c>
      <c r="M119" s="3">
        <v>0.67590618336886998</v>
      </c>
      <c r="N119" s="6">
        <v>2.87</v>
      </c>
    </row>
    <row r="120" spans="1:14" x14ac:dyDescent="0.2">
      <c r="A120" s="1" t="s">
        <v>53</v>
      </c>
      <c r="B120" s="1" t="s">
        <v>55</v>
      </c>
      <c r="C120" s="1" t="s">
        <v>229</v>
      </c>
      <c r="D120" s="2">
        <v>428</v>
      </c>
      <c r="E120" s="2">
        <v>281</v>
      </c>
      <c r="F120" s="2">
        <f t="shared" si="3"/>
        <v>709</v>
      </c>
      <c r="G120" s="3">
        <f t="shared" si="4"/>
        <v>0.6036671368124118</v>
      </c>
      <c r="H120" s="3">
        <f t="shared" si="5"/>
        <v>0.39633286318758815</v>
      </c>
      <c r="I120" s="1" t="s">
        <v>523</v>
      </c>
      <c r="J120" s="2">
        <v>424</v>
      </c>
      <c r="K120" s="2">
        <v>264</v>
      </c>
      <c r="L120" s="2">
        <v>688</v>
      </c>
      <c r="M120" s="3">
        <v>0.61627906976744184</v>
      </c>
      <c r="N120" s="6">
        <v>-1.26</v>
      </c>
    </row>
    <row r="121" spans="1:14" x14ac:dyDescent="0.2">
      <c r="A121" s="1" t="s">
        <v>53</v>
      </c>
      <c r="B121" s="1" t="s">
        <v>55</v>
      </c>
      <c r="C121" s="1" t="s">
        <v>230</v>
      </c>
      <c r="D121" s="2">
        <v>520</v>
      </c>
      <c r="E121" s="2">
        <v>173</v>
      </c>
      <c r="F121" s="2">
        <f t="shared" si="3"/>
        <v>693</v>
      </c>
      <c r="G121" s="3">
        <f t="shared" si="4"/>
        <v>0.75036075036075034</v>
      </c>
      <c r="H121" s="3">
        <f t="shared" si="5"/>
        <v>0.24963924963924963</v>
      </c>
      <c r="I121" s="1" t="s">
        <v>523</v>
      </c>
      <c r="J121" s="2">
        <v>469</v>
      </c>
      <c r="K121" s="2">
        <v>215</v>
      </c>
      <c r="L121" s="2">
        <v>684</v>
      </c>
      <c r="M121" s="3">
        <v>0.68567251461988299</v>
      </c>
      <c r="N121" s="6">
        <v>6.47</v>
      </c>
    </row>
    <row r="122" spans="1:14" x14ac:dyDescent="0.2">
      <c r="A122" s="1" t="s">
        <v>53</v>
      </c>
      <c r="B122" s="1" t="s">
        <v>56</v>
      </c>
      <c r="C122" s="1" t="s">
        <v>231</v>
      </c>
      <c r="D122" s="2">
        <v>581</v>
      </c>
      <c r="E122" s="2">
        <v>245</v>
      </c>
      <c r="F122" s="2">
        <f t="shared" si="3"/>
        <v>826</v>
      </c>
      <c r="G122" s="3">
        <f t="shared" si="4"/>
        <v>0.70338983050847459</v>
      </c>
      <c r="H122" s="3">
        <f t="shared" si="5"/>
        <v>0.29661016949152541</v>
      </c>
      <c r="I122" s="1" t="s">
        <v>523</v>
      </c>
      <c r="J122" s="2">
        <v>598</v>
      </c>
      <c r="K122" s="2">
        <v>253</v>
      </c>
      <c r="L122" s="2">
        <v>851</v>
      </c>
      <c r="M122" s="3">
        <v>0.70270270270270274</v>
      </c>
      <c r="N122" s="6">
        <v>7.0000000000000007E-2</v>
      </c>
    </row>
    <row r="123" spans="1:14" x14ac:dyDescent="0.2">
      <c r="A123" s="1" t="s">
        <v>53</v>
      </c>
      <c r="B123" s="1" t="s">
        <v>56</v>
      </c>
      <c r="C123" s="1" t="s">
        <v>232</v>
      </c>
      <c r="D123" s="2">
        <v>417</v>
      </c>
      <c r="E123" s="2">
        <v>218</v>
      </c>
      <c r="F123" s="2">
        <f t="shared" si="3"/>
        <v>635</v>
      </c>
      <c r="G123" s="3">
        <f t="shared" si="4"/>
        <v>0.6566929133858268</v>
      </c>
      <c r="H123" s="3">
        <f t="shared" si="5"/>
        <v>0.34330708661417325</v>
      </c>
      <c r="I123" s="1" t="s">
        <v>523</v>
      </c>
      <c r="J123" s="2">
        <v>420</v>
      </c>
      <c r="K123" s="2">
        <v>214</v>
      </c>
      <c r="L123" s="2">
        <v>634</v>
      </c>
      <c r="M123" s="3">
        <v>0.66246056782334384</v>
      </c>
      <c r="N123" s="6">
        <v>-0.57999999999999996</v>
      </c>
    </row>
    <row r="124" spans="1:14" x14ac:dyDescent="0.2">
      <c r="A124" s="1" t="s">
        <v>53</v>
      </c>
      <c r="B124" s="1" t="s">
        <v>56</v>
      </c>
      <c r="C124" s="1" t="s">
        <v>233</v>
      </c>
      <c r="D124" s="2">
        <v>446</v>
      </c>
      <c r="E124" s="2">
        <v>188</v>
      </c>
      <c r="F124" s="2">
        <f t="shared" si="3"/>
        <v>634</v>
      </c>
      <c r="G124" s="3">
        <f t="shared" si="4"/>
        <v>0.70347003154574128</v>
      </c>
      <c r="H124" s="3">
        <f t="shared" si="5"/>
        <v>0.29652996845425866</v>
      </c>
      <c r="I124" s="1" t="s">
        <v>523</v>
      </c>
      <c r="J124" s="2">
        <v>438</v>
      </c>
      <c r="K124" s="2">
        <v>176</v>
      </c>
      <c r="L124" s="2">
        <v>614</v>
      </c>
      <c r="M124" s="3">
        <v>0.71335504885993484</v>
      </c>
      <c r="N124" s="6">
        <v>-0.99</v>
      </c>
    </row>
    <row r="125" spans="1:14" x14ac:dyDescent="0.2">
      <c r="A125" s="1" t="s">
        <v>53</v>
      </c>
      <c r="B125" s="1" t="s">
        <v>56</v>
      </c>
      <c r="C125" s="1" t="s">
        <v>234</v>
      </c>
      <c r="D125" s="2">
        <v>492</v>
      </c>
      <c r="E125" s="2">
        <v>239</v>
      </c>
      <c r="F125" s="2">
        <f t="shared" si="3"/>
        <v>731</v>
      </c>
      <c r="G125" s="3">
        <f t="shared" si="4"/>
        <v>0.67305061559507529</v>
      </c>
      <c r="H125" s="3">
        <f t="shared" si="5"/>
        <v>0.32694938440492477</v>
      </c>
      <c r="I125" s="1" t="s">
        <v>523</v>
      </c>
      <c r="J125" s="2">
        <v>463</v>
      </c>
      <c r="K125" s="2">
        <v>219</v>
      </c>
      <c r="L125" s="2">
        <v>682</v>
      </c>
      <c r="M125" s="3">
        <v>0.67888563049853368</v>
      </c>
      <c r="N125" s="6">
        <v>-0.57999999999999996</v>
      </c>
    </row>
    <row r="126" spans="1:14" x14ac:dyDescent="0.2">
      <c r="A126" s="1" t="s">
        <v>53</v>
      </c>
      <c r="B126" s="1" t="s">
        <v>56</v>
      </c>
      <c r="C126" s="1" t="s">
        <v>235</v>
      </c>
      <c r="D126" s="2">
        <v>796</v>
      </c>
      <c r="E126" s="2">
        <v>481</v>
      </c>
      <c r="F126" s="2">
        <f t="shared" si="3"/>
        <v>1277</v>
      </c>
      <c r="G126" s="3">
        <f t="shared" si="4"/>
        <v>0.62333594361785438</v>
      </c>
      <c r="H126" s="3">
        <f t="shared" si="5"/>
        <v>0.37666405638214567</v>
      </c>
      <c r="I126" s="1" t="s">
        <v>523</v>
      </c>
      <c r="J126" s="2">
        <v>782</v>
      </c>
      <c r="K126" s="2">
        <v>404</v>
      </c>
      <c r="L126" s="2">
        <v>1186</v>
      </c>
      <c r="M126" s="3">
        <v>0.65935919055649239</v>
      </c>
      <c r="N126" s="6">
        <v>-3.6</v>
      </c>
    </row>
    <row r="127" spans="1:14" x14ac:dyDescent="0.2">
      <c r="A127" s="1" t="s">
        <v>53</v>
      </c>
      <c r="B127" s="1" t="s">
        <v>56</v>
      </c>
      <c r="C127" s="1" t="s">
        <v>236</v>
      </c>
      <c r="D127" s="2">
        <v>507</v>
      </c>
      <c r="E127" s="2">
        <v>339</v>
      </c>
      <c r="F127" s="2">
        <f t="shared" si="3"/>
        <v>846</v>
      </c>
      <c r="G127" s="3">
        <f t="shared" si="4"/>
        <v>0.599290780141844</v>
      </c>
      <c r="H127" s="3">
        <f t="shared" si="5"/>
        <v>0.40070921985815605</v>
      </c>
      <c r="I127" s="1" t="s">
        <v>523</v>
      </c>
      <c r="J127" s="2">
        <v>503</v>
      </c>
      <c r="K127" s="2">
        <v>318</v>
      </c>
      <c r="L127" s="2">
        <v>821</v>
      </c>
      <c r="M127" s="3">
        <v>0.61266747868453109</v>
      </c>
      <c r="N127" s="6">
        <v>-1.34</v>
      </c>
    </row>
    <row r="128" spans="1:14" x14ac:dyDescent="0.2">
      <c r="A128" s="1" t="s">
        <v>53</v>
      </c>
      <c r="B128" s="1" t="s">
        <v>56</v>
      </c>
      <c r="C128" s="1" t="s">
        <v>237</v>
      </c>
      <c r="D128" s="2">
        <v>564</v>
      </c>
      <c r="E128" s="2">
        <v>406</v>
      </c>
      <c r="F128" s="2">
        <f t="shared" si="3"/>
        <v>970</v>
      </c>
      <c r="G128" s="3">
        <f t="shared" si="4"/>
        <v>0.58144329896907221</v>
      </c>
      <c r="H128" s="3">
        <f t="shared" si="5"/>
        <v>0.41855670103092785</v>
      </c>
      <c r="I128" s="1" t="s">
        <v>523</v>
      </c>
      <c r="J128" s="2">
        <v>597</v>
      </c>
      <c r="K128" s="2">
        <v>396</v>
      </c>
      <c r="L128" s="2">
        <v>993</v>
      </c>
      <c r="M128" s="3">
        <v>0.6012084592145015</v>
      </c>
      <c r="N128" s="6">
        <v>-1.98</v>
      </c>
    </row>
    <row r="129" spans="1:14" x14ac:dyDescent="0.2">
      <c r="A129" s="1" t="s">
        <v>53</v>
      </c>
      <c r="B129" s="1" t="s">
        <v>56</v>
      </c>
      <c r="C129" s="1" t="s">
        <v>238</v>
      </c>
      <c r="D129" s="2">
        <v>707</v>
      </c>
      <c r="E129" s="2">
        <v>481</v>
      </c>
      <c r="F129" s="2">
        <f t="shared" si="3"/>
        <v>1188</v>
      </c>
      <c r="G129" s="3">
        <f t="shared" si="4"/>
        <v>0.59511784511784516</v>
      </c>
      <c r="H129" s="3">
        <f t="shared" si="5"/>
        <v>0.4048821548821549</v>
      </c>
      <c r="I129" s="1" t="s">
        <v>523</v>
      </c>
      <c r="J129" s="2">
        <v>678</v>
      </c>
      <c r="K129" s="2">
        <v>451</v>
      </c>
      <c r="L129" s="2">
        <v>1129</v>
      </c>
      <c r="M129" s="3">
        <v>0.60053144375553591</v>
      </c>
      <c r="N129" s="6">
        <v>-0.54</v>
      </c>
    </row>
    <row r="130" spans="1:14" x14ac:dyDescent="0.2">
      <c r="A130" s="1" t="s">
        <v>53</v>
      </c>
      <c r="B130" s="1" t="s">
        <v>56</v>
      </c>
      <c r="C130" s="1" t="s">
        <v>239</v>
      </c>
      <c r="D130" s="2">
        <v>523</v>
      </c>
      <c r="E130" s="2">
        <v>371</v>
      </c>
      <c r="F130" s="2">
        <f t="shared" si="3"/>
        <v>894</v>
      </c>
      <c r="G130" s="3">
        <f t="shared" si="4"/>
        <v>0.58501118568232657</v>
      </c>
      <c r="H130" s="3">
        <f t="shared" si="5"/>
        <v>0.41498881431767337</v>
      </c>
      <c r="I130" s="1" t="s">
        <v>523</v>
      </c>
      <c r="J130" s="2">
        <v>524</v>
      </c>
      <c r="K130" s="2">
        <v>327</v>
      </c>
      <c r="L130" s="2">
        <v>851</v>
      </c>
      <c r="M130" s="3">
        <v>0.61574618096357225</v>
      </c>
      <c r="N130" s="6">
        <v>-3.07</v>
      </c>
    </row>
    <row r="131" spans="1:14" x14ac:dyDescent="0.2">
      <c r="A131" s="1" t="s">
        <v>53</v>
      </c>
      <c r="B131" s="1" t="s">
        <v>56</v>
      </c>
      <c r="C131" s="1" t="s">
        <v>240</v>
      </c>
      <c r="D131" s="2">
        <v>401</v>
      </c>
      <c r="E131" s="2">
        <v>367</v>
      </c>
      <c r="F131" s="2">
        <f t="shared" si="3"/>
        <v>768</v>
      </c>
      <c r="G131" s="3">
        <f t="shared" si="4"/>
        <v>0.52213541666666663</v>
      </c>
      <c r="H131" s="3">
        <f t="shared" si="5"/>
        <v>0.47786458333333331</v>
      </c>
      <c r="I131" s="1" t="s">
        <v>523</v>
      </c>
      <c r="J131" s="2">
        <v>437</v>
      </c>
      <c r="K131" s="2">
        <v>344</v>
      </c>
      <c r="L131" s="2">
        <v>781</v>
      </c>
      <c r="M131" s="3">
        <v>0.55953905249679903</v>
      </c>
      <c r="N131" s="6">
        <v>-3.74</v>
      </c>
    </row>
    <row r="132" spans="1:14" x14ac:dyDescent="0.2">
      <c r="A132" s="1" t="s">
        <v>53</v>
      </c>
      <c r="B132" s="1" t="s">
        <v>56</v>
      </c>
      <c r="C132" s="1" t="s">
        <v>241</v>
      </c>
      <c r="D132" s="2">
        <v>534</v>
      </c>
      <c r="E132" s="2">
        <v>347</v>
      </c>
      <c r="F132" s="2">
        <f t="shared" si="3"/>
        <v>881</v>
      </c>
      <c r="G132" s="3">
        <f t="shared" si="4"/>
        <v>0.60612939841089675</v>
      </c>
      <c r="H132" s="3">
        <f t="shared" si="5"/>
        <v>0.39387060158910331</v>
      </c>
      <c r="I132" s="1" t="s">
        <v>523</v>
      </c>
      <c r="J132" s="2">
        <v>581</v>
      </c>
      <c r="K132" s="2">
        <v>342</v>
      </c>
      <c r="L132" s="2">
        <v>923</v>
      </c>
      <c r="M132" s="3">
        <v>0.62946912242686892</v>
      </c>
      <c r="N132" s="6">
        <v>-2.33</v>
      </c>
    </row>
    <row r="133" spans="1:14" x14ac:dyDescent="0.2">
      <c r="A133" s="1" t="s">
        <v>53</v>
      </c>
      <c r="B133" s="1" t="s">
        <v>56</v>
      </c>
      <c r="C133" s="1" t="s">
        <v>242</v>
      </c>
      <c r="D133" s="2">
        <v>568</v>
      </c>
      <c r="E133" s="2">
        <v>421</v>
      </c>
      <c r="F133" s="2">
        <f t="shared" si="3"/>
        <v>989</v>
      </c>
      <c r="G133" s="3">
        <f t="shared" si="4"/>
        <v>0.57431749241658236</v>
      </c>
      <c r="H133" s="3">
        <f t="shared" si="5"/>
        <v>0.42568250758341758</v>
      </c>
      <c r="I133" s="1" t="s">
        <v>523</v>
      </c>
      <c r="J133" s="2">
        <v>591</v>
      </c>
      <c r="K133" s="2">
        <v>390</v>
      </c>
      <c r="L133" s="2">
        <v>981</v>
      </c>
      <c r="M133" s="3">
        <v>0.60244648318042815</v>
      </c>
      <c r="N133" s="6">
        <v>-2.81</v>
      </c>
    </row>
    <row r="134" spans="1:14" x14ac:dyDescent="0.2">
      <c r="A134" s="1" t="s">
        <v>53</v>
      </c>
      <c r="B134" s="1" t="s">
        <v>57</v>
      </c>
      <c r="C134" s="1" t="s">
        <v>243</v>
      </c>
      <c r="D134" s="2">
        <v>540</v>
      </c>
      <c r="E134" s="2">
        <v>466</v>
      </c>
      <c r="F134" s="2">
        <f t="shared" si="3"/>
        <v>1006</v>
      </c>
      <c r="G134" s="3">
        <f t="shared" si="4"/>
        <v>0.53677932405566597</v>
      </c>
      <c r="H134" s="3">
        <f t="shared" si="5"/>
        <v>0.46322067594433397</v>
      </c>
      <c r="I134" s="1" t="s">
        <v>523</v>
      </c>
      <c r="J134" s="2">
        <v>557</v>
      </c>
      <c r="K134" s="2">
        <v>454</v>
      </c>
      <c r="L134" s="2">
        <v>1011</v>
      </c>
      <c r="M134" s="3">
        <v>0.55093966369930758</v>
      </c>
      <c r="N134" s="6">
        <v>-1.42</v>
      </c>
    </row>
    <row r="135" spans="1:14" x14ac:dyDescent="0.2">
      <c r="A135" s="1" t="s">
        <v>53</v>
      </c>
      <c r="B135" s="1" t="s">
        <v>57</v>
      </c>
      <c r="C135" s="1" t="s">
        <v>244</v>
      </c>
      <c r="D135" s="2">
        <v>462</v>
      </c>
      <c r="E135" s="2">
        <v>538</v>
      </c>
      <c r="F135" s="2">
        <f t="shared" si="3"/>
        <v>1000</v>
      </c>
      <c r="G135" s="3">
        <f t="shared" si="4"/>
        <v>0.46200000000000002</v>
      </c>
      <c r="H135" s="3">
        <f t="shared" si="5"/>
        <v>0.53800000000000003</v>
      </c>
      <c r="I135" s="1" t="s">
        <v>523</v>
      </c>
      <c r="J135" s="2">
        <v>467</v>
      </c>
      <c r="K135" s="2">
        <v>513</v>
      </c>
      <c r="L135" s="2">
        <v>980</v>
      </c>
      <c r="M135" s="3">
        <v>0.47653061224489801</v>
      </c>
      <c r="N135" s="6">
        <v>-1.45</v>
      </c>
    </row>
    <row r="136" spans="1:14" x14ac:dyDescent="0.2">
      <c r="A136" s="1" t="s">
        <v>53</v>
      </c>
      <c r="B136" s="1" t="s">
        <v>57</v>
      </c>
      <c r="C136" s="1" t="s">
        <v>245</v>
      </c>
      <c r="D136" s="2">
        <v>530</v>
      </c>
      <c r="E136" s="2">
        <v>550</v>
      </c>
      <c r="F136" s="2">
        <f t="shared" si="3"/>
        <v>1080</v>
      </c>
      <c r="G136" s="3">
        <f t="shared" si="4"/>
        <v>0.49074074074074076</v>
      </c>
      <c r="H136" s="3">
        <f t="shared" si="5"/>
        <v>0.5092592592592593</v>
      </c>
      <c r="I136" s="1" t="s">
        <v>523</v>
      </c>
      <c r="J136" s="2">
        <v>536</v>
      </c>
      <c r="K136" s="2">
        <v>524</v>
      </c>
      <c r="L136" s="2">
        <v>1060</v>
      </c>
      <c r="M136" s="3">
        <v>0.50566037735849056</v>
      </c>
      <c r="N136" s="6">
        <v>-1.49</v>
      </c>
    </row>
    <row r="137" spans="1:14" x14ac:dyDescent="0.2">
      <c r="A137" s="1" t="s">
        <v>53</v>
      </c>
      <c r="B137" s="1" t="s">
        <v>58</v>
      </c>
      <c r="C137" s="1" t="s">
        <v>58</v>
      </c>
      <c r="D137" s="2">
        <v>739</v>
      </c>
      <c r="E137" s="2">
        <v>831</v>
      </c>
      <c r="F137" s="2">
        <f t="shared" si="3"/>
        <v>1570</v>
      </c>
      <c r="G137" s="3">
        <f t="shared" si="4"/>
        <v>0.47070063694267517</v>
      </c>
      <c r="H137" s="3">
        <f t="shared" si="5"/>
        <v>0.52929936305732483</v>
      </c>
      <c r="I137" s="1" t="s">
        <v>523</v>
      </c>
      <c r="J137" s="2">
        <v>735</v>
      </c>
      <c r="K137" s="2">
        <v>804</v>
      </c>
      <c r="L137" s="2">
        <v>1539</v>
      </c>
      <c r="M137" s="3">
        <v>0.47758284600389861</v>
      </c>
      <c r="N137" s="6">
        <v>-0.69</v>
      </c>
    </row>
    <row r="138" spans="1:14" x14ac:dyDescent="0.2">
      <c r="A138" s="1" t="s">
        <v>53</v>
      </c>
      <c r="B138" s="1" t="s">
        <v>59</v>
      </c>
      <c r="C138" s="1" t="s">
        <v>246</v>
      </c>
      <c r="D138" s="2">
        <v>379</v>
      </c>
      <c r="E138" s="2">
        <v>402</v>
      </c>
      <c r="F138" s="2">
        <f t="shared" si="3"/>
        <v>781</v>
      </c>
      <c r="G138" s="3">
        <f t="shared" si="4"/>
        <v>0.48527528809218951</v>
      </c>
      <c r="H138" s="3">
        <f t="shared" si="5"/>
        <v>0.51472471190781055</v>
      </c>
      <c r="I138" s="1" t="s">
        <v>523</v>
      </c>
      <c r="J138" s="2">
        <v>372</v>
      </c>
      <c r="K138" s="2">
        <v>383</v>
      </c>
      <c r="L138" s="2">
        <v>755</v>
      </c>
      <c r="M138" s="3">
        <v>0.49271523178807952</v>
      </c>
      <c r="N138" s="6">
        <v>-0.74</v>
      </c>
    </row>
    <row r="139" spans="1:14" x14ac:dyDescent="0.2">
      <c r="A139" s="1" t="s">
        <v>53</v>
      </c>
      <c r="B139" s="1" t="s">
        <v>59</v>
      </c>
      <c r="C139" s="1" t="s">
        <v>247</v>
      </c>
      <c r="D139" s="2">
        <v>526</v>
      </c>
      <c r="E139" s="2">
        <v>530</v>
      </c>
      <c r="F139" s="2">
        <f t="shared" si="3"/>
        <v>1056</v>
      </c>
      <c r="G139" s="3">
        <f t="shared" si="4"/>
        <v>0.49810606060606061</v>
      </c>
      <c r="H139" s="3">
        <f t="shared" si="5"/>
        <v>0.50189393939393945</v>
      </c>
      <c r="I139" s="1" t="s">
        <v>523</v>
      </c>
      <c r="J139" s="2">
        <v>527</v>
      </c>
      <c r="K139" s="2">
        <v>515</v>
      </c>
      <c r="L139" s="2">
        <v>1042</v>
      </c>
      <c r="M139" s="3">
        <v>0.50575815738963537</v>
      </c>
      <c r="N139" s="6">
        <v>-0.77</v>
      </c>
    </row>
    <row r="140" spans="1:14" x14ac:dyDescent="0.2">
      <c r="A140" s="1" t="s">
        <v>53</v>
      </c>
      <c r="B140" s="1" t="s">
        <v>60</v>
      </c>
      <c r="C140" s="1" t="s">
        <v>248</v>
      </c>
      <c r="D140" s="2">
        <v>554</v>
      </c>
      <c r="E140" s="2">
        <v>529</v>
      </c>
      <c r="F140" s="2">
        <f t="shared" ref="F140:F203" si="6">IF(COUNTA(D140:E140)=0,"",SUM(D140:E140))</f>
        <v>1083</v>
      </c>
      <c r="G140" s="3">
        <f t="shared" ref="G140:G203" si="7">IF(OR(F140="",F140=0),"",D140/F140)</f>
        <v>0.51154201292705448</v>
      </c>
      <c r="H140" s="3">
        <f t="shared" ref="H140:H203" si="8">IF(OR(F140="",F140=0),"",E140/F140)</f>
        <v>0.48845798707294552</v>
      </c>
      <c r="I140" s="1" t="s">
        <v>523</v>
      </c>
      <c r="J140" s="2">
        <v>562</v>
      </c>
      <c r="K140" s="2">
        <v>497</v>
      </c>
      <c r="L140" s="2">
        <v>1059</v>
      </c>
      <c r="M140" s="3">
        <v>0.53068932955618509</v>
      </c>
      <c r="N140" s="6">
        <v>-1.91</v>
      </c>
    </row>
    <row r="141" spans="1:14" x14ac:dyDescent="0.2">
      <c r="A141" s="1" t="s">
        <v>53</v>
      </c>
      <c r="B141" s="1" t="s">
        <v>60</v>
      </c>
      <c r="C141" s="1" t="s">
        <v>249</v>
      </c>
      <c r="D141" s="2">
        <v>549</v>
      </c>
      <c r="E141" s="2">
        <v>528</v>
      </c>
      <c r="F141" s="2">
        <f t="shared" si="6"/>
        <v>1077</v>
      </c>
      <c r="G141" s="3">
        <f t="shared" si="7"/>
        <v>0.50974930362116988</v>
      </c>
      <c r="H141" s="3">
        <f t="shared" si="8"/>
        <v>0.49025069637883006</v>
      </c>
      <c r="I141" s="1" t="s">
        <v>523</v>
      </c>
      <c r="J141" s="2">
        <v>566</v>
      </c>
      <c r="K141" s="2">
        <v>509</v>
      </c>
      <c r="L141" s="2">
        <v>1075</v>
      </c>
      <c r="M141" s="3">
        <v>0.5265116279069767</v>
      </c>
      <c r="N141" s="6">
        <v>-1.68</v>
      </c>
    </row>
    <row r="142" spans="1:14" x14ac:dyDescent="0.2">
      <c r="A142" s="1" t="s">
        <v>53</v>
      </c>
      <c r="B142" s="1" t="s">
        <v>60</v>
      </c>
      <c r="C142" s="1" t="s">
        <v>250</v>
      </c>
      <c r="D142" s="2">
        <v>747</v>
      </c>
      <c r="E142" s="2">
        <v>818</v>
      </c>
      <c r="F142" s="2">
        <f t="shared" si="6"/>
        <v>1565</v>
      </c>
      <c r="G142" s="3">
        <f t="shared" si="7"/>
        <v>0.47731629392971248</v>
      </c>
      <c r="H142" s="3">
        <f t="shared" si="8"/>
        <v>0.52268370607028758</v>
      </c>
      <c r="I142" s="1" t="s">
        <v>523</v>
      </c>
      <c r="J142" s="2">
        <v>826</v>
      </c>
      <c r="K142" s="2">
        <v>801</v>
      </c>
      <c r="L142" s="2">
        <v>1627</v>
      </c>
      <c r="M142" s="3">
        <v>0.50768285187461581</v>
      </c>
      <c r="N142" s="6">
        <v>-3.04</v>
      </c>
    </row>
    <row r="143" spans="1:14" x14ac:dyDescent="0.2">
      <c r="A143" s="1" t="s">
        <v>53</v>
      </c>
      <c r="B143" s="1" t="s">
        <v>60</v>
      </c>
      <c r="C143" s="1" t="s">
        <v>251</v>
      </c>
      <c r="D143" s="2">
        <v>654</v>
      </c>
      <c r="E143" s="2">
        <v>552</v>
      </c>
      <c r="F143" s="2">
        <f t="shared" si="6"/>
        <v>1206</v>
      </c>
      <c r="G143" s="3">
        <f t="shared" si="7"/>
        <v>0.54228855721393032</v>
      </c>
      <c r="H143" s="3">
        <f t="shared" si="8"/>
        <v>0.45771144278606968</v>
      </c>
      <c r="I143" s="1" t="s">
        <v>523</v>
      </c>
      <c r="J143" s="2">
        <v>686</v>
      </c>
      <c r="K143" s="2">
        <v>580</v>
      </c>
      <c r="L143" s="2">
        <v>1266</v>
      </c>
      <c r="M143" s="3">
        <v>0.54186413902053709</v>
      </c>
      <c r="N143" s="6">
        <v>0.04</v>
      </c>
    </row>
    <row r="144" spans="1:14" x14ac:dyDescent="0.2">
      <c r="A144" s="1" t="s">
        <v>53</v>
      </c>
      <c r="B144" s="1" t="s">
        <v>60</v>
      </c>
      <c r="C144" s="1" t="s">
        <v>252</v>
      </c>
      <c r="D144" s="2">
        <v>344</v>
      </c>
      <c r="E144" s="2">
        <v>360</v>
      </c>
      <c r="F144" s="2">
        <f t="shared" si="6"/>
        <v>704</v>
      </c>
      <c r="G144" s="3">
        <f t="shared" si="7"/>
        <v>0.48863636363636365</v>
      </c>
      <c r="H144" s="3">
        <f t="shared" si="8"/>
        <v>0.51136363636363635</v>
      </c>
      <c r="I144" s="1" t="s">
        <v>523</v>
      </c>
      <c r="J144" s="2">
        <v>332</v>
      </c>
      <c r="K144" s="2">
        <v>340</v>
      </c>
      <c r="L144" s="2">
        <v>672</v>
      </c>
      <c r="M144" s="3">
        <v>0.49404761904761912</v>
      </c>
      <c r="N144" s="6">
        <v>-0.54</v>
      </c>
    </row>
    <row r="145" spans="1:14" x14ac:dyDescent="0.2">
      <c r="A145" s="1" t="s">
        <v>53</v>
      </c>
      <c r="B145" s="1" t="s">
        <v>60</v>
      </c>
      <c r="C145" s="1" t="s">
        <v>253</v>
      </c>
      <c r="D145" s="2">
        <v>668</v>
      </c>
      <c r="E145" s="2">
        <v>555</v>
      </c>
      <c r="F145" s="2">
        <f t="shared" si="6"/>
        <v>1223</v>
      </c>
      <c r="G145" s="3">
        <f t="shared" si="7"/>
        <v>0.54619787408013087</v>
      </c>
      <c r="H145" s="3">
        <f t="shared" si="8"/>
        <v>0.45380212591986918</v>
      </c>
      <c r="I145" s="1" t="s">
        <v>523</v>
      </c>
      <c r="J145" s="2">
        <v>691</v>
      </c>
      <c r="K145" s="2">
        <v>509</v>
      </c>
      <c r="L145" s="2">
        <v>1200</v>
      </c>
      <c r="M145" s="3">
        <v>0.57583333333333331</v>
      </c>
      <c r="N145" s="6">
        <v>-2.96</v>
      </c>
    </row>
    <row r="146" spans="1:14" x14ac:dyDescent="0.2">
      <c r="A146" s="1" t="s">
        <v>53</v>
      </c>
      <c r="B146" s="1" t="s">
        <v>61</v>
      </c>
      <c r="C146" s="1" t="s">
        <v>254</v>
      </c>
      <c r="D146" s="2">
        <v>605</v>
      </c>
      <c r="E146" s="2">
        <v>286</v>
      </c>
      <c r="F146" s="2">
        <f t="shared" si="6"/>
        <v>891</v>
      </c>
      <c r="G146" s="3">
        <f t="shared" si="7"/>
        <v>0.67901234567901236</v>
      </c>
      <c r="H146" s="3">
        <f t="shared" si="8"/>
        <v>0.32098765432098764</v>
      </c>
      <c r="I146" s="1" t="s">
        <v>523</v>
      </c>
      <c r="J146" s="2">
        <v>579</v>
      </c>
      <c r="K146" s="2">
        <v>292</v>
      </c>
      <c r="L146" s="2">
        <v>871</v>
      </c>
      <c r="M146" s="3">
        <v>0.66475315729047069</v>
      </c>
      <c r="N146" s="6">
        <v>1.43</v>
      </c>
    </row>
    <row r="147" spans="1:14" x14ac:dyDescent="0.2">
      <c r="A147" s="1" t="s">
        <v>53</v>
      </c>
      <c r="B147" s="1" t="s">
        <v>61</v>
      </c>
      <c r="C147" s="1" t="s">
        <v>255</v>
      </c>
      <c r="D147" s="2">
        <v>446</v>
      </c>
      <c r="E147" s="2">
        <v>299</v>
      </c>
      <c r="F147" s="2">
        <f t="shared" si="6"/>
        <v>745</v>
      </c>
      <c r="G147" s="3">
        <f t="shared" si="7"/>
        <v>0.59865771812080537</v>
      </c>
      <c r="H147" s="3">
        <f t="shared" si="8"/>
        <v>0.40134228187919463</v>
      </c>
      <c r="I147" s="1" t="s">
        <v>523</v>
      </c>
      <c r="J147" s="2">
        <v>440</v>
      </c>
      <c r="K147" s="2">
        <v>262</v>
      </c>
      <c r="L147" s="2">
        <v>702</v>
      </c>
      <c r="M147" s="3">
        <v>0.62678062678062674</v>
      </c>
      <c r="N147" s="6">
        <v>-2.81</v>
      </c>
    </row>
    <row r="148" spans="1:14" x14ac:dyDescent="0.2">
      <c r="A148" s="1" t="s">
        <v>53</v>
      </c>
      <c r="B148" s="1" t="s">
        <v>61</v>
      </c>
      <c r="C148" s="1" t="s">
        <v>256</v>
      </c>
      <c r="D148" s="2">
        <v>455</v>
      </c>
      <c r="E148" s="2">
        <v>250</v>
      </c>
      <c r="F148" s="2">
        <f t="shared" si="6"/>
        <v>705</v>
      </c>
      <c r="G148" s="3">
        <f t="shared" si="7"/>
        <v>0.64539007092198586</v>
      </c>
      <c r="H148" s="3">
        <f t="shared" si="8"/>
        <v>0.3546099290780142</v>
      </c>
      <c r="I148" s="1" t="s">
        <v>523</v>
      </c>
      <c r="J148" s="2">
        <v>414</v>
      </c>
      <c r="K148" s="2">
        <v>239</v>
      </c>
      <c r="L148" s="2">
        <v>653</v>
      </c>
      <c r="M148" s="3">
        <v>0.63399693721286365</v>
      </c>
      <c r="N148" s="6">
        <v>1.1399999999999999</v>
      </c>
    </row>
    <row r="149" spans="1:14" x14ac:dyDescent="0.2">
      <c r="A149" s="1" t="s">
        <v>53</v>
      </c>
      <c r="B149" s="1" t="s">
        <v>62</v>
      </c>
      <c r="C149" s="1" t="s">
        <v>62</v>
      </c>
      <c r="D149" s="2">
        <v>381</v>
      </c>
      <c r="E149" s="2">
        <v>358</v>
      </c>
      <c r="F149" s="2">
        <f t="shared" si="6"/>
        <v>739</v>
      </c>
      <c r="G149" s="3">
        <f t="shared" si="7"/>
        <v>0.51556156968876865</v>
      </c>
      <c r="H149" s="3">
        <f t="shared" si="8"/>
        <v>0.4844384303112314</v>
      </c>
      <c r="I149" s="1" t="s">
        <v>523</v>
      </c>
      <c r="J149" s="2">
        <v>379</v>
      </c>
      <c r="K149" s="2">
        <v>330</v>
      </c>
      <c r="L149" s="2">
        <v>709</v>
      </c>
      <c r="M149" s="3">
        <v>0.5345557122708039</v>
      </c>
      <c r="N149" s="6">
        <v>-1.9</v>
      </c>
    </row>
    <row r="150" spans="1:14" x14ac:dyDescent="0.2">
      <c r="A150" s="1" t="s">
        <v>53</v>
      </c>
      <c r="B150" s="1" t="s">
        <v>63</v>
      </c>
      <c r="C150" s="1" t="s">
        <v>63</v>
      </c>
      <c r="D150" s="2">
        <v>589</v>
      </c>
      <c r="E150" s="2">
        <v>1465</v>
      </c>
      <c r="F150" s="2">
        <f t="shared" si="6"/>
        <v>2054</v>
      </c>
      <c r="G150" s="3">
        <f t="shared" si="7"/>
        <v>0.28675754625121713</v>
      </c>
      <c r="H150" s="3">
        <f t="shared" si="8"/>
        <v>0.71324245374878281</v>
      </c>
      <c r="I150" s="1" t="s">
        <v>523</v>
      </c>
      <c r="J150" s="2">
        <v>654</v>
      </c>
      <c r="K150" s="2">
        <v>1439</v>
      </c>
      <c r="L150" s="2">
        <v>2093</v>
      </c>
      <c r="M150" s="3">
        <v>0.3124701385570951</v>
      </c>
      <c r="N150" s="6">
        <v>-2.57</v>
      </c>
    </row>
    <row r="151" spans="1:14" x14ac:dyDescent="0.2">
      <c r="A151" s="1" t="s">
        <v>53</v>
      </c>
      <c r="B151" s="1" t="s">
        <v>64</v>
      </c>
      <c r="C151" s="1" t="s">
        <v>257</v>
      </c>
      <c r="D151" s="2">
        <v>912</v>
      </c>
      <c r="E151" s="2">
        <v>1035</v>
      </c>
      <c r="F151" s="2">
        <f t="shared" si="6"/>
        <v>1947</v>
      </c>
      <c r="G151" s="3">
        <f t="shared" si="7"/>
        <v>0.46841294298921415</v>
      </c>
      <c r="H151" s="3">
        <f t="shared" si="8"/>
        <v>0.53158705701078579</v>
      </c>
      <c r="I151" s="1" t="s">
        <v>523</v>
      </c>
      <c r="J151" s="2">
        <v>928</v>
      </c>
      <c r="K151" s="2">
        <v>988</v>
      </c>
      <c r="L151" s="2">
        <v>1916</v>
      </c>
      <c r="M151" s="3">
        <v>0.48434237995824642</v>
      </c>
      <c r="N151" s="6">
        <v>-1.59</v>
      </c>
    </row>
    <row r="152" spans="1:14" x14ac:dyDescent="0.2">
      <c r="A152" s="1" t="s">
        <v>53</v>
      </c>
      <c r="B152" s="1" t="s">
        <v>64</v>
      </c>
      <c r="C152" s="1" t="s">
        <v>258</v>
      </c>
      <c r="D152" s="2">
        <v>1081</v>
      </c>
      <c r="E152" s="2">
        <v>1158</v>
      </c>
      <c r="F152" s="2">
        <f t="shared" si="6"/>
        <v>2239</v>
      </c>
      <c r="G152" s="3">
        <f t="shared" si="7"/>
        <v>0.48280482358195626</v>
      </c>
      <c r="H152" s="3">
        <f t="shared" si="8"/>
        <v>0.5171951764180438</v>
      </c>
      <c r="I152" s="1" t="s">
        <v>523</v>
      </c>
      <c r="J152" s="2">
        <v>1082</v>
      </c>
      <c r="K152" s="2">
        <v>1101</v>
      </c>
      <c r="L152" s="2">
        <v>2183</v>
      </c>
      <c r="M152" s="3">
        <v>0.49564819056344478</v>
      </c>
      <c r="N152" s="6">
        <v>-1.28</v>
      </c>
    </row>
    <row r="153" spans="1:14" x14ac:dyDescent="0.2">
      <c r="A153" s="1" t="s">
        <v>53</v>
      </c>
      <c r="B153" s="1" t="s">
        <v>64</v>
      </c>
      <c r="C153" s="1" t="s">
        <v>259</v>
      </c>
      <c r="D153" s="2">
        <v>1787</v>
      </c>
      <c r="E153" s="2">
        <v>1959</v>
      </c>
      <c r="F153" s="2">
        <f t="shared" si="6"/>
        <v>3746</v>
      </c>
      <c r="G153" s="3">
        <f t="shared" si="7"/>
        <v>0.47704217832354512</v>
      </c>
      <c r="H153" s="3">
        <f t="shared" si="8"/>
        <v>0.52295782167645488</v>
      </c>
      <c r="I153" s="1" t="s">
        <v>523</v>
      </c>
      <c r="J153" s="2">
        <v>1799</v>
      </c>
      <c r="K153" s="2">
        <v>1810</v>
      </c>
      <c r="L153" s="2">
        <v>3609</v>
      </c>
      <c r="M153" s="3">
        <v>0.49847603214186748</v>
      </c>
      <c r="N153" s="6">
        <v>-2.14</v>
      </c>
    </row>
    <row r="154" spans="1:14" x14ac:dyDescent="0.2">
      <c r="A154" s="1" t="s">
        <v>53</v>
      </c>
      <c r="B154" s="1" t="s">
        <v>64</v>
      </c>
      <c r="C154" s="1" t="s">
        <v>260</v>
      </c>
      <c r="D154" s="2">
        <v>886</v>
      </c>
      <c r="E154" s="2">
        <v>1002</v>
      </c>
      <c r="F154" s="2">
        <f t="shared" si="6"/>
        <v>1888</v>
      </c>
      <c r="G154" s="3">
        <f t="shared" si="7"/>
        <v>0.46927966101694918</v>
      </c>
      <c r="H154" s="3">
        <f t="shared" si="8"/>
        <v>0.53072033898305082</v>
      </c>
      <c r="I154" s="1" t="s">
        <v>523</v>
      </c>
      <c r="J154" s="2">
        <v>906</v>
      </c>
      <c r="K154" s="2">
        <v>980</v>
      </c>
      <c r="L154" s="2">
        <v>1886</v>
      </c>
      <c r="M154" s="3">
        <v>0.48038176033934249</v>
      </c>
      <c r="N154" s="6">
        <v>-1.1100000000000001</v>
      </c>
    </row>
    <row r="155" spans="1:14" x14ac:dyDescent="0.2">
      <c r="A155" s="1" t="s">
        <v>53</v>
      </c>
      <c r="B155" s="1" t="s">
        <v>64</v>
      </c>
      <c r="C155" s="1" t="s">
        <v>261</v>
      </c>
      <c r="D155" s="2">
        <v>791</v>
      </c>
      <c r="E155" s="2">
        <v>902</v>
      </c>
      <c r="F155" s="2">
        <f t="shared" si="6"/>
        <v>1693</v>
      </c>
      <c r="G155" s="3">
        <f t="shared" si="7"/>
        <v>0.46721795629060836</v>
      </c>
      <c r="H155" s="3">
        <f t="shared" si="8"/>
        <v>0.53278204370939164</v>
      </c>
      <c r="I155" s="1" t="s">
        <v>523</v>
      </c>
      <c r="J155" s="2">
        <v>852</v>
      </c>
      <c r="K155" s="2">
        <v>912</v>
      </c>
      <c r="L155" s="2">
        <v>1764</v>
      </c>
      <c r="M155" s="3">
        <v>0.48299319727891149</v>
      </c>
      <c r="N155" s="6">
        <v>-1.58</v>
      </c>
    </row>
    <row r="156" spans="1:14" x14ac:dyDescent="0.2">
      <c r="A156" s="1" t="s">
        <v>53</v>
      </c>
      <c r="B156" s="1" t="s">
        <v>64</v>
      </c>
      <c r="C156" s="1" t="s">
        <v>262</v>
      </c>
      <c r="D156" s="2">
        <v>666</v>
      </c>
      <c r="E156" s="2">
        <v>718</v>
      </c>
      <c r="F156" s="2">
        <f t="shared" si="6"/>
        <v>1384</v>
      </c>
      <c r="G156" s="3">
        <f t="shared" si="7"/>
        <v>0.48121387283236994</v>
      </c>
      <c r="H156" s="3">
        <f t="shared" si="8"/>
        <v>0.51878612716763006</v>
      </c>
      <c r="I156" s="1" t="s">
        <v>523</v>
      </c>
      <c r="J156" s="2">
        <v>715</v>
      </c>
      <c r="K156" s="2">
        <v>677</v>
      </c>
      <c r="L156" s="2">
        <v>1392</v>
      </c>
      <c r="M156" s="3">
        <v>0.51364942528735635</v>
      </c>
      <c r="N156" s="6">
        <v>-3.24</v>
      </c>
    </row>
    <row r="157" spans="1:14" x14ac:dyDescent="0.2">
      <c r="A157" s="1" t="s">
        <v>53</v>
      </c>
      <c r="B157" s="1" t="s">
        <v>64</v>
      </c>
      <c r="C157" s="1" t="s">
        <v>263</v>
      </c>
      <c r="D157" s="2">
        <v>1546</v>
      </c>
      <c r="E157" s="2">
        <v>1591</v>
      </c>
      <c r="F157" s="2">
        <f t="shared" si="6"/>
        <v>3137</v>
      </c>
      <c r="G157" s="3">
        <f t="shared" si="7"/>
        <v>0.49282754223780684</v>
      </c>
      <c r="H157" s="3">
        <f t="shared" si="8"/>
        <v>0.50717245776219322</v>
      </c>
      <c r="I157" s="1" t="s">
        <v>523</v>
      </c>
      <c r="J157" s="2">
        <v>1480</v>
      </c>
      <c r="K157" s="2">
        <v>1588</v>
      </c>
      <c r="L157" s="2">
        <v>3068</v>
      </c>
      <c r="M157" s="3">
        <v>0.48239895697522822</v>
      </c>
      <c r="N157" s="6">
        <v>1.04</v>
      </c>
    </row>
    <row r="158" spans="1:14" x14ac:dyDescent="0.2">
      <c r="A158" s="1" t="s">
        <v>53</v>
      </c>
      <c r="B158" s="1" t="s">
        <v>64</v>
      </c>
      <c r="C158" s="1" t="s">
        <v>264</v>
      </c>
      <c r="D158" s="2">
        <v>875</v>
      </c>
      <c r="E158" s="2">
        <v>832</v>
      </c>
      <c r="F158" s="2">
        <f t="shared" si="6"/>
        <v>1707</v>
      </c>
      <c r="G158" s="3">
        <f t="shared" si="7"/>
        <v>0.51259519625073224</v>
      </c>
      <c r="H158" s="3">
        <f t="shared" si="8"/>
        <v>0.4874048037492677</v>
      </c>
      <c r="I158" s="1" t="s">
        <v>523</v>
      </c>
      <c r="J158" s="2">
        <v>890</v>
      </c>
      <c r="K158" s="2">
        <v>789</v>
      </c>
      <c r="L158" s="2">
        <v>1679</v>
      </c>
      <c r="M158" s="3">
        <v>0.53007742703990468</v>
      </c>
      <c r="N158" s="6">
        <v>-1.75</v>
      </c>
    </row>
    <row r="159" spans="1:14" x14ac:dyDescent="0.2">
      <c r="A159" s="1" t="s">
        <v>53</v>
      </c>
      <c r="B159" s="1" t="s">
        <v>64</v>
      </c>
      <c r="C159" s="1" t="s">
        <v>265</v>
      </c>
      <c r="D159" s="2">
        <v>782</v>
      </c>
      <c r="E159" s="2">
        <v>794</v>
      </c>
      <c r="F159" s="2">
        <f t="shared" si="6"/>
        <v>1576</v>
      </c>
      <c r="G159" s="3">
        <f t="shared" si="7"/>
        <v>0.49619289340101524</v>
      </c>
      <c r="H159" s="3">
        <f t="shared" si="8"/>
        <v>0.50380710659898476</v>
      </c>
      <c r="I159" s="1" t="s">
        <v>523</v>
      </c>
      <c r="J159" s="2">
        <v>817</v>
      </c>
      <c r="K159" s="2">
        <v>798</v>
      </c>
      <c r="L159" s="2">
        <v>1615</v>
      </c>
      <c r="M159" s="3">
        <v>0.50588235294117645</v>
      </c>
      <c r="N159" s="6">
        <v>-0.97</v>
      </c>
    </row>
    <row r="160" spans="1:14" x14ac:dyDescent="0.2">
      <c r="A160" s="1" t="s">
        <v>53</v>
      </c>
      <c r="B160" s="1" t="s">
        <v>64</v>
      </c>
      <c r="C160" s="1" t="s">
        <v>266</v>
      </c>
      <c r="D160" s="2">
        <v>564</v>
      </c>
      <c r="E160" s="2">
        <v>555</v>
      </c>
      <c r="F160" s="2">
        <f t="shared" si="6"/>
        <v>1119</v>
      </c>
      <c r="G160" s="3">
        <f t="shared" si="7"/>
        <v>0.50402144772117963</v>
      </c>
      <c r="H160" s="3">
        <f t="shared" si="8"/>
        <v>0.49597855227882037</v>
      </c>
      <c r="I160" s="1" t="s">
        <v>523</v>
      </c>
      <c r="J160" s="2">
        <v>552</v>
      </c>
      <c r="K160" s="2">
        <v>556</v>
      </c>
      <c r="L160" s="2">
        <v>1108</v>
      </c>
      <c r="M160" s="3">
        <v>0.49819494584837543</v>
      </c>
      <c r="N160" s="6">
        <v>0.57999999999999996</v>
      </c>
    </row>
    <row r="161" spans="1:14" x14ac:dyDescent="0.2">
      <c r="A161" s="1" t="s">
        <v>53</v>
      </c>
      <c r="B161" s="1" t="s">
        <v>65</v>
      </c>
      <c r="C161" s="1" t="s">
        <v>65</v>
      </c>
      <c r="D161" s="2">
        <v>932</v>
      </c>
      <c r="E161" s="2">
        <v>1669</v>
      </c>
      <c r="F161" s="2">
        <f t="shared" si="6"/>
        <v>2601</v>
      </c>
      <c r="G161" s="3">
        <f t="shared" si="7"/>
        <v>0.35832372164552095</v>
      </c>
      <c r="H161" s="3">
        <f t="shared" si="8"/>
        <v>0.64167627835447905</v>
      </c>
      <c r="I161" s="1" t="s">
        <v>523</v>
      </c>
      <c r="J161" s="2">
        <v>985</v>
      </c>
      <c r="K161" s="2">
        <v>1586</v>
      </c>
      <c r="L161" s="2">
        <v>2571</v>
      </c>
      <c r="M161" s="3">
        <v>0.38311940879035389</v>
      </c>
      <c r="N161" s="6">
        <v>-2.48</v>
      </c>
    </row>
    <row r="162" spans="1:14" x14ac:dyDescent="0.2">
      <c r="A162" s="1" t="s">
        <v>53</v>
      </c>
      <c r="B162" s="1" t="s">
        <v>66</v>
      </c>
      <c r="C162" s="1" t="s">
        <v>66</v>
      </c>
      <c r="D162" s="2">
        <v>512</v>
      </c>
      <c r="E162" s="2">
        <v>1051</v>
      </c>
      <c r="F162" s="2">
        <f t="shared" si="6"/>
        <v>1563</v>
      </c>
      <c r="G162" s="3">
        <f t="shared" si="7"/>
        <v>0.327575175943698</v>
      </c>
      <c r="H162" s="3">
        <f t="shared" si="8"/>
        <v>0.672424824056302</v>
      </c>
      <c r="I162" s="1" t="s">
        <v>523</v>
      </c>
      <c r="J162" s="2">
        <v>543</v>
      </c>
      <c r="K162" s="2">
        <v>990</v>
      </c>
      <c r="L162" s="2">
        <v>1533</v>
      </c>
      <c r="M162" s="3">
        <v>0.3542074363992172</v>
      </c>
      <c r="N162" s="6">
        <v>-2.66</v>
      </c>
    </row>
    <row r="163" spans="1:14" x14ac:dyDescent="0.2">
      <c r="A163" s="1" t="s">
        <v>53</v>
      </c>
      <c r="B163" s="1" t="s">
        <v>67</v>
      </c>
      <c r="C163" s="1" t="s">
        <v>267</v>
      </c>
      <c r="D163" s="2">
        <v>168</v>
      </c>
      <c r="E163" s="2">
        <v>481</v>
      </c>
      <c r="F163" s="2">
        <f t="shared" si="6"/>
        <v>649</v>
      </c>
      <c r="G163" s="3">
        <f t="shared" si="7"/>
        <v>0.25885978428351308</v>
      </c>
      <c r="H163" s="3">
        <f t="shared" si="8"/>
        <v>0.74114021571648692</v>
      </c>
      <c r="I163" s="1" t="s">
        <v>523</v>
      </c>
      <c r="J163" s="2">
        <v>181</v>
      </c>
      <c r="K163" s="2">
        <v>482</v>
      </c>
      <c r="L163" s="2">
        <v>663</v>
      </c>
      <c r="M163" s="3">
        <v>0.27300150829562592</v>
      </c>
      <c r="N163" s="6">
        <v>-1.41</v>
      </c>
    </row>
    <row r="164" spans="1:14" x14ac:dyDescent="0.2">
      <c r="A164" s="1" t="s">
        <v>53</v>
      </c>
      <c r="B164" s="1" t="s">
        <v>67</v>
      </c>
      <c r="C164" s="1" t="s">
        <v>268</v>
      </c>
      <c r="D164" s="2">
        <v>130</v>
      </c>
      <c r="E164" s="2">
        <v>333</v>
      </c>
      <c r="F164" s="2">
        <f t="shared" si="6"/>
        <v>463</v>
      </c>
      <c r="G164" s="3">
        <f t="shared" si="7"/>
        <v>0.28077753779697623</v>
      </c>
      <c r="H164" s="3">
        <f t="shared" si="8"/>
        <v>0.71922246220302377</v>
      </c>
      <c r="I164" s="1" t="s">
        <v>523</v>
      </c>
      <c r="J164" s="2">
        <v>147</v>
      </c>
      <c r="K164" s="2">
        <v>314</v>
      </c>
      <c r="L164" s="2">
        <v>461</v>
      </c>
      <c r="M164" s="3">
        <v>0.31887201735357917</v>
      </c>
      <c r="N164" s="6">
        <v>-3.81</v>
      </c>
    </row>
    <row r="165" spans="1:14" x14ac:dyDescent="0.2">
      <c r="A165" s="1" t="s">
        <v>53</v>
      </c>
      <c r="B165" s="1" t="s">
        <v>67</v>
      </c>
      <c r="C165" s="1" t="s">
        <v>269</v>
      </c>
      <c r="D165" s="2">
        <v>489</v>
      </c>
      <c r="E165" s="2">
        <v>1099</v>
      </c>
      <c r="F165" s="2">
        <f t="shared" si="6"/>
        <v>1588</v>
      </c>
      <c r="G165" s="3">
        <f t="shared" si="7"/>
        <v>0.30793450881612089</v>
      </c>
      <c r="H165" s="3">
        <f t="shared" si="8"/>
        <v>0.69206549118387906</v>
      </c>
      <c r="I165" s="1" t="s">
        <v>523</v>
      </c>
      <c r="J165" s="2">
        <v>522</v>
      </c>
      <c r="K165" s="2">
        <v>1060</v>
      </c>
      <c r="L165" s="2">
        <v>1582</v>
      </c>
      <c r="M165" s="3">
        <v>0.32996207332490518</v>
      </c>
      <c r="N165" s="6">
        <v>-2.2000000000000002</v>
      </c>
    </row>
    <row r="166" spans="1:14" x14ac:dyDescent="0.2">
      <c r="A166" s="1" t="s">
        <v>53</v>
      </c>
      <c r="B166" s="1" t="s">
        <v>68</v>
      </c>
      <c r="C166" s="1" t="s">
        <v>68</v>
      </c>
      <c r="D166" s="2">
        <v>970</v>
      </c>
      <c r="E166" s="2">
        <v>924</v>
      </c>
      <c r="F166" s="2">
        <f t="shared" si="6"/>
        <v>1894</v>
      </c>
      <c r="G166" s="3">
        <f t="shared" si="7"/>
        <v>0.5121436114044351</v>
      </c>
      <c r="H166" s="3">
        <f t="shared" si="8"/>
        <v>0.48785638859556496</v>
      </c>
      <c r="I166" s="1" t="s">
        <v>523</v>
      </c>
      <c r="J166" s="2">
        <v>980</v>
      </c>
      <c r="K166" s="2">
        <v>872</v>
      </c>
      <c r="L166" s="2">
        <v>1852</v>
      </c>
      <c r="M166" s="3">
        <v>0.52915766738660908</v>
      </c>
      <c r="N166" s="6">
        <v>-1.7</v>
      </c>
    </row>
    <row r="167" spans="1:14" x14ac:dyDescent="0.2">
      <c r="A167" s="1" t="s">
        <v>53</v>
      </c>
      <c r="B167" s="1" t="s">
        <v>69</v>
      </c>
      <c r="C167" s="1" t="s">
        <v>270</v>
      </c>
      <c r="D167" s="2">
        <v>946</v>
      </c>
      <c r="E167" s="2">
        <v>1405</v>
      </c>
      <c r="F167" s="2">
        <f t="shared" si="6"/>
        <v>2351</v>
      </c>
      <c r="G167" s="3">
        <f t="shared" si="7"/>
        <v>0.40238196512122504</v>
      </c>
      <c r="H167" s="3">
        <f t="shared" si="8"/>
        <v>0.59761803487877496</v>
      </c>
      <c r="I167" s="1" t="s">
        <v>523</v>
      </c>
      <c r="J167" s="2">
        <v>1010</v>
      </c>
      <c r="K167" s="2">
        <v>1334</v>
      </c>
      <c r="L167" s="2">
        <v>2344</v>
      </c>
      <c r="M167" s="3">
        <v>0.4308873720136519</v>
      </c>
      <c r="N167" s="6">
        <v>-2.85</v>
      </c>
    </row>
    <row r="168" spans="1:14" x14ac:dyDescent="0.2">
      <c r="A168" s="1" t="s">
        <v>53</v>
      </c>
      <c r="B168" s="1" t="s">
        <v>69</v>
      </c>
      <c r="C168" s="1" t="s">
        <v>271</v>
      </c>
      <c r="D168" s="2">
        <v>836</v>
      </c>
      <c r="E168" s="2">
        <v>1385</v>
      </c>
      <c r="F168" s="2">
        <f t="shared" si="6"/>
        <v>2221</v>
      </c>
      <c r="G168" s="3">
        <f t="shared" si="7"/>
        <v>0.37640702386312475</v>
      </c>
      <c r="H168" s="3">
        <f t="shared" si="8"/>
        <v>0.62359297613687525</v>
      </c>
      <c r="I168" s="1" t="s">
        <v>523</v>
      </c>
      <c r="J168" s="2">
        <v>860</v>
      </c>
      <c r="K168" s="2">
        <v>1332</v>
      </c>
      <c r="L168" s="2">
        <v>2192</v>
      </c>
      <c r="M168" s="3">
        <v>0.39233576642335771</v>
      </c>
      <c r="N168" s="6">
        <v>-1.59</v>
      </c>
    </row>
    <row r="169" spans="1:14" x14ac:dyDescent="0.2">
      <c r="A169" s="1" t="s">
        <v>53</v>
      </c>
      <c r="B169" s="1" t="s">
        <v>69</v>
      </c>
      <c r="C169" s="1" t="s">
        <v>272</v>
      </c>
      <c r="D169" s="2">
        <v>434</v>
      </c>
      <c r="E169" s="2">
        <v>712</v>
      </c>
      <c r="F169" s="2">
        <f t="shared" si="6"/>
        <v>1146</v>
      </c>
      <c r="G169" s="3">
        <f t="shared" si="7"/>
        <v>0.37870855148342059</v>
      </c>
      <c r="H169" s="3">
        <f t="shared" si="8"/>
        <v>0.62129144851657936</v>
      </c>
      <c r="I169" s="1" t="s">
        <v>523</v>
      </c>
      <c r="J169" s="2">
        <v>449</v>
      </c>
      <c r="K169" s="2">
        <v>705</v>
      </c>
      <c r="L169" s="2">
        <v>1154</v>
      </c>
      <c r="M169" s="3">
        <v>0.38908145580589248</v>
      </c>
      <c r="N169" s="6">
        <v>-1.04</v>
      </c>
    </row>
    <row r="170" spans="1:14" x14ac:dyDescent="0.2">
      <c r="A170" s="1" t="s">
        <v>53</v>
      </c>
      <c r="B170" s="1" t="s">
        <v>69</v>
      </c>
      <c r="C170" s="1" t="s">
        <v>273</v>
      </c>
      <c r="D170" s="2">
        <v>620</v>
      </c>
      <c r="E170" s="2">
        <v>1048</v>
      </c>
      <c r="F170" s="2">
        <f t="shared" si="6"/>
        <v>1668</v>
      </c>
      <c r="G170" s="3">
        <f t="shared" si="7"/>
        <v>0.37170263788968827</v>
      </c>
      <c r="H170" s="3">
        <f t="shared" si="8"/>
        <v>0.62829736211031173</v>
      </c>
      <c r="I170" s="1" t="s">
        <v>523</v>
      </c>
      <c r="J170" s="2">
        <v>654</v>
      </c>
      <c r="K170" s="2">
        <v>979</v>
      </c>
      <c r="L170" s="2">
        <v>1633</v>
      </c>
      <c r="M170" s="3">
        <v>0.40048989589712192</v>
      </c>
      <c r="N170" s="6">
        <v>-2.88</v>
      </c>
    </row>
    <row r="171" spans="1:14" x14ac:dyDescent="0.2">
      <c r="A171" s="1" t="s">
        <v>53</v>
      </c>
      <c r="B171" s="1" t="s">
        <v>69</v>
      </c>
      <c r="C171" s="1" t="s">
        <v>274</v>
      </c>
      <c r="D171" s="2">
        <v>532</v>
      </c>
      <c r="E171" s="2">
        <v>910</v>
      </c>
      <c r="F171" s="2">
        <f t="shared" si="6"/>
        <v>1442</v>
      </c>
      <c r="G171" s="3">
        <f t="shared" si="7"/>
        <v>0.36893203883495146</v>
      </c>
      <c r="H171" s="3">
        <f t="shared" si="8"/>
        <v>0.6310679611650486</v>
      </c>
      <c r="I171" s="1" t="s">
        <v>523</v>
      </c>
      <c r="J171" s="2">
        <v>557</v>
      </c>
      <c r="K171" s="2">
        <v>890</v>
      </c>
      <c r="L171" s="2">
        <v>1447</v>
      </c>
      <c r="M171" s="3">
        <v>0.38493434692467171</v>
      </c>
      <c r="N171" s="6">
        <v>-1.6</v>
      </c>
    </row>
    <row r="172" spans="1:14" x14ac:dyDescent="0.2">
      <c r="A172" s="1" t="s">
        <v>53</v>
      </c>
      <c r="B172" s="1" t="s">
        <v>69</v>
      </c>
      <c r="C172" s="1" t="s">
        <v>275</v>
      </c>
      <c r="D172" s="2">
        <v>497</v>
      </c>
      <c r="E172" s="2">
        <v>711</v>
      </c>
      <c r="F172" s="2">
        <f t="shared" si="6"/>
        <v>1208</v>
      </c>
      <c r="G172" s="3">
        <f t="shared" si="7"/>
        <v>0.41142384105960267</v>
      </c>
      <c r="H172" s="3">
        <f t="shared" si="8"/>
        <v>0.58857615894039739</v>
      </c>
      <c r="I172" s="1" t="s">
        <v>523</v>
      </c>
      <c r="J172" s="2">
        <v>492</v>
      </c>
      <c r="K172" s="2">
        <v>675</v>
      </c>
      <c r="L172" s="2">
        <v>1167</v>
      </c>
      <c r="M172" s="3">
        <v>0.42159383033419018</v>
      </c>
      <c r="N172" s="6">
        <v>-1.02</v>
      </c>
    </row>
    <row r="173" spans="1:14" x14ac:dyDescent="0.2">
      <c r="A173" s="1" t="s">
        <v>53</v>
      </c>
      <c r="B173" s="1" t="s">
        <v>70</v>
      </c>
      <c r="C173" s="1" t="s">
        <v>276</v>
      </c>
      <c r="D173" s="2">
        <v>643</v>
      </c>
      <c r="E173" s="2">
        <v>746</v>
      </c>
      <c r="F173" s="2">
        <f t="shared" si="6"/>
        <v>1389</v>
      </c>
      <c r="G173" s="3">
        <f t="shared" si="7"/>
        <v>0.46292296616270701</v>
      </c>
      <c r="H173" s="3">
        <f t="shared" si="8"/>
        <v>0.53707703383729299</v>
      </c>
      <c r="I173" s="1" t="s">
        <v>523</v>
      </c>
      <c r="J173" s="2">
        <v>668</v>
      </c>
      <c r="K173" s="2">
        <v>693</v>
      </c>
      <c r="L173" s="2">
        <v>1361</v>
      </c>
      <c r="M173" s="3">
        <v>0.49081557678177812</v>
      </c>
      <c r="N173" s="6">
        <v>-2.79</v>
      </c>
    </row>
    <row r="174" spans="1:14" x14ac:dyDescent="0.2">
      <c r="A174" s="1" t="s">
        <v>53</v>
      </c>
      <c r="B174" s="1" t="s">
        <v>70</v>
      </c>
      <c r="C174" s="1" t="s">
        <v>277</v>
      </c>
      <c r="D174" s="2">
        <v>760</v>
      </c>
      <c r="E174" s="2">
        <v>854</v>
      </c>
      <c r="F174" s="2">
        <f t="shared" si="6"/>
        <v>1614</v>
      </c>
      <c r="G174" s="3">
        <f t="shared" si="7"/>
        <v>0.4708798017348203</v>
      </c>
      <c r="H174" s="3">
        <f t="shared" si="8"/>
        <v>0.52912019826517964</v>
      </c>
      <c r="I174" s="1" t="s">
        <v>523</v>
      </c>
      <c r="J174" s="2">
        <v>803</v>
      </c>
      <c r="K174" s="2">
        <v>818</v>
      </c>
      <c r="L174" s="2">
        <v>1621</v>
      </c>
      <c r="M174" s="3">
        <v>0.49537322640345471</v>
      </c>
      <c r="N174" s="6">
        <v>-2.4500000000000002</v>
      </c>
    </row>
    <row r="175" spans="1:14" x14ac:dyDescent="0.2">
      <c r="A175" s="1" t="s">
        <v>53</v>
      </c>
      <c r="B175" s="1" t="s">
        <v>70</v>
      </c>
      <c r="C175" s="1" t="s">
        <v>278</v>
      </c>
      <c r="D175" s="2">
        <v>344</v>
      </c>
      <c r="E175" s="2">
        <v>372</v>
      </c>
      <c r="F175" s="2">
        <f t="shared" si="6"/>
        <v>716</v>
      </c>
      <c r="G175" s="3">
        <f t="shared" si="7"/>
        <v>0.48044692737430167</v>
      </c>
      <c r="H175" s="3">
        <f t="shared" si="8"/>
        <v>0.51955307262569828</v>
      </c>
      <c r="I175" s="1" t="s">
        <v>523</v>
      </c>
      <c r="J175" s="2">
        <v>342</v>
      </c>
      <c r="K175" s="2">
        <v>358</v>
      </c>
      <c r="L175" s="2">
        <v>700</v>
      </c>
      <c r="M175" s="3">
        <v>0.48857142857142849</v>
      </c>
      <c r="N175" s="6">
        <v>-0.81</v>
      </c>
    </row>
    <row r="176" spans="1:14" x14ac:dyDescent="0.2">
      <c r="A176" s="1" t="s">
        <v>53</v>
      </c>
      <c r="B176" s="1" t="s">
        <v>70</v>
      </c>
      <c r="C176" s="1" t="s">
        <v>279</v>
      </c>
      <c r="D176" s="2">
        <v>399</v>
      </c>
      <c r="E176" s="2">
        <v>424</v>
      </c>
      <c r="F176" s="2">
        <f t="shared" si="6"/>
        <v>823</v>
      </c>
      <c r="G176" s="3">
        <f t="shared" si="7"/>
        <v>0.48481166464155528</v>
      </c>
      <c r="H176" s="3">
        <f t="shared" si="8"/>
        <v>0.51518833535844466</v>
      </c>
      <c r="I176" s="1" t="s">
        <v>523</v>
      </c>
      <c r="J176" s="2">
        <v>411</v>
      </c>
      <c r="K176" s="2">
        <v>417</v>
      </c>
      <c r="L176" s="2">
        <v>828</v>
      </c>
      <c r="M176" s="3">
        <v>0.49637681159420288</v>
      </c>
      <c r="N176" s="6">
        <v>-1.1599999999999999</v>
      </c>
    </row>
    <row r="177" spans="1:14" x14ac:dyDescent="0.2">
      <c r="A177" s="1" t="s">
        <v>53</v>
      </c>
      <c r="B177" s="1" t="s">
        <v>70</v>
      </c>
      <c r="C177" s="1" t="s">
        <v>280</v>
      </c>
      <c r="D177" s="2">
        <v>483</v>
      </c>
      <c r="E177" s="2">
        <v>603</v>
      </c>
      <c r="F177" s="2">
        <f t="shared" si="6"/>
        <v>1086</v>
      </c>
      <c r="G177" s="3">
        <f t="shared" si="7"/>
        <v>0.44475138121546959</v>
      </c>
      <c r="H177" s="3">
        <f t="shared" si="8"/>
        <v>0.55524861878453036</v>
      </c>
      <c r="I177" s="1" t="s">
        <v>523</v>
      </c>
      <c r="J177" s="2">
        <v>525</v>
      </c>
      <c r="K177" s="2">
        <v>552</v>
      </c>
      <c r="L177" s="2">
        <v>1077</v>
      </c>
      <c r="M177" s="3">
        <v>0.48746518105849579</v>
      </c>
      <c r="N177" s="6">
        <v>-4.2699999999999996</v>
      </c>
    </row>
    <row r="178" spans="1:14" x14ac:dyDescent="0.2">
      <c r="A178" s="1" t="s">
        <v>53</v>
      </c>
      <c r="B178" s="1" t="s">
        <v>70</v>
      </c>
      <c r="C178" s="1" t="s">
        <v>281</v>
      </c>
      <c r="D178" s="2">
        <v>298</v>
      </c>
      <c r="E178" s="2">
        <v>381</v>
      </c>
      <c r="F178" s="2">
        <f t="shared" si="6"/>
        <v>679</v>
      </c>
      <c r="G178" s="3">
        <f t="shared" si="7"/>
        <v>0.43888070692194403</v>
      </c>
      <c r="H178" s="3">
        <f t="shared" si="8"/>
        <v>0.56111929307805597</v>
      </c>
      <c r="I178" s="1" t="s">
        <v>523</v>
      </c>
      <c r="J178" s="2">
        <v>313</v>
      </c>
      <c r="K178" s="2">
        <v>360</v>
      </c>
      <c r="L178" s="2">
        <v>673</v>
      </c>
      <c r="M178" s="3">
        <v>0.46508172362555722</v>
      </c>
      <c r="N178" s="6">
        <v>-2.62</v>
      </c>
    </row>
    <row r="179" spans="1:14" x14ac:dyDescent="0.2">
      <c r="A179" s="1" t="s">
        <v>53</v>
      </c>
      <c r="B179" s="1" t="s">
        <v>70</v>
      </c>
      <c r="C179" s="1" t="s">
        <v>282</v>
      </c>
      <c r="D179" s="2">
        <v>392</v>
      </c>
      <c r="E179" s="2">
        <v>397</v>
      </c>
      <c r="F179" s="2">
        <f t="shared" si="6"/>
        <v>789</v>
      </c>
      <c r="G179" s="3">
        <f t="shared" si="7"/>
        <v>0.49683143219264891</v>
      </c>
      <c r="H179" s="3">
        <f t="shared" si="8"/>
        <v>0.50316856780735109</v>
      </c>
      <c r="I179" s="1" t="s">
        <v>523</v>
      </c>
      <c r="J179" s="2">
        <v>415</v>
      </c>
      <c r="K179" s="2">
        <v>371</v>
      </c>
      <c r="L179" s="2">
        <v>786</v>
      </c>
      <c r="M179" s="3">
        <v>0.52798982188295163</v>
      </c>
      <c r="N179" s="6">
        <v>-3.12</v>
      </c>
    </row>
    <row r="180" spans="1:14" x14ac:dyDescent="0.2">
      <c r="A180" s="1" t="s">
        <v>53</v>
      </c>
      <c r="B180" s="1" t="s">
        <v>70</v>
      </c>
      <c r="C180" s="1" t="s">
        <v>283</v>
      </c>
      <c r="D180" s="2">
        <v>506</v>
      </c>
      <c r="E180" s="2">
        <v>564</v>
      </c>
      <c r="F180" s="2">
        <f t="shared" si="6"/>
        <v>1070</v>
      </c>
      <c r="G180" s="3">
        <f t="shared" si="7"/>
        <v>0.47289719626168225</v>
      </c>
      <c r="H180" s="3">
        <f t="shared" si="8"/>
        <v>0.52710280373831775</v>
      </c>
      <c r="I180" s="1" t="s">
        <v>523</v>
      </c>
      <c r="J180" s="2">
        <v>533</v>
      </c>
      <c r="K180" s="2">
        <v>535</v>
      </c>
      <c r="L180" s="2">
        <v>1068</v>
      </c>
      <c r="M180" s="3">
        <v>0.49906367041198502</v>
      </c>
      <c r="N180" s="6">
        <v>-2.62</v>
      </c>
    </row>
    <row r="181" spans="1:14" x14ac:dyDescent="0.2">
      <c r="A181" s="1" t="s">
        <v>53</v>
      </c>
      <c r="B181" s="1" t="s">
        <v>71</v>
      </c>
      <c r="C181" s="1" t="s">
        <v>284</v>
      </c>
      <c r="D181" s="2">
        <v>263</v>
      </c>
      <c r="E181" s="2">
        <v>327</v>
      </c>
      <c r="F181" s="2">
        <f t="shared" si="6"/>
        <v>590</v>
      </c>
      <c r="G181" s="3">
        <f t="shared" si="7"/>
        <v>0.4457627118644068</v>
      </c>
      <c r="H181" s="3">
        <f t="shared" si="8"/>
        <v>0.55423728813559325</v>
      </c>
      <c r="I181" s="1" t="s">
        <v>523</v>
      </c>
      <c r="J181" s="2">
        <v>242</v>
      </c>
      <c r="K181" s="2">
        <v>337</v>
      </c>
      <c r="L181" s="2">
        <v>579</v>
      </c>
      <c r="M181" s="3">
        <v>0.41796200345423151</v>
      </c>
      <c r="N181" s="6">
        <v>2.78</v>
      </c>
    </row>
    <row r="182" spans="1:14" x14ac:dyDescent="0.2">
      <c r="A182" s="1" t="s">
        <v>53</v>
      </c>
      <c r="B182" s="1" t="s">
        <v>71</v>
      </c>
      <c r="C182" s="1" t="s">
        <v>285</v>
      </c>
      <c r="D182" s="2">
        <v>200</v>
      </c>
      <c r="E182" s="2">
        <v>283</v>
      </c>
      <c r="F182" s="2">
        <f t="shared" si="6"/>
        <v>483</v>
      </c>
      <c r="G182" s="3">
        <f t="shared" si="7"/>
        <v>0.41407867494824019</v>
      </c>
      <c r="H182" s="3">
        <f t="shared" si="8"/>
        <v>0.58592132505175987</v>
      </c>
      <c r="I182" s="1" t="s">
        <v>523</v>
      </c>
      <c r="J182" s="2">
        <v>187</v>
      </c>
      <c r="K182" s="2">
        <v>292</v>
      </c>
      <c r="L182" s="2">
        <v>479</v>
      </c>
      <c r="M182" s="3">
        <v>0.39039665970772441</v>
      </c>
      <c r="N182" s="6">
        <v>2.37</v>
      </c>
    </row>
    <row r="183" spans="1:14" x14ac:dyDescent="0.2">
      <c r="A183" s="1" t="s">
        <v>53</v>
      </c>
      <c r="B183" s="1" t="s">
        <v>71</v>
      </c>
      <c r="C183" s="1" t="s">
        <v>286</v>
      </c>
      <c r="D183" s="2">
        <v>379</v>
      </c>
      <c r="E183" s="2">
        <v>546</v>
      </c>
      <c r="F183" s="2">
        <f t="shared" si="6"/>
        <v>925</v>
      </c>
      <c r="G183" s="3">
        <f t="shared" si="7"/>
        <v>0.40972972972972971</v>
      </c>
      <c r="H183" s="3">
        <f t="shared" si="8"/>
        <v>0.59027027027027024</v>
      </c>
      <c r="I183" s="1" t="s">
        <v>523</v>
      </c>
      <c r="J183" s="2">
        <v>371</v>
      </c>
      <c r="K183" s="2">
        <v>527</v>
      </c>
      <c r="L183" s="2">
        <v>898</v>
      </c>
      <c r="M183" s="3">
        <v>0.4131403118040089</v>
      </c>
      <c r="N183" s="6">
        <v>-0.34</v>
      </c>
    </row>
    <row r="184" spans="1:14" x14ac:dyDescent="0.2">
      <c r="A184" s="1" t="s">
        <v>53</v>
      </c>
      <c r="B184" s="1" t="s">
        <v>72</v>
      </c>
      <c r="C184" s="1" t="s">
        <v>287</v>
      </c>
      <c r="D184" s="2">
        <v>911</v>
      </c>
      <c r="E184" s="2">
        <v>966</v>
      </c>
      <c r="F184" s="2">
        <f t="shared" si="6"/>
        <v>1877</v>
      </c>
      <c r="G184" s="3">
        <f t="shared" si="7"/>
        <v>0.48534896110815129</v>
      </c>
      <c r="H184" s="3">
        <f t="shared" si="8"/>
        <v>0.51465103889184871</v>
      </c>
      <c r="I184" s="1" t="s">
        <v>523</v>
      </c>
      <c r="J184" s="2">
        <v>912</v>
      </c>
      <c r="K184" s="2">
        <v>964</v>
      </c>
      <c r="L184" s="2">
        <v>1876</v>
      </c>
      <c r="M184" s="3">
        <v>0.48614072494669508</v>
      </c>
      <c r="N184" s="6">
        <v>-0.08</v>
      </c>
    </row>
    <row r="185" spans="1:14" x14ac:dyDescent="0.2">
      <c r="A185" s="1" t="s">
        <v>53</v>
      </c>
      <c r="B185" s="1" t="s">
        <v>72</v>
      </c>
      <c r="C185" s="1" t="s">
        <v>288</v>
      </c>
      <c r="D185" s="2">
        <v>454</v>
      </c>
      <c r="E185" s="2">
        <v>465</v>
      </c>
      <c r="F185" s="2">
        <f t="shared" si="6"/>
        <v>919</v>
      </c>
      <c r="G185" s="3">
        <f t="shared" si="7"/>
        <v>0.49401523394994562</v>
      </c>
      <c r="H185" s="3">
        <f t="shared" si="8"/>
        <v>0.50598476605005438</v>
      </c>
      <c r="I185" s="1" t="s">
        <v>523</v>
      </c>
      <c r="J185" s="2">
        <v>449</v>
      </c>
      <c r="K185" s="2">
        <v>448</v>
      </c>
      <c r="L185" s="2">
        <v>897</v>
      </c>
      <c r="M185" s="3">
        <v>0.5005574136008919</v>
      </c>
      <c r="N185" s="6">
        <v>-0.65</v>
      </c>
    </row>
    <row r="186" spans="1:14" x14ac:dyDescent="0.2">
      <c r="A186" s="1" t="s">
        <v>53</v>
      </c>
      <c r="B186" s="1" t="s">
        <v>72</v>
      </c>
      <c r="C186" s="1" t="s">
        <v>289</v>
      </c>
      <c r="D186" s="2">
        <v>1155</v>
      </c>
      <c r="E186" s="2">
        <v>932</v>
      </c>
      <c r="F186" s="2">
        <f t="shared" si="6"/>
        <v>2087</v>
      </c>
      <c r="G186" s="3">
        <f t="shared" si="7"/>
        <v>0.55342597029228557</v>
      </c>
      <c r="H186" s="3">
        <f t="shared" si="8"/>
        <v>0.44657402970771443</v>
      </c>
      <c r="I186" s="1" t="s">
        <v>523</v>
      </c>
      <c r="J186" s="2">
        <v>1161</v>
      </c>
      <c r="K186" s="2">
        <v>915</v>
      </c>
      <c r="L186" s="2">
        <v>2076</v>
      </c>
      <c r="M186" s="3">
        <v>0.55924855491329484</v>
      </c>
      <c r="N186" s="6">
        <v>-0.57999999999999996</v>
      </c>
    </row>
    <row r="187" spans="1:14" x14ac:dyDescent="0.2">
      <c r="A187" s="1" t="s">
        <v>53</v>
      </c>
      <c r="B187" s="1" t="s">
        <v>72</v>
      </c>
      <c r="C187" s="1" t="s">
        <v>290</v>
      </c>
      <c r="D187" s="2">
        <v>488</v>
      </c>
      <c r="E187" s="2">
        <v>589</v>
      </c>
      <c r="F187" s="2">
        <f t="shared" si="6"/>
        <v>1077</v>
      </c>
      <c r="G187" s="3">
        <f t="shared" si="7"/>
        <v>0.4531104921077066</v>
      </c>
      <c r="H187" s="3">
        <f t="shared" si="8"/>
        <v>0.5468895078922934</v>
      </c>
      <c r="I187" s="1" t="s">
        <v>523</v>
      </c>
      <c r="J187" s="2">
        <v>534</v>
      </c>
      <c r="K187" s="2">
        <v>577</v>
      </c>
      <c r="L187" s="2">
        <v>1111</v>
      </c>
      <c r="M187" s="3">
        <v>0.48064806480648059</v>
      </c>
      <c r="N187" s="6">
        <v>-2.75</v>
      </c>
    </row>
    <row r="188" spans="1:14" x14ac:dyDescent="0.2">
      <c r="A188" s="1" t="s">
        <v>53</v>
      </c>
      <c r="B188" s="1" t="s">
        <v>72</v>
      </c>
      <c r="C188" s="1" t="s">
        <v>291</v>
      </c>
      <c r="D188" s="2">
        <v>1087</v>
      </c>
      <c r="E188" s="2">
        <v>814</v>
      </c>
      <c r="F188" s="2">
        <f t="shared" si="6"/>
        <v>1901</v>
      </c>
      <c r="G188" s="3">
        <f t="shared" si="7"/>
        <v>0.57180431351920047</v>
      </c>
      <c r="H188" s="3">
        <f t="shared" si="8"/>
        <v>0.42819568648079959</v>
      </c>
      <c r="I188" s="1" t="s">
        <v>523</v>
      </c>
      <c r="J188" s="2">
        <v>1123</v>
      </c>
      <c r="K188" s="2">
        <v>741</v>
      </c>
      <c r="L188" s="2">
        <v>1864</v>
      </c>
      <c r="M188" s="3">
        <v>0.60246781115879833</v>
      </c>
      <c r="N188" s="6">
        <v>-3.07</v>
      </c>
    </row>
    <row r="189" spans="1:14" x14ac:dyDescent="0.2">
      <c r="A189" s="1" t="s">
        <v>53</v>
      </c>
      <c r="B189" s="1" t="s">
        <v>72</v>
      </c>
      <c r="C189" s="1" t="s">
        <v>292</v>
      </c>
      <c r="D189" s="2">
        <v>1033</v>
      </c>
      <c r="E189" s="2">
        <v>741</v>
      </c>
      <c r="F189" s="2">
        <f t="shared" si="6"/>
        <v>1774</v>
      </c>
      <c r="G189" s="3">
        <f t="shared" si="7"/>
        <v>0.58229988726042836</v>
      </c>
      <c r="H189" s="3">
        <f t="shared" si="8"/>
        <v>0.41770011273957158</v>
      </c>
      <c r="I189" s="1" t="s">
        <v>523</v>
      </c>
      <c r="J189" s="2">
        <v>1054</v>
      </c>
      <c r="K189" s="2">
        <v>706</v>
      </c>
      <c r="L189" s="2">
        <v>1760</v>
      </c>
      <c r="M189" s="3">
        <v>0.59886363636363638</v>
      </c>
      <c r="N189" s="6">
        <v>-1.66</v>
      </c>
    </row>
    <row r="190" spans="1:14" x14ac:dyDescent="0.2">
      <c r="A190" s="1" t="s">
        <v>53</v>
      </c>
      <c r="B190" s="1" t="s">
        <v>72</v>
      </c>
      <c r="C190" s="1" t="s">
        <v>293</v>
      </c>
      <c r="D190" s="2">
        <v>482</v>
      </c>
      <c r="E190" s="2">
        <v>459</v>
      </c>
      <c r="F190" s="2">
        <f t="shared" si="6"/>
        <v>941</v>
      </c>
      <c r="G190" s="3">
        <f t="shared" si="7"/>
        <v>0.51222104144527103</v>
      </c>
      <c r="H190" s="3">
        <f t="shared" si="8"/>
        <v>0.48777895855472903</v>
      </c>
      <c r="I190" s="1" t="s">
        <v>523</v>
      </c>
      <c r="J190" s="2">
        <v>469</v>
      </c>
      <c r="K190" s="2">
        <v>468</v>
      </c>
      <c r="L190" s="2">
        <v>937</v>
      </c>
      <c r="M190" s="3">
        <v>0.50053361792956241</v>
      </c>
      <c r="N190" s="6">
        <v>1.17</v>
      </c>
    </row>
    <row r="191" spans="1:14" x14ac:dyDescent="0.2">
      <c r="A191" s="1" t="s">
        <v>53</v>
      </c>
      <c r="B191" s="1" t="s">
        <v>72</v>
      </c>
      <c r="C191" s="1" t="s">
        <v>294</v>
      </c>
      <c r="D191" s="2">
        <v>1266</v>
      </c>
      <c r="E191" s="2">
        <v>1356</v>
      </c>
      <c r="F191" s="2">
        <f t="shared" si="6"/>
        <v>2622</v>
      </c>
      <c r="G191" s="3">
        <f t="shared" si="7"/>
        <v>0.48283752860411899</v>
      </c>
      <c r="H191" s="3">
        <f t="shared" si="8"/>
        <v>0.51716247139588101</v>
      </c>
      <c r="I191" s="1" t="s">
        <v>523</v>
      </c>
      <c r="J191" s="2">
        <v>1317</v>
      </c>
      <c r="K191" s="2">
        <v>1291</v>
      </c>
      <c r="L191" s="2">
        <v>2608</v>
      </c>
      <c r="M191" s="3">
        <v>0.50498466257668717</v>
      </c>
      <c r="N191" s="6">
        <v>-2.21</v>
      </c>
    </row>
    <row r="192" spans="1:14" x14ac:dyDescent="0.2">
      <c r="A192" s="1" t="s">
        <v>53</v>
      </c>
      <c r="B192" s="1" t="s">
        <v>73</v>
      </c>
      <c r="C192" s="1" t="s">
        <v>295</v>
      </c>
      <c r="D192" s="2">
        <v>1017</v>
      </c>
      <c r="E192" s="2">
        <v>1039</v>
      </c>
      <c r="F192" s="2">
        <f t="shared" si="6"/>
        <v>2056</v>
      </c>
      <c r="G192" s="3">
        <f t="shared" si="7"/>
        <v>0.49464980544747084</v>
      </c>
      <c r="H192" s="3">
        <f t="shared" si="8"/>
        <v>0.50535019455252916</v>
      </c>
      <c r="I192" s="1" t="s">
        <v>523</v>
      </c>
      <c r="J192" s="2">
        <v>992</v>
      </c>
      <c r="K192" s="2">
        <v>983</v>
      </c>
      <c r="L192" s="2">
        <v>1975</v>
      </c>
      <c r="M192" s="3">
        <v>0.50227848101265826</v>
      </c>
      <c r="N192" s="6">
        <v>-0.76</v>
      </c>
    </row>
    <row r="193" spans="1:14" x14ac:dyDescent="0.2">
      <c r="A193" s="1" t="s">
        <v>53</v>
      </c>
      <c r="B193" s="1" t="s">
        <v>73</v>
      </c>
      <c r="C193" s="1" t="s">
        <v>296</v>
      </c>
      <c r="D193" s="2">
        <v>1269</v>
      </c>
      <c r="E193" s="2">
        <v>1369</v>
      </c>
      <c r="F193" s="2">
        <f t="shared" si="6"/>
        <v>2638</v>
      </c>
      <c r="G193" s="3">
        <f t="shared" si="7"/>
        <v>0.48104624715693706</v>
      </c>
      <c r="H193" s="3">
        <f t="shared" si="8"/>
        <v>0.51895375284306289</v>
      </c>
      <c r="I193" s="1" t="s">
        <v>523</v>
      </c>
      <c r="J193" s="2">
        <v>1311</v>
      </c>
      <c r="K193" s="2">
        <v>1258</v>
      </c>
      <c r="L193" s="2">
        <v>2569</v>
      </c>
      <c r="M193" s="3">
        <v>0.51031529778123785</v>
      </c>
      <c r="N193" s="6">
        <v>-2.93</v>
      </c>
    </row>
    <row r="194" spans="1:14" x14ac:dyDescent="0.2">
      <c r="A194" s="1" t="s">
        <v>53</v>
      </c>
      <c r="B194" s="1" t="s">
        <v>73</v>
      </c>
      <c r="C194" s="1" t="s">
        <v>297</v>
      </c>
      <c r="D194" s="2">
        <v>898</v>
      </c>
      <c r="E194" s="2">
        <v>1126</v>
      </c>
      <c r="F194" s="2">
        <f t="shared" si="6"/>
        <v>2024</v>
      </c>
      <c r="G194" s="3">
        <f t="shared" si="7"/>
        <v>0.44367588932806323</v>
      </c>
      <c r="H194" s="3">
        <f t="shared" si="8"/>
        <v>0.55632411067193677</v>
      </c>
      <c r="I194" s="1" t="s">
        <v>523</v>
      </c>
      <c r="J194" s="2">
        <v>914</v>
      </c>
      <c r="K194" s="2">
        <v>1075</v>
      </c>
      <c r="L194" s="2">
        <v>1989</v>
      </c>
      <c r="M194" s="3">
        <v>0.45952740070387132</v>
      </c>
      <c r="N194" s="6">
        <v>-1.59</v>
      </c>
    </row>
    <row r="195" spans="1:14" x14ac:dyDescent="0.2">
      <c r="A195" s="1" t="s">
        <v>53</v>
      </c>
      <c r="B195" s="1" t="s">
        <v>73</v>
      </c>
      <c r="C195" s="1" t="s">
        <v>298</v>
      </c>
      <c r="D195" s="2">
        <v>711</v>
      </c>
      <c r="E195" s="2">
        <v>675</v>
      </c>
      <c r="F195" s="2">
        <f t="shared" si="6"/>
        <v>1386</v>
      </c>
      <c r="G195" s="3">
        <f t="shared" si="7"/>
        <v>0.51298701298701299</v>
      </c>
      <c r="H195" s="3">
        <f t="shared" si="8"/>
        <v>0.48701298701298701</v>
      </c>
      <c r="I195" s="1" t="s">
        <v>523</v>
      </c>
      <c r="J195" s="2">
        <v>735</v>
      </c>
      <c r="K195" s="2">
        <v>653</v>
      </c>
      <c r="L195" s="2">
        <v>1388</v>
      </c>
      <c r="M195" s="3">
        <v>0.52953890489913547</v>
      </c>
      <c r="N195" s="6">
        <v>-1.66</v>
      </c>
    </row>
    <row r="196" spans="1:14" x14ac:dyDescent="0.2">
      <c r="A196" s="1" t="s">
        <v>53</v>
      </c>
      <c r="B196" s="1" t="s">
        <v>73</v>
      </c>
      <c r="C196" s="1" t="s">
        <v>299</v>
      </c>
      <c r="D196" s="2">
        <v>1852</v>
      </c>
      <c r="E196" s="2">
        <v>1801</v>
      </c>
      <c r="F196" s="2">
        <f t="shared" si="6"/>
        <v>3653</v>
      </c>
      <c r="G196" s="3">
        <f t="shared" si="7"/>
        <v>0.50698056392006574</v>
      </c>
      <c r="H196" s="3">
        <f t="shared" si="8"/>
        <v>0.49301943607993431</v>
      </c>
      <c r="I196" s="1" t="s">
        <v>523</v>
      </c>
      <c r="J196" s="2">
        <v>1929</v>
      </c>
      <c r="K196" s="2">
        <v>1679</v>
      </c>
      <c r="L196" s="2">
        <v>3608</v>
      </c>
      <c r="M196" s="3">
        <v>0.53464523281596454</v>
      </c>
      <c r="N196" s="6">
        <v>-2.77</v>
      </c>
    </row>
    <row r="197" spans="1:14" x14ac:dyDescent="0.2">
      <c r="A197" s="1" t="s">
        <v>53</v>
      </c>
      <c r="B197" s="1" t="s">
        <v>73</v>
      </c>
      <c r="C197" s="1" t="s">
        <v>300</v>
      </c>
      <c r="D197" s="2">
        <v>659</v>
      </c>
      <c r="E197" s="2">
        <v>653</v>
      </c>
      <c r="F197" s="2">
        <f t="shared" si="6"/>
        <v>1312</v>
      </c>
      <c r="G197" s="3">
        <f t="shared" si="7"/>
        <v>0.50228658536585369</v>
      </c>
      <c r="H197" s="3">
        <f t="shared" si="8"/>
        <v>0.49771341463414637</v>
      </c>
      <c r="I197" s="1" t="s">
        <v>523</v>
      </c>
      <c r="J197" s="2">
        <v>696</v>
      </c>
      <c r="K197" s="2">
        <v>666</v>
      </c>
      <c r="L197" s="2">
        <v>1362</v>
      </c>
      <c r="M197" s="3">
        <v>0.51101321585903081</v>
      </c>
      <c r="N197" s="6">
        <v>-0.87</v>
      </c>
    </row>
    <row r="198" spans="1:14" x14ac:dyDescent="0.2">
      <c r="A198" s="1" t="s">
        <v>53</v>
      </c>
      <c r="B198" s="1" t="s">
        <v>73</v>
      </c>
      <c r="C198" s="1" t="s">
        <v>301</v>
      </c>
      <c r="D198" s="2">
        <v>693</v>
      </c>
      <c r="E198" s="2">
        <v>673</v>
      </c>
      <c r="F198" s="2">
        <f t="shared" si="6"/>
        <v>1366</v>
      </c>
      <c r="G198" s="3">
        <f t="shared" si="7"/>
        <v>0.5073206442166911</v>
      </c>
      <c r="H198" s="3">
        <f t="shared" si="8"/>
        <v>0.49267935578330896</v>
      </c>
      <c r="I198" s="1" t="s">
        <v>523</v>
      </c>
      <c r="J198" s="2">
        <v>715</v>
      </c>
      <c r="K198" s="2">
        <v>601</v>
      </c>
      <c r="L198" s="2">
        <v>1316</v>
      </c>
      <c r="M198" s="3">
        <v>0.54331306990881456</v>
      </c>
      <c r="N198" s="6">
        <v>-3.6</v>
      </c>
    </row>
    <row r="199" spans="1:14" x14ac:dyDescent="0.2">
      <c r="A199" s="1" t="s">
        <v>53</v>
      </c>
      <c r="B199" s="1" t="s">
        <v>73</v>
      </c>
      <c r="C199" s="1" t="s">
        <v>302</v>
      </c>
      <c r="D199" s="2">
        <v>739</v>
      </c>
      <c r="E199" s="2">
        <v>786</v>
      </c>
      <c r="F199" s="2">
        <f t="shared" si="6"/>
        <v>1525</v>
      </c>
      <c r="G199" s="3">
        <f t="shared" si="7"/>
        <v>0.48459016393442622</v>
      </c>
      <c r="H199" s="3">
        <f t="shared" si="8"/>
        <v>0.51540983606557378</v>
      </c>
      <c r="I199" s="1" t="s">
        <v>523</v>
      </c>
      <c r="J199" s="2">
        <v>728</v>
      </c>
      <c r="K199" s="2">
        <v>692</v>
      </c>
      <c r="L199" s="2">
        <v>1420</v>
      </c>
      <c r="M199" s="3">
        <v>0.51267605633802815</v>
      </c>
      <c r="N199" s="6">
        <v>-2.81</v>
      </c>
    </row>
    <row r="200" spans="1:14" x14ac:dyDescent="0.2">
      <c r="A200" s="1" t="s">
        <v>53</v>
      </c>
      <c r="B200" s="1" t="s">
        <v>74</v>
      </c>
      <c r="C200" s="1" t="s">
        <v>303</v>
      </c>
      <c r="D200" s="2">
        <v>1420</v>
      </c>
      <c r="E200" s="2">
        <v>1707</v>
      </c>
      <c r="F200" s="2">
        <f t="shared" si="6"/>
        <v>3127</v>
      </c>
      <c r="G200" s="3">
        <f t="shared" si="7"/>
        <v>0.45410937000319795</v>
      </c>
      <c r="H200" s="3">
        <f t="shared" si="8"/>
        <v>0.54589062999680205</v>
      </c>
      <c r="I200" s="1" t="s">
        <v>523</v>
      </c>
      <c r="J200" s="2">
        <v>1473</v>
      </c>
      <c r="K200" s="2">
        <v>1690</v>
      </c>
      <c r="L200" s="2">
        <v>3163</v>
      </c>
      <c r="M200" s="3">
        <v>0.46569712298450838</v>
      </c>
      <c r="N200" s="6">
        <v>-1.1599999999999999</v>
      </c>
    </row>
    <row r="201" spans="1:14" x14ac:dyDescent="0.2">
      <c r="A201" s="1" t="s">
        <v>53</v>
      </c>
      <c r="B201" s="1" t="s">
        <v>74</v>
      </c>
      <c r="C201" s="1" t="s">
        <v>304</v>
      </c>
      <c r="D201" s="2">
        <v>884</v>
      </c>
      <c r="E201" s="2">
        <v>1443</v>
      </c>
      <c r="F201" s="2">
        <f t="shared" si="6"/>
        <v>2327</v>
      </c>
      <c r="G201" s="3">
        <f t="shared" si="7"/>
        <v>0.37988826815642457</v>
      </c>
      <c r="H201" s="3">
        <f t="shared" si="8"/>
        <v>0.62011173184357538</v>
      </c>
      <c r="I201" s="1" t="s">
        <v>523</v>
      </c>
      <c r="J201" s="2">
        <v>907</v>
      </c>
      <c r="K201" s="2">
        <v>1445</v>
      </c>
      <c r="L201" s="2">
        <v>2352</v>
      </c>
      <c r="M201" s="3">
        <v>0.3856292517006803</v>
      </c>
      <c r="N201" s="6">
        <v>-0.56999999999999995</v>
      </c>
    </row>
    <row r="202" spans="1:14" x14ac:dyDescent="0.2">
      <c r="A202" s="1" t="s">
        <v>53</v>
      </c>
      <c r="B202" s="1" t="s">
        <v>75</v>
      </c>
      <c r="C202" s="1" t="s">
        <v>305</v>
      </c>
      <c r="D202" s="2">
        <v>1006</v>
      </c>
      <c r="E202" s="2">
        <v>1127</v>
      </c>
      <c r="F202" s="2">
        <f t="shared" si="6"/>
        <v>2133</v>
      </c>
      <c r="G202" s="3">
        <f t="shared" si="7"/>
        <v>0.47163619315518052</v>
      </c>
      <c r="H202" s="3">
        <f t="shared" si="8"/>
        <v>0.52836380684481954</v>
      </c>
      <c r="I202" s="1" t="s">
        <v>523</v>
      </c>
      <c r="J202" s="2">
        <v>1017</v>
      </c>
      <c r="K202" s="2">
        <v>1074</v>
      </c>
      <c r="L202" s="2">
        <v>2091</v>
      </c>
      <c r="M202" s="3">
        <v>0.48637015781922532</v>
      </c>
      <c r="N202" s="6">
        <v>-1.47</v>
      </c>
    </row>
    <row r="203" spans="1:14" x14ac:dyDescent="0.2">
      <c r="A203" s="1" t="s">
        <v>53</v>
      </c>
      <c r="B203" s="1" t="s">
        <v>75</v>
      </c>
      <c r="C203" s="1" t="s">
        <v>306</v>
      </c>
      <c r="D203" s="2">
        <v>686</v>
      </c>
      <c r="E203" s="2">
        <v>865</v>
      </c>
      <c r="F203" s="2">
        <f t="shared" si="6"/>
        <v>1551</v>
      </c>
      <c r="G203" s="3">
        <f t="shared" si="7"/>
        <v>0.44229529335912315</v>
      </c>
      <c r="H203" s="3">
        <f t="shared" si="8"/>
        <v>0.5577047066408769</v>
      </c>
      <c r="I203" s="1" t="s">
        <v>523</v>
      </c>
      <c r="J203" s="2">
        <v>753</v>
      </c>
      <c r="K203" s="2">
        <v>851</v>
      </c>
      <c r="L203" s="2">
        <v>1604</v>
      </c>
      <c r="M203" s="3">
        <v>0.46945137157107231</v>
      </c>
      <c r="N203" s="6">
        <v>-2.72</v>
      </c>
    </row>
    <row r="204" spans="1:14" x14ac:dyDescent="0.2">
      <c r="A204" s="1" t="s">
        <v>53</v>
      </c>
      <c r="B204" s="1" t="s">
        <v>75</v>
      </c>
      <c r="C204" s="1" t="s">
        <v>307</v>
      </c>
      <c r="D204" s="2">
        <v>617</v>
      </c>
      <c r="E204" s="2">
        <v>726</v>
      </c>
      <c r="F204" s="2">
        <f t="shared" ref="F204:F267" si="9">IF(COUNTA(D204:E204)=0,"",SUM(D204:E204))</f>
        <v>1343</v>
      </c>
      <c r="G204" s="3">
        <f t="shared" ref="G204:G267" si="10">IF(OR(F204="",F204=0),"",D204/F204)</f>
        <v>0.4594192107222636</v>
      </c>
      <c r="H204" s="3">
        <f t="shared" ref="H204:H267" si="11">IF(OR(F204="",F204=0),"",E204/F204)</f>
        <v>0.54058078927773645</v>
      </c>
      <c r="I204" s="1" t="s">
        <v>523</v>
      </c>
      <c r="J204" s="2">
        <v>713</v>
      </c>
      <c r="K204" s="2">
        <v>780</v>
      </c>
      <c r="L204" s="2">
        <v>1493</v>
      </c>
      <c r="M204" s="3">
        <v>0.47756195579370397</v>
      </c>
      <c r="N204" s="6">
        <v>-1.81</v>
      </c>
    </row>
    <row r="205" spans="1:14" x14ac:dyDescent="0.2">
      <c r="A205" s="1" t="s">
        <v>53</v>
      </c>
      <c r="B205" s="1" t="s">
        <v>75</v>
      </c>
      <c r="C205" s="1" t="s">
        <v>308</v>
      </c>
      <c r="D205" s="2">
        <v>1585</v>
      </c>
      <c r="E205" s="2">
        <v>1921</v>
      </c>
      <c r="F205" s="2">
        <f t="shared" si="9"/>
        <v>3506</v>
      </c>
      <c r="G205" s="3">
        <f t="shared" si="10"/>
        <v>0.45208214489446663</v>
      </c>
      <c r="H205" s="3">
        <f t="shared" si="11"/>
        <v>0.54791785510553337</v>
      </c>
      <c r="I205" s="1" t="s">
        <v>523</v>
      </c>
      <c r="J205" s="2">
        <v>1648</v>
      </c>
      <c r="K205" s="2">
        <v>1789</v>
      </c>
      <c r="L205" s="2">
        <v>3437</v>
      </c>
      <c r="M205" s="3">
        <v>0.47948792551643882</v>
      </c>
      <c r="N205" s="6">
        <v>-2.74</v>
      </c>
    </row>
    <row r="206" spans="1:14" x14ac:dyDescent="0.2">
      <c r="A206" s="1" t="s">
        <v>53</v>
      </c>
      <c r="B206" s="1" t="s">
        <v>75</v>
      </c>
      <c r="C206" s="1" t="s">
        <v>309</v>
      </c>
      <c r="D206" s="2">
        <v>654</v>
      </c>
      <c r="E206" s="2">
        <v>708</v>
      </c>
      <c r="F206" s="2">
        <f t="shared" si="9"/>
        <v>1362</v>
      </c>
      <c r="G206" s="3">
        <f t="shared" si="10"/>
        <v>0.48017621145374451</v>
      </c>
      <c r="H206" s="3">
        <f t="shared" si="11"/>
        <v>0.51982378854625555</v>
      </c>
      <c r="I206" s="1" t="s">
        <v>523</v>
      </c>
      <c r="J206" s="2">
        <v>683</v>
      </c>
      <c r="K206" s="2">
        <v>663</v>
      </c>
      <c r="L206" s="2">
        <v>1346</v>
      </c>
      <c r="M206" s="3">
        <v>0.50742942050520057</v>
      </c>
      <c r="N206" s="6">
        <v>-2.73</v>
      </c>
    </row>
    <row r="207" spans="1:14" x14ac:dyDescent="0.2">
      <c r="A207" s="1" t="s">
        <v>53</v>
      </c>
      <c r="B207" s="1" t="s">
        <v>75</v>
      </c>
      <c r="C207" s="1" t="s">
        <v>310</v>
      </c>
      <c r="D207" s="2">
        <v>650</v>
      </c>
      <c r="E207" s="2">
        <v>641</v>
      </c>
      <c r="F207" s="2">
        <f t="shared" si="9"/>
        <v>1291</v>
      </c>
      <c r="G207" s="3">
        <f t="shared" si="10"/>
        <v>0.50348567002323785</v>
      </c>
      <c r="H207" s="3">
        <f t="shared" si="11"/>
        <v>0.4965143299767622</v>
      </c>
      <c r="I207" s="1" t="s">
        <v>523</v>
      </c>
      <c r="J207" s="2">
        <v>648</v>
      </c>
      <c r="K207" s="2">
        <v>583</v>
      </c>
      <c r="L207" s="2">
        <v>1231</v>
      </c>
      <c r="M207" s="3">
        <v>0.52640129975629568</v>
      </c>
      <c r="N207" s="6">
        <v>-2.29</v>
      </c>
    </row>
    <row r="208" spans="1:14" x14ac:dyDescent="0.2">
      <c r="A208" s="1" t="s">
        <v>53</v>
      </c>
      <c r="B208" s="1" t="s">
        <v>76</v>
      </c>
      <c r="C208" s="1" t="s">
        <v>311</v>
      </c>
      <c r="D208" s="2">
        <v>215</v>
      </c>
      <c r="E208" s="2">
        <v>542</v>
      </c>
      <c r="F208" s="2">
        <f t="shared" si="9"/>
        <v>757</v>
      </c>
      <c r="G208" s="3">
        <f t="shared" si="10"/>
        <v>0.28401585204755614</v>
      </c>
      <c r="H208" s="3">
        <f t="shared" si="11"/>
        <v>0.71598414795244381</v>
      </c>
      <c r="I208" s="1" t="s">
        <v>523</v>
      </c>
      <c r="J208" s="2">
        <v>243</v>
      </c>
      <c r="K208" s="2">
        <v>532</v>
      </c>
      <c r="L208" s="2">
        <v>775</v>
      </c>
      <c r="M208" s="3">
        <v>0.31354838709677418</v>
      </c>
      <c r="N208" s="6">
        <v>-2.95</v>
      </c>
    </row>
    <row r="209" spans="1:14" x14ac:dyDescent="0.2">
      <c r="A209" s="1" t="s">
        <v>53</v>
      </c>
      <c r="B209" s="1" t="s">
        <v>76</v>
      </c>
      <c r="C209" s="1" t="s">
        <v>312</v>
      </c>
      <c r="D209" s="2">
        <v>802</v>
      </c>
      <c r="E209" s="2">
        <v>1716</v>
      </c>
      <c r="F209" s="2">
        <f t="shared" si="9"/>
        <v>2518</v>
      </c>
      <c r="G209" s="3">
        <f t="shared" si="10"/>
        <v>0.31850675138999207</v>
      </c>
      <c r="H209" s="3">
        <f t="shared" si="11"/>
        <v>0.68149324861000793</v>
      </c>
      <c r="I209" s="1" t="s">
        <v>523</v>
      </c>
      <c r="J209" s="2">
        <v>841</v>
      </c>
      <c r="K209" s="2">
        <v>1653</v>
      </c>
      <c r="L209" s="2">
        <v>2494</v>
      </c>
      <c r="M209" s="3">
        <v>0.33720930232558138</v>
      </c>
      <c r="N209" s="6">
        <v>-1.87</v>
      </c>
    </row>
    <row r="210" spans="1:14" x14ac:dyDescent="0.2">
      <c r="A210" s="1" t="s">
        <v>53</v>
      </c>
      <c r="B210" s="1" t="s">
        <v>76</v>
      </c>
      <c r="C210" s="1" t="s">
        <v>313</v>
      </c>
      <c r="D210" s="2">
        <v>191</v>
      </c>
      <c r="E210" s="2">
        <v>467</v>
      </c>
      <c r="F210" s="2">
        <f t="shared" si="9"/>
        <v>658</v>
      </c>
      <c r="G210" s="3">
        <f t="shared" si="10"/>
        <v>0.29027355623100304</v>
      </c>
      <c r="H210" s="3">
        <f t="shared" si="11"/>
        <v>0.70972644376899696</v>
      </c>
      <c r="I210" s="1" t="s">
        <v>523</v>
      </c>
      <c r="J210" s="2">
        <v>182</v>
      </c>
      <c r="K210" s="2">
        <v>484</v>
      </c>
      <c r="L210" s="2">
        <v>666</v>
      </c>
      <c r="M210" s="3">
        <v>0.27327327327327328</v>
      </c>
      <c r="N210" s="6">
        <v>1.7</v>
      </c>
    </row>
    <row r="211" spans="1:14" x14ac:dyDescent="0.2">
      <c r="A211" s="1" t="s">
        <v>53</v>
      </c>
      <c r="B211" s="1" t="s">
        <v>77</v>
      </c>
      <c r="C211" s="1" t="s">
        <v>77</v>
      </c>
      <c r="D211" s="2">
        <v>1078</v>
      </c>
      <c r="E211" s="2">
        <v>2300</v>
      </c>
      <c r="F211" s="2">
        <f t="shared" si="9"/>
        <v>3378</v>
      </c>
      <c r="G211" s="3">
        <f t="shared" si="10"/>
        <v>0.31912374185908821</v>
      </c>
      <c r="H211" s="3">
        <f t="shared" si="11"/>
        <v>0.68087625814091179</v>
      </c>
      <c r="I211" s="1" t="s">
        <v>523</v>
      </c>
      <c r="J211" s="2">
        <v>1172</v>
      </c>
      <c r="K211" s="2">
        <v>2201</v>
      </c>
      <c r="L211" s="2">
        <v>3373</v>
      </c>
      <c r="M211" s="3">
        <v>0.34746516454195081</v>
      </c>
      <c r="N211" s="6">
        <v>-2.83</v>
      </c>
    </row>
    <row r="212" spans="1:14" x14ac:dyDescent="0.2">
      <c r="A212" s="1" t="s">
        <v>53</v>
      </c>
      <c r="B212" s="1" t="s">
        <v>78</v>
      </c>
      <c r="C212" s="1" t="s">
        <v>314</v>
      </c>
      <c r="D212" s="2">
        <v>734</v>
      </c>
      <c r="E212" s="2">
        <v>959</v>
      </c>
      <c r="F212" s="2">
        <f t="shared" si="9"/>
        <v>1693</v>
      </c>
      <c r="G212" s="3">
        <f t="shared" si="10"/>
        <v>0.43354991139988186</v>
      </c>
      <c r="H212" s="3">
        <f t="shared" si="11"/>
        <v>0.56645008860011814</v>
      </c>
      <c r="I212" s="1" t="s">
        <v>523</v>
      </c>
      <c r="J212" s="2">
        <v>811</v>
      </c>
      <c r="K212" s="2">
        <v>918</v>
      </c>
      <c r="L212" s="2">
        <v>1729</v>
      </c>
      <c r="M212" s="3">
        <v>0.46905725853094282</v>
      </c>
      <c r="N212" s="6">
        <v>-3.55</v>
      </c>
    </row>
    <row r="213" spans="1:14" x14ac:dyDescent="0.2">
      <c r="A213" s="1" t="s">
        <v>53</v>
      </c>
      <c r="B213" s="1" t="s">
        <v>78</v>
      </c>
      <c r="C213" s="1" t="s">
        <v>315</v>
      </c>
      <c r="D213" s="2">
        <v>562</v>
      </c>
      <c r="E213" s="2">
        <v>749</v>
      </c>
      <c r="F213" s="2">
        <f t="shared" si="9"/>
        <v>1311</v>
      </c>
      <c r="G213" s="3">
        <f t="shared" si="10"/>
        <v>0.42868039664378338</v>
      </c>
      <c r="H213" s="3">
        <f t="shared" si="11"/>
        <v>0.57131960335621668</v>
      </c>
      <c r="I213" s="1" t="s">
        <v>523</v>
      </c>
      <c r="J213" s="2">
        <v>606</v>
      </c>
      <c r="K213" s="2">
        <v>669</v>
      </c>
      <c r="L213" s="2">
        <v>1275</v>
      </c>
      <c r="M213" s="3">
        <v>0.47529411764705881</v>
      </c>
      <c r="N213" s="6">
        <v>-4.66</v>
      </c>
    </row>
    <row r="214" spans="1:14" x14ac:dyDescent="0.2">
      <c r="A214" s="1" t="s">
        <v>53</v>
      </c>
      <c r="B214" s="1" t="s">
        <v>78</v>
      </c>
      <c r="C214" s="1" t="s">
        <v>316</v>
      </c>
      <c r="D214" s="2">
        <v>757</v>
      </c>
      <c r="E214" s="2">
        <v>618</v>
      </c>
      <c r="F214" s="2">
        <f t="shared" si="9"/>
        <v>1375</v>
      </c>
      <c r="G214" s="3">
        <f t="shared" si="10"/>
        <v>0.55054545454545456</v>
      </c>
      <c r="H214" s="3">
        <f t="shared" si="11"/>
        <v>0.44945454545454544</v>
      </c>
      <c r="I214" s="1" t="s">
        <v>523</v>
      </c>
      <c r="J214" s="2">
        <v>732</v>
      </c>
      <c r="K214" s="2">
        <v>616</v>
      </c>
      <c r="L214" s="2">
        <v>1348</v>
      </c>
      <c r="M214" s="3">
        <v>0.54302670623145399</v>
      </c>
      <c r="N214" s="6">
        <v>0.75</v>
      </c>
    </row>
    <row r="215" spans="1:14" x14ac:dyDescent="0.2">
      <c r="A215" s="1" t="s">
        <v>53</v>
      </c>
      <c r="B215" s="1" t="s">
        <v>78</v>
      </c>
      <c r="C215" s="1" t="s">
        <v>317</v>
      </c>
      <c r="D215" s="2">
        <v>839</v>
      </c>
      <c r="E215" s="2">
        <v>661</v>
      </c>
      <c r="F215" s="2">
        <f t="shared" si="9"/>
        <v>1500</v>
      </c>
      <c r="G215" s="3">
        <f t="shared" si="10"/>
        <v>0.55933333333333335</v>
      </c>
      <c r="H215" s="3">
        <f t="shared" si="11"/>
        <v>0.44066666666666665</v>
      </c>
      <c r="I215" s="1" t="s">
        <v>523</v>
      </c>
      <c r="J215" s="2">
        <v>871</v>
      </c>
      <c r="K215" s="2">
        <v>616</v>
      </c>
      <c r="L215" s="2">
        <v>1487</v>
      </c>
      <c r="M215" s="3">
        <v>0.58574310692669806</v>
      </c>
      <c r="N215" s="6">
        <v>-2.64</v>
      </c>
    </row>
    <row r="216" spans="1:14" x14ac:dyDescent="0.2">
      <c r="A216" s="1" t="s">
        <v>53</v>
      </c>
      <c r="B216" s="1" t="s">
        <v>78</v>
      </c>
      <c r="C216" s="1" t="s">
        <v>318</v>
      </c>
      <c r="D216" s="2">
        <v>308</v>
      </c>
      <c r="E216" s="2">
        <v>282</v>
      </c>
      <c r="F216" s="2">
        <f t="shared" si="9"/>
        <v>590</v>
      </c>
      <c r="G216" s="3">
        <f t="shared" si="10"/>
        <v>0.52203389830508473</v>
      </c>
      <c r="H216" s="3">
        <f t="shared" si="11"/>
        <v>0.47796610169491527</v>
      </c>
      <c r="I216" s="1" t="s">
        <v>523</v>
      </c>
      <c r="J216" s="2">
        <v>305</v>
      </c>
      <c r="K216" s="2">
        <v>262</v>
      </c>
      <c r="L216" s="2">
        <v>567</v>
      </c>
      <c r="M216" s="3">
        <v>0.53791887125220461</v>
      </c>
      <c r="N216" s="6">
        <v>-1.59</v>
      </c>
    </row>
    <row r="217" spans="1:14" x14ac:dyDescent="0.2">
      <c r="A217" s="1" t="s">
        <v>53</v>
      </c>
      <c r="B217" s="1" t="s">
        <v>78</v>
      </c>
      <c r="C217" s="1" t="s">
        <v>319</v>
      </c>
      <c r="D217" s="2">
        <v>594</v>
      </c>
      <c r="E217" s="2">
        <v>352</v>
      </c>
      <c r="F217" s="2">
        <f t="shared" si="9"/>
        <v>946</v>
      </c>
      <c r="G217" s="3">
        <f t="shared" si="10"/>
        <v>0.62790697674418605</v>
      </c>
      <c r="H217" s="3">
        <f t="shared" si="11"/>
        <v>0.37209302325581395</v>
      </c>
      <c r="I217" s="1" t="s">
        <v>523</v>
      </c>
      <c r="J217" s="2">
        <v>535</v>
      </c>
      <c r="K217" s="2">
        <v>364</v>
      </c>
      <c r="L217" s="2">
        <v>899</v>
      </c>
      <c r="M217" s="3">
        <v>0.59510567296996664</v>
      </c>
      <c r="N217" s="6">
        <v>3.28</v>
      </c>
    </row>
    <row r="218" spans="1:14" x14ac:dyDescent="0.2">
      <c r="A218" s="1" t="s">
        <v>53</v>
      </c>
      <c r="B218" s="1" t="s">
        <v>78</v>
      </c>
      <c r="C218" s="1" t="s">
        <v>320</v>
      </c>
      <c r="D218" s="2">
        <v>526</v>
      </c>
      <c r="E218" s="2">
        <v>480</v>
      </c>
      <c r="F218" s="2">
        <f t="shared" si="9"/>
        <v>1006</v>
      </c>
      <c r="G218" s="3">
        <f t="shared" si="10"/>
        <v>0.52286282306163023</v>
      </c>
      <c r="H218" s="3">
        <f t="shared" si="11"/>
        <v>0.47713717693836977</v>
      </c>
      <c r="I218" s="1" t="s">
        <v>523</v>
      </c>
      <c r="J218" s="2">
        <v>564</v>
      </c>
      <c r="K218" s="2">
        <v>451</v>
      </c>
      <c r="L218" s="2">
        <v>1015</v>
      </c>
      <c r="M218" s="3">
        <v>0.5556650246305419</v>
      </c>
      <c r="N218" s="6">
        <v>-3.28</v>
      </c>
    </row>
    <row r="219" spans="1:14" x14ac:dyDescent="0.2">
      <c r="A219" s="1" t="s">
        <v>53</v>
      </c>
      <c r="B219" s="1" t="s">
        <v>78</v>
      </c>
      <c r="C219" s="1" t="s">
        <v>321</v>
      </c>
      <c r="D219" s="2">
        <v>264</v>
      </c>
      <c r="E219" s="2">
        <v>325</v>
      </c>
      <c r="F219" s="2">
        <f t="shared" si="9"/>
        <v>589</v>
      </c>
      <c r="G219" s="3">
        <f t="shared" si="10"/>
        <v>0.44821731748726656</v>
      </c>
      <c r="H219" s="3">
        <f t="shared" si="11"/>
        <v>0.55178268251273344</v>
      </c>
      <c r="I219" s="1" t="s">
        <v>523</v>
      </c>
      <c r="J219" s="2">
        <v>279</v>
      </c>
      <c r="K219" s="2">
        <v>318</v>
      </c>
      <c r="L219" s="2">
        <v>597</v>
      </c>
      <c r="M219" s="3">
        <v>0.46733668341708551</v>
      </c>
      <c r="N219" s="6">
        <v>-1.91</v>
      </c>
    </row>
    <row r="220" spans="1:14" x14ac:dyDescent="0.2">
      <c r="A220" s="1" t="s">
        <v>53</v>
      </c>
      <c r="B220" s="1" t="s">
        <v>78</v>
      </c>
      <c r="C220" s="1" t="s">
        <v>322</v>
      </c>
      <c r="D220" s="2">
        <v>539</v>
      </c>
      <c r="E220" s="2">
        <v>538</v>
      </c>
      <c r="F220" s="2">
        <f t="shared" si="9"/>
        <v>1077</v>
      </c>
      <c r="G220" s="3">
        <f t="shared" si="10"/>
        <v>0.500464252553389</v>
      </c>
      <c r="H220" s="3">
        <f t="shared" si="11"/>
        <v>0.49953574744661094</v>
      </c>
      <c r="I220" s="1" t="s">
        <v>523</v>
      </c>
      <c r="J220" s="2">
        <v>571</v>
      </c>
      <c r="K220" s="2">
        <v>544</v>
      </c>
      <c r="L220" s="2">
        <v>1115</v>
      </c>
      <c r="M220" s="3">
        <v>0.51210762331838566</v>
      </c>
      <c r="N220" s="6">
        <v>-1.1599999999999999</v>
      </c>
    </row>
    <row r="221" spans="1:14" x14ac:dyDescent="0.2">
      <c r="A221" s="1" t="s">
        <v>53</v>
      </c>
      <c r="B221" s="1" t="s">
        <v>78</v>
      </c>
      <c r="C221" s="1" t="s">
        <v>323</v>
      </c>
      <c r="D221" s="2">
        <v>800</v>
      </c>
      <c r="E221" s="2">
        <v>1003</v>
      </c>
      <c r="F221" s="2">
        <f t="shared" si="9"/>
        <v>1803</v>
      </c>
      <c r="G221" s="3">
        <f t="shared" si="10"/>
        <v>0.44370493621741541</v>
      </c>
      <c r="H221" s="3">
        <f t="shared" si="11"/>
        <v>0.55629506378258453</v>
      </c>
      <c r="I221" s="1" t="s">
        <v>523</v>
      </c>
      <c r="J221" s="2">
        <v>829</v>
      </c>
      <c r="K221" s="2">
        <v>968</v>
      </c>
      <c r="L221" s="2">
        <v>1797</v>
      </c>
      <c r="M221" s="3">
        <v>0.46132442960489711</v>
      </c>
      <c r="N221" s="6">
        <v>-1.76</v>
      </c>
    </row>
    <row r="222" spans="1:14" x14ac:dyDescent="0.2">
      <c r="A222" s="1" t="s">
        <v>53</v>
      </c>
      <c r="B222" s="1" t="s">
        <v>78</v>
      </c>
      <c r="C222" s="1" t="s">
        <v>324</v>
      </c>
      <c r="D222" s="2">
        <v>660</v>
      </c>
      <c r="E222" s="2">
        <v>773</v>
      </c>
      <c r="F222" s="2">
        <f t="shared" si="9"/>
        <v>1433</v>
      </c>
      <c r="G222" s="3">
        <f t="shared" si="10"/>
        <v>0.46057222609909282</v>
      </c>
      <c r="H222" s="3">
        <f t="shared" si="11"/>
        <v>0.53942777390090724</v>
      </c>
      <c r="I222" s="1" t="s">
        <v>523</v>
      </c>
      <c r="J222" s="2">
        <v>698</v>
      </c>
      <c r="K222" s="2">
        <v>748</v>
      </c>
      <c r="L222" s="2">
        <v>1446</v>
      </c>
      <c r="M222" s="3">
        <v>0.48271092669432919</v>
      </c>
      <c r="N222" s="6">
        <v>-2.21</v>
      </c>
    </row>
    <row r="223" spans="1:14" x14ac:dyDescent="0.2">
      <c r="A223" s="1" t="s">
        <v>53</v>
      </c>
      <c r="B223" s="1" t="s">
        <v>78</v>
      </c>
      <c r="C223" s="1" t="s">
        <v>325</v>
      </c>
      <c r="D223" s="2">
        <v>577</v>
      </c>
      <c r="E223" s="2">
        <v>580</v>
      </c>
      <c r="F223" s="2">
        <f t="shared" si="9"/>
        <v>1157</v>
      </c>
      <c r="G223" s="3">
        <f t="shared" si="10"/>
        <v>0.49870354364736386</v>
      </c>
      <c r="H223" s="3">
        <f t="shared" si="11"/>
        <v>0.50129645635263609</v>
      </c>
      <c r="I223" s="1" t="s">
        <v>523</v>
      </c>
      <c r="J223" s="2">
        <v>582</v>
      </c>
      <c r="K223" s="2">
        <v>562</v>
      </c>
      <c r="L223" s="2">
        <v>1144</v>
      </c>
      <c r="M223" s="3">
        <v>0.50874125874125875</v>
      </c>
      <c r="N223" s="6">
        <v>-1</v>
      </c>
    </row>
    <row r="224" spans="1:14" x14ac:dyDescent="0.2">
      <c r="A224" s="1" t="s">
        <v>79</v>
      </c>
      <c r="B224" s="1" t="s">
        <v>81</v>
      </c>
      <c r="C224" s="1" t="s">
        <v>326</v>
      </c>
      <c r="D224" s="2">
        <v>410</v>
      </c>
      <c r="E224" s="2">
        <v>1134</v>
      </c>
      <c r="F224" s="2">
        <f t="shared" si="9"/>
        <v>1544</v>
      </c>
      <c r="G224" s="3">
        <f t="shared" si="10"/>
        <v>0.2655440414507772</v>
      </c>
      <c r="H224" s="3">
        <f t="shared" si="11"/>
        <v>0.73445595854922274</v>
      </c>
      <c r="I224" s="1" t="s">
        <v>523</v>
      </c>
      <c r="J224" s="2">
        <v>471</v>
      </c>
      <c r="K224" s="2">
        <v>1124</v>
      </c>
      <c r="L224" s="2">
        <v>1595</v>
      </c>
      <c r="M224" s="3">
        <v>0.29529780564263319</v>
      </c>
      <c r="N224" s="6">
        <v>-2.98</v>
      </c>
    </row>
    <row r="225" spans="1:14" x14ac:dyDescent="0.2">
      <c r="A225" s="1" t="s">
        <v>79</v>
      </c>
      <c r="B225" s="1" t="s">
        <v>80</v>
      </c>
      <c r="C225" s="1" t="s">
        <v>327</v>
      </c>
      <c r="D225" s="2">
        <v>1253</v>
      </c>
      <c r="E225" s="2">
        <v>2916</v>
      </c>
      <c r="F225" s="2">
        <f t="shared" si="9"/>
        <v>4169</v>
      </c>
      <c r="G225" s="3">
        <f t="shared" si="10"/>
        <v>0.30055169105301033</v>
      </c>
      <c r="H225" s="3">
        <f t="shared" si="11"/>
        <v>0.69944830894698973</v>
      </c>
      <c r="I225" s="1" t="s">
        <v>523</v>
      </c>
      <c r="J225" s="2">
        <v>1414</v>
      </c>
      <c r="K225" s="2">
        <v>2894</v>
      </c>
      <c r="L225" s="2">
        <v>4308</v>
      </c>
      <c r="M225" s="3">
        <v>0.32822655524605387</v>
      </c>
      <c r="N225" s="6">
        <v>-2.77</v>
      </c>
    </row>
    <row r="226" spans="1:14" x14ac:dyDescent="0.2">
      <c r="A226" s="1" t="s">
        <v>79</v>
      </c>
      <c r="B226" s="1" t="s">
        <v>82</v>
      </c>
      <c r="C226" s="1" t="s">
        <v>328</v>
      </c>
      <c r="D226" s="2">
        <v>480</v>
      </c>
      <c r="E226" s="2">
        <v>1089</v>
      </c>
      <c r="F226" s="2">
        <f t="shared" si="9"/>
        <v>1569</v>
      </c>
      <c r="G226" s="3">
        <f t="shared" si="10"/>
        <v>0.30592734225621415</v>
      </c>
      <c r="H226" s="3">
        <f t="shared" si="11"/>
        <v>0.6940726577437859</v>
      </c>
      <c r="I226" s="1" t="s">
        <v>523</v>
      </c>
      <c r="J226" s="2">
        <v>521</v>
      </c>
      <c r="K226" s="2">
        <v>997</v>
      </c>
      <c r="L226" s="2">
        <v>1518</v>
      </c>
      <c r="M226" s="3">
        <v>0.3432147562582345</v>
      </c>
      <c r="N226" s="6">
        <v>-3.73</v>
      </c>
    </row>
    <row r="227" spans="1:14" x14ac:dyDescent="0.2">
      <c r="A227" s="1" t="s">
        <v>83</v>
      </c>
      <c r="B227" s="1" t="s">
        <v>84</v>
      </c>
      <c r="C227" s="1" t="s">
        <v>329</v>
      </c>
      <c r="D227" s="2">
        <v>634</v>
      </c>
      <c r="E227" s="2">
        <v>1025</v>
      </c>
      <c r="F227" s="2">
        <f t="shared" si="9"/>
        <v>1659</v>
      </c>
      <c r="G227" s="3">
        <f t="shared" si="10"/>
        <v>0.38215792646172392</v>
      </c>
      <c r="H227" s="3">
        <f t="shared" si="11"/>
        <v>0.61784207353827603</v>
      </c>
      <c r="I227" s="1" t="s">
        <v>523</v>
      </c>
      <c r="J227" s="2">
        <v>687</v>
      </c>
      <c r="K227" s="2">
        <v>1009</v>
      </c>
      <c r="L227" s="2">
        <v>1696</v>
      </c>
      <c r="M227" s="3">
        <v>0.40507075471698112</v>
      </c>
      <c r="N227" s="6">
        <v>-2.29</v>
      </c>
    </row>
    <row r="228" spans="1:14" x14ac:dyDescent="0.2">
      <c r="A228" s="1" t="s">
        <v>83</v>
      </c>
      <c r="B228" s="1" t="s">
        <v>84</v>
      </c>
      <c r="C228" s="1" t="s">
        <v>330</v>
      </c>
      <c r="D228" s="2">
        <v>823</v>
      </c>
      <c r="E228" s="2">
        <v>982</v>
      </c>
      <c r="F228" s="2">
        <f t="shared" si="9"/>
        <v>1805</v>
      </c>
      <c r="G228" s="3">
        <f t="shared" si="10"/>
        <v>0.45595567867036013</v>
      </c>
      <c r="H228" s="3">
        <f t="shared" si="11"/>
        <v>0.54404432132963987</v>
      </c>
      <c r="I228" s="1" t="s">
        <v>523</v>
      </c>
      <c r="J228" s="2">
        <v>824</v>
      </c>
      <c r="K228" s="2">
        <v>1009</v>
      </c>
      <c r="L228" s="2">
        <v>1833</v>
      </c>
      <c r="M228" s="3">
        <v>0.44953627932351342</v>
      </c>
      <c r="N228" s="6">
        <v>0.64</v>
      </c>
    </row>
    <row r="229" spans="1:14" x14ac:dyDescent="0.2">
      <c r="A229" s="1" t="s">
        <v>83</v>
      </c>
      <c r="B229" s="1" t="s">
        <v>85</v>
      </c>
      <c r="C229" s="1" t="s">
        <v>331</v>
      </c>
      <c r="D229" s="2">
        <v>484</v>
      </c>
      <c r="E229" s="2">
        <v>678</v>
      </c>
      <c r="F229" s="2">
        <f t="shared" si="9"/>
        <v>1162</v>
      </c>
      <c r="G229" s="3">
        <f t="shared" si="10"/>
        <v>0.41652323580034423</v>
      </c>
      <c r="H229" s="3">
        <f t="shared" si="11"/>
        <v>0.58347676419965577</v>
      </c>
      <c r="I229" s="1" t="s">
        <v>529</v>
      </c>
    </row>
    <row r="230" spans="1:14" x14ac:dyDescent="0.2">
      <c r="A230" s="1" t="s">
        <v>83</v>
      </c>
      <c r="B230" s="1" t="s">
        <v>85</v>
      </c>
      <c r="C230" s="1" t="s">
        <v>333</v>
      </c>
      <c r="D230" s="2">
        <v>489</v>
      </c>
      <c r="E230" s="2">
        <v>684</v>
      </c>
      <c r="F230" s="2">
        <f t="shared" si="9"/>
        <v>1173</v>
      </c>
      <c r="G230" s="3">
        <f t="shared" si="10"/>
        <v>0.41687979539641945</v>
      </c>
      <c r="H230" s="3">
        <f t="shared" si="11"/>
        <v>0.58312020460358061</v>
      </c>
      <c r="I230" s="1" t="s">
        <v>529</v>
      </c>
    </row>
    <row r="231" spans="1:14" x14ac:dyDescent="0.2">
      <c r="A231" s="1" t="s">
        <v>83</v>
      </c>
      <c r="B231" s="1" t="s">
        <v>86</v>
      </c>
      <c r="C231" s="1" t="s">
        <v>86</v>
      </c>
      <c r="D231" s="2">
        <v>596</v>
      </c>
      <c r="E231" s="2">
        <v>774</v>
      </c>
      <c r="F231" s="2">
        <f t="shared" si="9"/>
        <v>1370</v>
      </c>
      <c r="G231" s="3">
        <f t="shared" si="10"/>
        <v>0.43503649635036495</v>
      </c>
      <c r="H231" s="3">
        <f t="shared" si="11"/>
        <v>0.56496350364963499</v>
      </c>
      <c r="I231" s="1" t="s">
        <v>523</v>
      </c>
      <c r="J231" s="2">
        <v>623</v>
      </c>
      <c r="K231" s="2">
        <v>726</v>
      </c>
      <c r="L231" s="2">
        <v>1349</v>
      </c>
      <c r="M231" s="3">
        <v>0.46182357301704968</v>
      </c>
      <c r="N231" s="6">
        <v>-2.68</v>
      </c>
    </row>
    <row r="232" spans="1:14" x14ac:dyDescent="0.2">
      <c r="A232" s="1" t="s">
        <v>83</v>
      </c>
      <c r="B232" s="1" t="s">
        <v>56</v>
      </c>
      <c r="C232" s="1" t="s">
        <v>334</v>
      </c>
      <c r="D232" s="2">
        <v>649</v>
      </c>
      <c r="E232" s="2">
        <v>443</v>
      </c>
      <c r="F232" s="2">
        <f t="shared" si="9"/>
        <v>1092</v>
      </c>
      <c r="G232" s="3">
        <f t="shared" si="10"/>
        <v>0.59432234432234432</v>
      </c>
      <c r="H232" s="3">
        <f t="shared" si="11"/>
        <v>0.40567765567765568</v>
      </c>
      <c r="I232" s="1" t="s">
        <v>523</v>
      </c>
      <c r="J232" s="2">
        <v>775</v>
      </c>
      <c r="K232" s="2">
        <v>447</v>
      </c>
      <c r="L232" s="2">
        <v>1222</v>
      </c>
      <c r="M232" s="3">
        <v>0.63420621931260224</v>
      </c>
      <c r="N232" s="6">
        <v>-3.99</v>
      </c>
    </row>
    <row r="233" spans="1:14" x14ac:dyDescent="0.2">
      <c r="A233" s="1" t="s">
        <v>83</v>
      </c>
      <c r="B233" s="1" t="s">
        <v>56</v>
      </c>
      <c r="C233" s="1" t="s">
        <v>335</v>
      </c>
      <c r="D233" s="2">
        <v>899</v>
      </c>
      <c r="E233" s="2">
        <v>686</v>
      </c>
      <c r="F233" s="2">
        <f t="shared" si="9"/>
        <v>1585</v>
      </c>
      <c r="G233" s="3">
        <f t="shared" si="10"/>
        <v>0.567192429022082</v>
      </c>
      <c r="H233" s="3">
        <f t="shared" si="11"/>
        <v>0.432807570977918</v>
      </c>
      <c r="I233" s="1" t="s">
        <v>523</v>
      </c>
      <c r="J233" s="2">
        <v>982</v>
      </c>
      <c r="K233" s="2">
        <v>684</v>
      </c>
      <c r="L233" s="2">
        <v>1666</v>
      </c>
      <c r="M233" s="3">
        <v>0.58943577430972394</v>
      </c>
      <c r="N233" s="6">
        <v>-2.2200000000000002</v>
      </c>
    </row>
    <row r="234" spans="1:14" x14ac:dyDescent="0.2">
      <c r="A234" s="1" t="s">
        <v>83</v>
      </c>
      <c r="B234" s="1" t="s">
        <v>56</v>
      </c>
      <c r="C234" s="1" t="s">
        <v>336</v>
      </c>
      <c r="D234" s="2">
        <v>695</v>
      </c>
      <c r="E234" s="2">
        <v>411</v>
      </c>
      <c r="F234" s="2">
        <f t="shared" si="9"/>
        <v>1106</v>
      </c>
      <c r="G234" s="3">
        <f t="shared" si="10"/>
        <v>0.62839059674502717</v>
      </c>
      <c r="H234" s="3">
        <f t="shared" si="11"/>
        <v>0.37160940325497288</v>
      </c>
      <c r="I234" s="1" t="s">
        <v>523</v>
      </c>
      <c r="J234" s="2">
        <v>750</v>
      </c>
      <c r="K234" s="2">
        <v>421</v>
      </c>
      <c r="L234" s="2">
        <v>1171</v>
      </c>
      <c r="M234" s="3">
        <v>0.64047822374039287</v>
      </c>
      <c r="N234" s="6">
        <v>-1.21</v>
      </c>
    </row>
    <row r="235" spans="1:14" x14ac:dyDescent="0.2">
      <c r="A235" s="1" t="s">
        <v>83</v>
      </c>
      <c r="B235" s="1" t="s">
        <v>56</v>
      </c>
      <c r="C235" s="1" t="s">
        <v>337</v>
      </c>
      <c r="D235" s="2">
        <v>581</v>
      </c>
      <c r="E235" s="2">
        <v>367</v>
      </c>
      <c r="F235" s="2">
        <f t="shared" si="9"/>
        <v>948</v>
      </c>
      <c r="G235" s="3">
        <f t="shared" si="10"/>
        <v>0.6128691983122363</v>
      </c>
      <c r="H235" s="3">
        <f t="shared" si="11"/>
        <v>0.3871308016877637</v>
      </c>
      <c r="I235" s="1" t="s">
        <v>523</v>
      </c>
      <c r="J235" s="2">
        <v>592</v>
      </c>
      <c r="K235" s="2">
        <v>337</v>
      </c>
      <c r="L235" s="2">
        <v>929</v>
      </c>
      <c r="M235" s="3">
        <v>0.63724434876210978</v>
      </c>
      <c r="N235" s="6">
        <v>-2.44</v>
      </c>
    </row>
    <row r="236" spans="1:14" x14ac:dyDescent="0.2">
      <c r="A236" s="1" t="s">
        <v>83</v>
      </c>
      <c r="B236" s="1" t="s">
        <v>56</v>
      </c>
      <c r="C236" s="1" t="s">
        <v>338</v>
      </c>
      <c r="D236" s="2">
        <v>729</v>
      </c>
      <c r="E236" s="2">
        <v>549</v>
      </c>
      <c r="F236" s="2">
        <f t="shared" si="9"/>
        <v>1278</v>
      </c>
      <c r="G236" s="3">
        <f t="shared" si="10"/>
        <v>0.57042253521126762</v>
      </c>
      <c r="H236" s="3">
        <f t="shared" si="11"/>
        <v>0.42957746478873238</v>
      </c>
      <c r="I236" s="1" t="s">
        <v>523</v>
      </c>
      <c r="J236" s="2">
        <v>740</v>
      </c>
      <c r="K236" s="2">
        <v>506</v>
      </c>
      <c r="L236" s="2">
        <v>1246</v>
      </c>
      <c r="M236" s="3">
        <v>0.593900481540931</v>
      </c>
      <c r="N236" s="6">
        <v>-2.35</v>
      </c>
    </row>
    <row r="237" spans="1:14" x14ac:dyDescent="0.2">
      <c r="A237" s="1" t="s">
        <v>83</v>
      </c>
      <c r="B237" s="1" t="s">
        <v>56</v>
      </c>
      <c r="C237" s="1" t="s">
        <v>339</v>
      </c>
      <c r="D237" s="2">
        <v>995</v>
      </c>
      <c r="E237" s="2">
        <v>626</v>
      </c>
      <c r="F237" s="2">
        <f t="shared" si="9"/>
        <v>1621</v>
      </c>
      <c r="G237" s="3">
        <f t="shared" si="10"/>
        <v>0.61381863047501539</v>
      </c>
      <c r="H237" s="3">
        <f t="shared" si="11"/>
        <v>0.38618136952498455</v>
      </c>
      <c r="I237" s="1" t="s">
        <v>523</v>
      </c>
      <c r="J237" s="2">
        <v>1037</v>
      </c>
      <c r="K237" s="2">
        <v>623</v>
      </c>
      <c r="L237" s="2">
        <v>1660</v>
      </c>
      <c r="M237" s="3">
        <v>0.62469879518072291</v>
      </c>
      <c r="N237" s="6">
        <v>-1.0900000000000001</v>
      </c>
    </row>
    <row r="238" spans="1:14" x14ac:dyDescent="0.2">
      <c r="A238" s="1" t="s">
        <v>83</v>
      </c>
      <c r="B238" s="1" t="s">
        <v>56</v>
      </c>
      <c r="C238" s="1" t="s">
        <v>340</v>
      </c>
      <c r="D238" s="2">
        <v>662</v>
      </c>
      <c r="E238" s="2">
        <v>526</v>
      </c>
      <c r="F238" s="2">
        <f t="shared" si="9"/>
        <v>1188</v>
      </c>
      <c r="G238" s="3">
        <f t="shared" si="10"/>
        <v>0.5572390572390572</v>
      </c>
      <c r="H238" s="3">
        <f t="shared" si="11"/>
        <v>0.44276094276094274</v>
      </c>
      <c r="I238" s="1" t="s">
        <v>523</v>
      </c>
      <c r="J238" s="2">
        <v>681</v>
      </c>
      <c r="K238" s="2">
        <v>513</v>
      </c>
      <c r="L238" s="2">
        <v>1194</v>
      </c>
      <c r="M238" s="3">
        <v>0.57035175879396982</v>
      </c>
      <c r="N238" s="6">
        <v>-1.31</v>
      </c>
    </row>
    <row r="239" spans="1:14" x14ac:dyDescent="0.2">
      <c r="A239" s="1" t="s">
        <v>83</v>
      </c>
      <c r="B239" s="1" t="s">
        <v>56</v>
      </c>
      <c r="C239" s="1" t="s">
        <v>341</v>
      </c>
      <c r="D239" s="2">
        <v>497</v>
      </c>
      <c r="E239" s="2">
        <v>318</v>
      </c>
      <c r="F239" s="2">
        <f t="shared" si="9"/>
        <v>815</v>
      </c>
      <c r="G239" s="3">
        <f t="shared" si="10"/>
        <v>0.60981595092024543</v>
      </c>
      <c r="H239" s="3">
        <f t="shared" si="11"/>
        <v>0.39018404907975462</v>
      </c>
      <c r="I239" s="1" t="s">
        <v>523</v>
      </c>
      <c r="J239" s="2">
        <v>529</v>
      </c>
      <c r="K239" s="2">
        <v>293</v>
      </c>
      <c r="L239" s="2">
        <v>822</v>
      </c>
      <c r="M239" s="3">
        <v>0.64355231143552316</v>
      </c>
      <c r="N239" s="6">
        <v>-3.37</v>
      </c>
    </row>
    <row r="240" spans="1:14" x14ac:dyDescent="0.2">
      <c r="A240" s="1" t="s">
        <v>83</v>
      </c>
      <c r="B240" s="1" t="s">
        <v>56</v>
      </c>
      <c r="C240" s="1" t="s">
        <v>342</v>
      </c>
      <c r="D240" s="2">
        <v>682</v>
      </c>
      <c r="E240" s="2">
        <v>372</v>
      </c>
      <c r="F240" s="2">
        <f t="shared" si="9"/>
        <v>1054</v>
      </c>
      <c r="G240" s="3">
        <f t="shared" si="10"/>
        <v>0.6470588235294118</v>
      </c>
      <c r="H240" s="3">
        <f t="shared" si="11"/>
        <v>0.35294117647058826</v>
      </c>
      <c r="I240" s="1" t="s">
        <v>523</v>
      </c>
      <c r="J240" s="2">
        <v>767</v>
      </c>
      <c r="K240" s="2">
        <v>384</v>
      </c>
      <c r="L240" s="2">
        <v>1151</v>
      </c>
      <c r="M240" s="3">
        <v>0.66637706342311032</v>
      </c>
      <c r="N240" s="6">
        <v>-1.93</v>
      </c>
    </row>
    <row r="241" spans="1:14" x14ac:dyDescent="0.2">
      <c r="A241" s="1" t="s">
        <v>83</v>
      </c>
      <c r="B241" s="1" t="s">
        <v>56</v>
      </c>
      <c r="C241" s="1" t="s">
        <v>343</v>
      </c>
      <c r="D241" s="2">
        <v>887</v>
      </c>
      <c r="E241" s="2">
        <v>605</v>
      </c>
      <c r="F241" s="2">
        <f t="shared" si="9"/>
        <v>1492</v>
      </c>
      <c r="G241" s="3">
        <f t="shared" si="10"/>
        <v>0.59450402144772119</v>
      </c>
      <c r="H241" s="3">
        <f t="shared" si="11"/>
        <v>0.40549597855227881</v>
      </c>
      <c r="I241" s="1" t="s">
        <v>523</v>
      </c>
      <c r="J241" s="2">
        <v>906</v>
      </c>
      <c r="K241" s="2">
        <v>586</v>
      </c>
      <c r="L241" s="2">
        <v>1492</v>
      </c>
      <c r="M241" s="3">
        <v>0.60723860589812328</v>
      </c>
      <c r="N241" s="6">
        <v>-1.27</v>
      </c>
    </row>
    <row r="242" spans="1:14" x14ac:dyDescent="0.2">
      <c r="A242" s="1" t="s">
        <v>83</v>
      </c>
      <c r="B242" s="1" t="s">
        <v>56</v>
      </c>
      <c r="C242" s="1" t="s">
        <v>344</v>
      </c>
      <c r="D242" s="2">
        <v>930</v>
      </c>
      <c r="E242" s="2">
        <v>500</v>
      </c>
      <c r="F242" s="2">
        <f t="shared" si="9"/>
        <v>1430</v>
      </c>
      <c r="G242" s="3">
        <f t="shared" si="10"/>
        <v>0.65034965034965031</v>
      </c>
      <c r="H242" s="3">
        <f t="shared" si="11"/>
        <v>0.34965034965034963</v>
      </c>
      <c r="I242" s="1" t="s">
        <v>523</v>
      </c>
      <c r="J242" s="2">
        <v>954</v>
      </c>
      <c r="K242" s="2">
        <v>416</v>
      </c>
      <c r="L242" s="2">
        <v>1370</v>
      </c>
      <c r="M242" s="3">
        <v>0.69635036496350367</v>
      </c>
      <c r="N242" s="6">
        <v>-4.5999999999999996</v>
      </c>
    </row>
    <row r="243" spans="1:14" x14ac:dyDescent="0.2">
      <c r="A243" s="1" t="s">
        <v>83</v>
      </c>
      <c r="B243" s="1" t="s">
        <v>56</v>
      </c>
      <c r="C243" s="1" t="s">
        <v>345</v>
      </c>
      <c r="D243" s="2">
        <v>683</v>
      </c>
      <c r="E243" s="2">
        <v>455</v>
      </c>
      <c r="F243" s="2">
        <f t="shared" si="9"/>
        <v>1138</v>
      </c>
      <c r="G243" s="3">
        <f t="shared" si="10"/>
        <v>0.60017574692442888</v>
      </c>
      <c r="H243" s="3">
        <f t="shared" si="11"/>
        <v>0.39982425307557118</v>
      </c>
      <c r="I243" s="1" t="s">
        <v>523</v>
      </c>
      <c r="J243" s="2">
        <v>821</v>
      </c>
      <c r="K243" s="2">
        <v>474</v>
      </c>
      <c r="L243" s="2">
        <v>1295</v>
      </c>
      <c r="M243" s="3">
        <v>0.63397683397683402</v>
      </c>
      <c r="N243" s="6">
        <v>-3.38</v>
      </c>
    </row>
    <row r="244" spans="1:14" x14ac:dyDescent="0.2">
      <c r="A244" s="1" t="s">
        <v>83</v>
      </c>
      <c r="B244" s="1" t="s">
        <v>56</v>
      </c>
      <c r="C244" s="1" t="s">
        <v>346</v>
      </c>
      <c r="D244" s="2">
        <v>300</v>
      </c>
      <c r="E244" s="2">
        <v>132</v>
      </c>
      <c r="F244" s="2">
        <f t="shared" si="9"/>
        <v>432</v>
      </c>
      <c r="G244" s="3">
        <f t="shared" si="10"/>
        <v>0.69444444444444442</v>
      </c>
      <c r="H244" s="3">
        <f t="shared" si="11"/>
        <v>0.30555555555555558</v>
      </c>
      <c r="I244" s="1" t="s">
        <v>523</v>
      </c>
      <c r="J244" s="2">
        <v>283</v>
      </c>
      <c r="K244" s="2">
        <v>110</v>
      </c>
      <c r="L244" s="2">
        <v>393</v>
      </c>
      <c r="M244" s="3">
        <v>0.72010178117048351</v>
      </c>
      <c r="N244" s="6">
        <v>-2.57</v>
      </c>
    </row>
    <row r="245" spans="1:14" x14ac:dyDescent="0.2">
      <c r="A245" s="1" t="s">
        <v>83</v>
      </c>
      <c r="B245" s="1" t="s">
        <v>56</v>
      </c>
      <c r="C245" s="1" t="s">
        <v>347</v>
      </c>
      <c r="D245" s="2">
        <v>461</v>
      </c>
      <c r="E245" s="2">
        <v>156</v>
      </c>
      <c r="F245" s="2">
        <f t="shared" si="9"/>
        <v>617</v>
      </c>
      <c r="G245" s="3">
        <f t="shared" si="10"/>
        <v>0.74716369529983795</v>
      </c>
      <c r="H245" s="3">
        <f t="shared" si="11"/>
        <v>0.25283630470016205</v>
      </c>
      <c r="I245" s="1" t="s">
        <v>523</v>
      </c>
      <c r="J245" s="2">
        <v>450</v>
      </c>
      <c r="K245" s="2">
        <v>179</v>
      </c>
      <c r="L245" s="2">
        <v>629</v>
      </c>
      <c r="M245" s="3">
        <v>0.71542130365659773</v>
      </c>
      <c r="N245" s="6">
        <v>3.17</v>
      </c>
    </row>
    <row r="246" spans="1:14" x14ac:dyDescent="0.2">
      <c r="A246" s="1" t="s">
        <v>83</v>
      </c>
      <c r="B246" s="1" t="s">
        <v>56</v>
      </c>
      <c r="C246" s="1" t="s">
        <v>348</v>
      </c>
      <c r="D246" s="2">
        <v>467</v>
      </c>
      <c r="E246" s="2">
        <v>197</v>
      </c>
      <c r="F246" s="2">
        <f t="shared" si="9"/>
        <v>664</v>
      </c>
      <c r="G246" s="3">
        <f t="shared" si="10"/>
        <v>0.70331325301204817</v>
      </c>
      <c r="H246" s="3">
        <f t="shared" si="11"/>
        <v>0.29668674698795183</v>
      </c>
      <c r="I246" s="1" t="s">
        <v>523</v>
      </c>
      <c r="J246" s="2">
        <v>442</v>
      </c>
      <c r="K246" s="2">
        <v>161</v>
      </c>
      <c r="L246" s="2">
        <v>603</v>
      </c>
      <c r="M246" s="3">
        <v>0.7330016583747927</v>
      </c>
      <c r="N246" s="6">
        <v>-2.97</v>
      </c>
    </row>
    <row r="247" spans="1:14" x14ac:dyDescent="0.2">
      <c r="A247" s="1" t="s">
        <v>83</v>
      </c>
      <c r="B247" s="1" t="s">
        <v>56</v>
      </c>
      <c r="C247" s="1" t="s">
        <v>349</v>
      </c>
      <c r="D247" s="2">
        <v>689</v>
      </c>
      <c r="E247" s="2">
        <v>225</v>
      </c>
      <c r="F247" s="2">
        <f t="shared" si="9"/>
        <v>914</v>
      </c>
      <c r="G247" s="3">
        <f t="shared" si="10"/>
        <v>0.75382932166301975</v>
      </c>
      <c r="H247" s="3">
        <f t="shared" si="11"/>
        <v>0.24617067833698031</v>
      </c>
      <c r="I247" s="1" t="s">
        <v>523</v>
      </c>
      <c r="J247" s="2">
        <v>599</v>
      </c>
      <c r="K247" s="2">
        <v>203</v>
      </c>
      <c r="L247" s="2">
        <v>802</v>
      </c>
      <c r="M247" s="3">
        <v>0.74688279301745641</v>
      </c>
      <c r="N247" s="6">
        <v>0.69</v>
      </c>
    </row>
    <row r="248" spans="1:14" x14ac:dyDescent="0.2">
      <c r="A248" s="1" t="s">
        <v>83</v>
      </c>
      <c r="B248" s="1" t="s">
        <v>56</v>
      </c>
      <c r="C248" s="1" t="s">
        <v>350</v>
      </c>
      <c r="D248" s="2">
        <v>1462</v>
      </c>
      <c r="E248" s="2">
        <v>328</v>
      </c>
      <c r="F248" s="2">
        <f t="shared" si="9"/>
        <v>1790</v>
      </c>
      <c r="G248" s="3">
        <f t="shared" si="10"/>
        <v>0.81675977653631282</v>
      </c>
      <c r="H248" s="3">
        <f t="shared" si="11"/>
        <v>0.18324022346368715</v>
      </c>
      <c r="I248" s="1" t="s">
        <v>523</v>
      </c>
      <c r="J248" s="2">
        <v>1506</v>
      </c>
      <c r="K248" s="2">
        <v>338</v>
      </c>
      <c r="L248" s="2">
        <v>1844</v>
      </c>
      <c r="M248" s="3">
        <v>0.81670281995661609</v>
      </c>
      <c r="N248" s="6">
        <v>0.01</v>
      </c>
    </row>
    <row r="249" spans="1:14" x14ac:dyDescent="0.2">
      <c r="A249" s="1" t="s">
        <v>83</v>
      </c>
      <c r="B249" s="1" t="s">
        <v>56</v>
      </c>
      <c r="C249" s="1" t="s">
        <v>351</v>
      </c>
      <c r="D249" s="2">
        <v>777</v>
      </c>
      <c r="E249" s="2">
        <v>263</v>
      </c>
      <c r="F249" s="2">
        <f t="shared" si="9"/>
        <v>1040</v>
      </c>
      <c r="G249" s="3">
        <f t="shared" si="10"/>
        <v>0.74711538461538463</v>
      </c>
      <c r="H249" s="3">
        <f t="shared" si="11"/>
        <v>0.25288461538461537</v>
      </c>
      <c r="I249" s="1" t="s">
        <v>523</v>
      </c>
      <c r="J249" s="2">
        <v>645</v>
      </c>
      <c r="K249" s="2">
        <v>243</v>
      </c>
      <c r="L249" s="2">
        <v>888</v>
      </c>
      <c r="M249" s="3">
        <v>0.72635135135135132</v>
      </c>
      <c r="N249" s="6">
        <v>2.08</v>
      </c>
    </row>
    <row r="250" spans="1:14" x14ac:dyDescent="0.2">
      <c r="A250" s="1" t="s">
        <v>83</v>
      </c>
      <c r="B250" s="1" t="s">
        <v>56</v>
      </c>
      <c r="C250" s="1" t="s">
        <v>352</v>
      </c>
      <c r="D250" s="2">
        <v>693</v>
      </c>
      <c r="E250" s="2">
        <v>272</v>
      </c>
      <c r="F250" s="2">
        <f t="shared" si="9"/>
        <v>965</v>
      </c>
      <c r="G250" s="3">
        <f t="shared" si="10"/>
        <v>0.71813471502590676</v>
      </c>
      <c r="H250" s="3">
        <f t="shared" si="11"/>
        <v>0.28186528497409324</v>
      </c>
      <c r="I250" s="1" t="s">
        <v>523</v>
      </c>
      <c r="J250" s="2">
        <v>628</v>
      </c>
      <c r="K250" s="2">
        <v>267</v>
      </c>
      <c r="L250" s="2">
        <v>895</v>
      </c>
      <c r="M250" s="3">
        <v>0.70167597765363132</v>
      </c>
      <c r="N250" s="6">
        <v>1.65</v>
      </c>
    </row>
    <row r="251" spans="1:14" x14ac:dyDescent="0.2">
      <c r="A251" s="1" t="s">
        <v>83</v>
      </c>
      <c r="B251" s="1" t="s">
        <v>56</v>
      </c>
      <c r="C251" s="1" t="s">
        <v>353</v>
      </c>
      <c r="D251" s="2">
        <v>362</v>
      </c>
      <c r="E251" s="2">
        <v>166</v>
      </c>
      <c r="F251" s="2">
        <f t="shared" si="9"/>
        <v>528</v>
      </c>
      <c r="G251" s="3">
        <f t="shared" si="10"/>
        <v>0.68560606060606055</v>
      </c>
      <c r="H251" s="3">
        <f t="shared" si="11"/>
        <v>0.31439393939393939</v>
      </c>
      <c r="I251" s="1" t="s">
        <v>523</v>
      </c>
      <c r="J251" s="2">
        <v>473</v>
      </c>
      <c r="K251" s="2">
        <v>153</v>
      </c>
      <c r="L251" s="2">
        <v>626</v>
      </c>
      <c r="M251" s="3">
        <v>0.75559105431309903</v>
      </c>
      <c r="N251" s="6">
        <v>-7</v>
      </c>
    </row>
    <row r="252" spans="1:14" x14ac:dyDescent="0.2">
      <c r="A252" s="1" t="s">
        <v>83</v>
      </c>
      <c r="B252" s="1" t="s">
        <v>56</v>
      </c>
      <c r="C252" s="1" t="s">
        <v>354</v>
      </c>
      <c r="D252" s="2">
        <v>652</v>
      </c>
      <c r="E252" s="2">
        <v>283</v>
      </c>
      <c r="F252" s="2">
        <f t="shared" si="9"/>
        <v>935</v>
      </c>
      <c r="G252" s="3">
        <f t="shared" si="10"/>
        <v>0.69732620320855609</v>
      </c>
      <c r="H252" s="3">
        <f t="shared" si="11"/>
        <v>0.30267379679144385</v>
      </c>
      <c r="I252" s="1" t="s">
        <v>523</v>
      </c>
      <c r="J252" s="2">
        <v>745</v>
      </c>
      <c r="K252" s="2">
        <v>301</v>
      </c>
      <c r="L252" s="2">
        <v>1046</v>
      </c>
      <c r="M252" s="3">
        <v>0.71223709369024857</v>
      </c>
      <c r="N252" s="6">
        <v>-1.49</v>
      </c>
    </row>
    <row r="253" spans="1:14" x14ac:dyDescent="0.2">
      <c r="A253" s="1" t="s">
        <v>83</v>
      </c>
      <c r="B253" s="1" t="s">
        <v>56</v>
      </c>
      <c r="C253" s="1" t="s">
        <v>355</v>
      </c>
      <c r="D253" s="2">
        <v>648</v>
      </c>
      <c r="E253" s="2">
        <v>307</v>
      </c>
      <c r="F253" s="2">
        <f t="shared" si="9"/>
        <v>955</v>
      </c>
      <c r="G253" s="3">
        <f t="shared" si="10"/>
        <v>0.67853403141361257</v>
      </c>
      <c r="H253" s="3">
        <f t="shared" si="11"/>
        <v>0.32146596858638743</v>
      </c>
      <c r="I253" s="1" t="s">
        <v>523</v>
      </c>
      <c r="J253" s="2">
        <v>682</v>
      </c>
      <c r="K253" s="2">
        <v>313</v>
      </c>
      <c r="L253" s="2">
        <v>995</v>
      </c>
      <c r="M253" s="3">
        <v>0.68542713567839197</v>
      </c>
      <c r="N253" s="6">
        <v>-0.69</v>
      </c>
    </row>
    <row r="254" spans="1:14" x14ac:dyDescent="0.2">
      <c r="A254" s="1" t="s">
        <v>83</v>
      </c>
      <c r="B254" s="1" t="s">
        <v>56</v>
      </c>
      <c r="C254" s="1" t="s">
        <v>356</v>
      </c>
      <c r="D254" s="2">
        <v>670</v>
      </c>
      <c r="E254" s="2">
        <v>329</v>
      </c>
      <c r="F254" s="2">
        <f t="shared" si="9"/>
        <v>999</v>
      </c>
      <c r="G254" s="3">
        <f t="shared" si="10"/>
        <v>0.67067067067067065</v>
      </c>
      <c r="H254" s="3">
        <f t="shared" si="11"/>
        <v>0.32932932932932935</v>
      </c>
      <c r="I254" s="1" t="s">
        <v>523</v>
      </c>
      <c r="J254" s="2">
        <v>711</v>
      </c>
      <c r="K254" s="2">
        <v>341</v>
      </c>
      <c r="L254" s="2">
        <v>1052</v>
      </c>
      <c r="M254" s="3">
        <v>0.67585551330798477</v>
      </c>
      <c r="N254" s="6">
        <v>-0.52</v>
      </c>
    </row>
    <row r="255" spans="1:14" x14ac:dyDescent="0.2">
      <c r="A255" s="1" t="s">
        <v>83</v>
      </c>
      <c r="B255" s="1" t="s">
        <v>56</v>
      </c>
      <c r="C255" s="1" t="s">
        <v>357</v>
      </c>
      <c r="D255" s="2">
        <v>676</v>
      </c>
      <c r="E255" s="2">
        <v>319</v>
      </c>
      <c r="F255" s="2">
        <f t="shared" si="9"/>
        <v>995</v>
      </c>
      <c r="G255" s="3">
        <f t="shared" si="10"/>
        <v>0.67939698492462308</v>
      </c>
      <c r="H255" s="3">
        <f t="shared" si="11"/>
        <v>0.32060301507537686</v>
      </c>
      <c r="I255" s="1" t="s">
        <v>523</v>
      </c>
      <c r="J255" s="2">
        <v>718</v>
      </c>
      <c r="K255" s="2">
        <v>347</v>
      </c>
      <c r="L255" s="2">
        <v>1065</v>
      </c>
      <c r="M255" s="3">
        <v>0.67417840375586857</v>
      </c>
      <c r="N255" s="6">
        <v>0.52</v>
      </c>
    </row>
    <row r="256" spans="1:14" x14ac:dyDescent="0.2">
      <c r="A256" s="1" t="s">
        <v>83</v>
      </c>
      <c r="B256" s="1" t="s">
        <v>87</v>
      </c>
      <c r="C256" s="1" t="s">
        <v>358</v>
      </c>
      <c r="D256" s="2">
        <v>420</v>
      </c>
      <c r="E256" s="2">
        <v>443</v>
      </c>
      <c r="F256" s="2">
        <f t="shared" si="9"/>
        <v>863</v>
      </c>
      <c r="G256" s="3">
        <f t="shared" si="10"/>
        <v>0.48667439165701043</v>
      </c>
      <c r="H256" s="3">
        <f t="shared" si="11"/>
        <v>0.51332560834298957</v>
      </c>
      <c r="I256" s="1" t="s">
        <v>523</v>
      </c>
      <c r="J256" s="2">
        <v>466</v>
      </c>
      <c r="K256" s="2">
        <v>405</v>
      </c>
      <c r="L256" s="2">
        <v>871</v>
      </c>
      <c r="M256" s="3">
        <v>0.5350172215843858</v>
      </c>
      <c r="N256" s="6">
        <v>-4.83</v>
      </c>
    </row>
    <row r="257" spans="1:14" x14ac:dyDescent="0.2">
      <c r="A257" s="1" t="s">
        <v>83</v>
      </c>
      <c r="B257" s="1" t="s">
        <v>87</v>
      </c>
      <c r="C257" s="1" t="s">
        <v>359</v>
      </c>
      <c r="D257" s="2">
        <v>536</v>
      </c>
      <c r="E257" s="2">
        <v>546</v>
      </c>
      <c r="F257" s="2">
        <f t="shared" si="9"/>
        <v>1082</v>
      </c>
      <c r="G257" s="3">
        <f t="shared" si="10"/>
        <v>0.49537892791127541</v>
      </c>
      <c r="H257" s="3">
        <f t="shared" si="11"/>
        <v>0.50462107208872453</v>
      </c>
      <c r="I257" s="1" t="s">
        <v>523</v>
      </c>
      <c r="J257" s="2">
        <v>552</v>
      </c>
      <c r="K257" s="2">
        <v>506</v>
      </c>
      <c r="L257" s="2">
        <v>1058</v>
      </c>
      <c r="M257" s="3">
        <v>0.52173913043478259</v>
      </c>
      <c r="N257" s="6">
        <v>-2.64</v>
      </c>
    </row>
    <row r="258" spans="1:14" x14ac:dyDescent="0.2">
      <c r="A258" s="1" t="s">
        <v>83</v>
      </c>
      <c r="B258" s="1" t="s">
        <v>87</v>
      </c>
      <c r="C258" s="1" t="s">
        <v>360</v>
      </c>
      <c r="D258" s="2">
        <v>633</v>
      </c>
      <c r="E258" s="2">
        <v>585</v>
      </c>
      <c r="F258" s="2">
        <f t="shared" si="9"/>
        <v>1218</v>
      </c>
      <c r="G258" s="3">
        <f t="shared" si="10"/>
        <v>0.51970443349753692</v>
      </c>
      <c r="H258" s="3">
        <f t="shared" si="11"/>
        <v>0.48029556650246308</v>
      </c>
      <c r="I258" s="1" t="s">
        <v>523</v>
      </c>
      <c r="J258" s="2">
        <v>722</v>
      </c>
      <c r="K258" s="2">
        <v>596</v>
      </c>
      <c r="L258" s="2">
        <v>1318</v>
      </c>
      <c r="M258" s="3">
        <v>0.54779969650986338</v>
      </c>
      <c r="N258" s="6">
        <v>-2.81</v>
      </c>
    </row>
    <row r="259" spans="1:14" x14ac:dyDescent="0.2">
      <c r="A259" s="1" t="s">
        <v>83</v>
      </c>
      <c r="B259" s="1" t="s">
        <v>87</v>
      </c>
      <c r="C259" s="1" t="s">
        <v>361</v>
      </c>
      <c r="D259" s="2">
        <v>311</v>
      </c>
      <c r="E259" s="2">
        <v>391</v>
      </c>
      <c r="F259" s="2">
        <f t="shared" si="9"/>
        <v>702</v>
      </c>
      <c r="G259" s="3">
        <f t="shared" si="10"/>
        <v>0.44301994301994302</v>
      </c>
      <c r="H259" s="3">
        <f t="shared" si="11"/>
        <v>0.55698005698005693</v>
      </c>
      <c r="I259" s="1" t="s">
        <v>523</v>
      </c>
      <c r="J259" s="2">
        <v>339</v>
      </c>
      <c r="K259" s="2">
        <v>338</v>
      </c>
      <c r="L259" s="2">
        <v>677</v>
      </c>
      <c r="M259" s="3">
        <v>0.50073855243722309</v>
      </c>
      <c r="N259" s="6">
        <v>-5.77</v>
      </c>
    </row>
    <row r="260" spans="1:14" x14ac:dyDescent="0.2">
      <c r="A260" s="1" t="s">
        <v>83</v>
      </c>
      <c r="B260" s="1" t="s">
        <v>87</v>
      </c>
      <c r="C260" s="1" t="s">
        <v>362</v>
      </c>
      <c r="D260" s="2">
        <v>554</v>
      </c>
      <c r="E260" s="2">
        <v>500</v>
      </c>
      <c r="F260" s="2">
        <f t="shared" si="9"/>
        <v>1054</v>
      </c>
      <c r="G260" s="3">
        <f t="shared" si="10"/>
        <v>0.52561669829222013</v>
      </c>
      <c r="H260" s="3">
        <f t="shared" si="11"/>
        <v>0.47438330170777987</v>
      </c>
      <c r="I260" s="1" t="s">
        <v>523</v>
      </c>
      <c r="J260" s="2">
        <v>579</v>
      </c>
      <c r="K260" s="2">
        <v>482</v>
      </c>
      <c r="L260" s="2">
        <v>1061</v>
      </c>
      <c r="M260" s="3">
        <v>0.54571159283694626</v>
      </c>
      <c r="N260" s="6">
        <v>-2.0099999999999998</v>
      </c>
    </row>
    <row r="261" spans="1:14" x14ac:dyDescent="0.2">
      <c r="A261" s="1" t="s">
        <v>83</v>
      </c>
      <c r="B261" s="1" t="s">
        <v>87</v>
      </c>
      <c r="C261" s="1" t="s">
        <v>363</v>
      </c>
      <c r="D261" s="2">
        <v>529</v>
      </c>
      <c r="E261" s="2">
        <v>534</v>
      </c>
      <c r="F261" s="2">
        <f t="shared" si="9"/>
        <v>1063</v>
      </c>
      <c r="G261" s="3">
        <f t="shared" si="10"/>
        <v>0.49764816556914393</v>
      </c>
      <c r="H261" s="3">
        <f t="shared" si="11"/>
        <v>0.50235183443085607</v>
      </c>
      <c r="I261" s="1" t="s">
        <v>523</v>
      </c>
      <c r="J261" s="2">
        <v>562</v>
      </c>
      <c r="K261" s="2">
        <v>525</v>
      </c>
      <c r="L261" s="2">
        <v>1087</v>
      </c>
      <c r="M261" s="3">
        <v>0.51701931922723088</v>
      </c>
      <c r="N261" s="6">
        <v>-1.94</v>
      </c>
    </row>
    <row r="262" spans="1:14" x14ac:dyDescent="0.2">
      <c r="A262" s="1" t="s">
        <v>83</v>
      </c>
      <c r="B262" s="1" t="s">
        <v>87</v>
      </c>
      <c r="C262" s="1" t="s">
        <v>364</v>
      </c>
      <c r="D262" s="2">
        <v>328</v>
      </c>
      <c r="E262" s="2">
        <v>307</v>
      </c>
      <c r="F262" s="2">
        <f t="shared" si="9"/>
        <v>635</v>
      </c>
      <c r="G262" s="3">
        <f t="shared" si="10"/>
        <v>0.51653543307086613</v>
      </c>
      <c r="H262" s="3">
        <f t="shared" si="11"/>
        <v>0.48346456692913387</v>
      </c>
      <c r="I262" s="1" t="s">
        <v>523</v>
      </c>
      <c r="J262" s="2">
        <v>337</v>
      </c>
      <c r="K262" s="2">
        <v>296</v>
      </c>
      <c r="L262" s="2">
        <v>633</v>
      </c>
      <c r="M262" s="3">
        <v>0.53238546603475512</v>
      </c>
      <c r="N262" s="6">
        <v>-1.59</v>
      </c>
    </row>
    <row r="263" spans="1:14" x14ac:dyDescent="0.2">
      <c r="A263" s="1" t="s">
        <v>83</v>
      </c>
      <c r="B263" s="1" t="s">
        <v>87</v>
      </c>
      <c r="C263" s="1" t="s">
        <v>365</v>
      </c>
      <c r="D263" s="2">
        <v>469</v>
      </c>
      <c r="E263" s="2">
        <v>385</v>
      </c>
      <c r="F263" s="2">
        <f t="shared" si="9"/>
        <v>854</v>
      </c>
      <c r="G263" s="3">
        <f t="shared" si="10"/>
        <v>0.54918032786885251</v>
      </c>
      <c r="H263" s="3">
        <f t="shared" si="11"/>
        <v>0.45081967213114754</v>
      </c>
      <c r="I263" s="1" t="s">
        <v>523</v>
      </c>
      <c r="J263" s="2">
        <v>517</v>
      </c>
      <c r="K263" s="2">
        <v>388</v>
      </c>
      <c r="L263" s="2">
        <v>905</v>
      </c>
      <c r="M263" s="3">
        <v>0.57127071823204423</v>
      </c>
      <c r="N263" s="6">
        <v>-2.21</v>
      </c>
    </row>
    <row r="264" spans="1:14" x14ac:dyDescent="0.2">
      <c r="A264" s="1" t="s">
        <v>83</v>
      </c>
      <c r="B264" s="1" t="s">
        <v>87</v>
      </c>
      <c r="C264" s="1" t="s">
        <v>366</v>
      </c>
      <c r="D264" s="2">
        <v>303</v>
      </c>
      <c r="E264" s="2">
        <v>246</v>
      </c>
      <c r="F264" s="2">
        <f t="shared" si="9"/>
        <v>549</v>
      </c>
      <c r="G264" s="3">
        <f t="shared" si="10"/>
        <v>0.55191256830601088</v>
      </c>
      <c r="H264" s="3">
        <f t="shared" si="11"/>
        <v>0.44808743169398907</v>
      </c>
      <c r="I264" s="1" t="s">
        <v>523</v>
      </c>
      <c r="J264" s="2">
        <v>329</v>
      </c>
      <c r="K264" s="2">
        <v>217</v>
      </c>
      <c r="L264" s="2">
        <v>546</v>
      </c>
      <c r="M264" s="3">
        <v>0.60256410256410253</v>
      </c>
      <c r="N264" s="6">
        <v>-5.07</v>
      </c>
    </row>
    <row r="265" spans="1:14" x14ac:dyDescent="0.2">
      <c r="A265" s="1" t="s">
        <v>83</v>
      </c>
      <c r="B265" s="1" t="s">
        <v>87</v>
      </c>
      <c r="C265" s="1" t="s">
        <v>367</v>
      </c>
      <c r="D265" s="2">
        <v>305</v>
      </c>
      <c r="E265" s="2">
        <v>358</v>
      </c>
      <c r="F265" s="2">
        <f t="shared" si="9"/>
        <v>663</v>
      </c>
      <c r="G265" s="3">
        <f t="shared" si="10"/>
        <v>0.46003016591251883</v>
      </c>
      <c r="H265" s="3">
        <f t="shared" si="11"/>
        <v>0.53996983408748112</v>
      </c>
      <c r="I265" s="1" t="s">
        <v>523</v>
      </c>
      <c r="J265" s="2">
        <v>352</v>
      </c>
      <c r="K265" s="2">
        <v>326</v>
      </c>
      <c r="L265" s="2">
        <v>678</v>
      </c>
      <c r="M265" s="3">
        <v>0.5191740412979351</v>
      </c>
      <c r="N265" s="6">
        <v>-5.91</v>
      </c>
    </row>
    <row r="266" spans="1:14" x14ac:dyDescent="0.2">
      <c r="A266" s="1" t="s">
        <v>83</v>
      </c>
      <c r="B266" s="1" t="s">
        <v>87</v>
      </c>
      <c r="C266" s="1" t="s">
        <v>368</v>
      </c>
      <c r="D266" s="2">
        <v>408</v>
      </c>
      <c r="E266" s="2">
        <v>404</v>
      </c>
      <c r="F266" s="2">
        <f t="shared" si="9"/>
        <v>812</v>
      </c>
      <c r="G266" s="3">
        <f t="shared" si="10"/>
        <v>0.50246305418719217</v>
      </c>
      <c r="H266" s="3">
        <f t="shared" si="11"/>
        <v>0.49753694581280788</v>
      </c>
      <c r="I266" s="1" t="s">
        <v>523</v>
      </c>
      <c r="J266" s="2">
        <v>420</v>
      </c>
      <c r="K266" s="2">
        <v>378</v>
      </c>
      <c r="L266" s="2">
        <v>798</v>
      </c>
      <c r="M266" s="3">
        <v>0.52631578947368418</v>
      </c>
      <c r="N266" s="6">
        <v>-2.39</v>
      </c>
    </row>
    <row r="267" spans="1:14" x14ac:dyDescent="0.2">
      <c r="A267" s="1" t="s">
        <v>83</v>
      </c>
      <c r="B267" s="1" t="s">
        <v>87</v>
      </c>
      <c r="C267" s="1" t="s">
        <v>369</v>
      </c>
      <c r="D267" s="2">
        <v>489</v>
      </c>
      <c r="E267" s="2">
        <v>453</v>
      </c>
      <c r="F267" s="2">
        <f t="shared" si="9"/>
        <v>942</v>
      </c>
      <c r="G267" s="3">
        <f t="shared" si="10"/>
        <v>0.51910828025477707</v>
      </c>
      <c r="H267" s="3">
        <f t="shared" si="11"/>
        <v>0.48089171974522293</v>
      </c>
      <c r="I267" s="1" t="s">
        <v>523</v>
      </c>
      <c r="J267" s="2">
        <v>522</v>
      </c>
      <c r="K267" s="2">
        <v>400</v>
      </c>
      <c r="L267" s="2">
        <v>922</v>
      </c>
      <c r="M267" s="3">
        <v>0.56616052060737532</v>
      </c>
      <c r="N267" s="6">
        <v>-4.71</v>
      </c>
    </row>
    <row r="268" spans="1:14" x14ac:dyDescent="0.2">
      <c r="A268" s="1" t="s">
        <v>83</v>
      </c>
      <c r="B268" s="1" t="s">
        <v>87</v>
      </c>
      <c r="C268" s="1" t="s">
        <v>370</v>
      </c>
      <c r="D268" s="2">
        <v>434</v>
      </c>
      <c r="E268" s="2">
        <v>475</v>
      </c>
      <c r="F268" s="2">
        <f t="shared" ref="F268:F331" si="12">IF(COUNTA(D268:E268)=0,"",SUM(D268:E268))</f>
        <v>909</v>
      </c>
      <c r="G268" s="3">
        <f t="shared" ref="G268:G331" si="13">IF(OR(F268="",F268=0),"",D268/F268)</f>
        <v>0.47744774477447743</v>
      </c>
      <c r="H268" s="3">
        <f t="shared" ref="H268:H331" si="14">IF(OR(F268="",F268=0),"",E268/F268)</f>
        <v>0.52255225522552251</v>
      </c>
      <c r="I268" s="1" t="s">
        <v>523</v>
      </c>
      <c r="J268" s="2">
        <v>436</v>
      </c>
      <c r="K268" s="2">
        <v>423</v>
      </c>
      <c r="L268" s="2">
        <v>859</v>
      </c>
      <c r="M268" s="3">
        <v>0.50756693830034927</v>
      </c>
      <c r="N268" s="6">
        <v>-3.01</v>
      </c>
    </row>
    <row r="269" spans="1:14" x14ac:dyDescent="0.2">
      <c r="A269" s="1" t="s">
        <v>83</v>
      </c>
      <c r="B269" s="1" t="s">
        <v>87</v>
      </c>
      <c r="C269" s="1" t="s">
        <v>371</v>
      </c>
      <c r="D269" s="2">
        <v>806</v>
      </c>
      <c r="E269" s="2">
        <v>741</v>
      </c>
      <c r="F269" s="2">
        <f t="shared" si="12"/>
        <v>1547</v>
      </c>
      <c r="G269" s="3">
        <f t="shared" si="13"/>
        <v>0.52100840336134457</v>
      </c>
      <c r="H269" s="3">
        <f t="shared" si="14"/>
        <v>0.47899159663865548</v>
      </c>
      <c r="I269" s="1" t="s">
        <v>523</v>
      </c>
      <c r="J269" s="2">
        <v>925</v>
      </c>
      <c r="K269" s="2">
        <v>710</v>
      </c>
      <c r="L269" s="2">
        <v>1635</v>
      </c>
      <c r="M269" s="3">
        <v>0.56574923547400613</v>
      </c>
      <c r="N269" s="6">
        <v>-4.47</v>
      </c>
    </row>
    <row r="270" spans="1:14" x14ac:dyDescent="0.2">
      <c r="A270" s="1" t="s">
        <v>83</v>
      </c>
      <c r="B270" s="1" t="s">
        <v>87</v>
      </c>
      <c r="C270" s="1" t="s">
        <v>372</v>
      </c>
      <c r="D270" s="2">
        <v>485</v>
      </c>
      <c r="E270" s="2">
        <v>566</v>
      </c>
      <c r="F270" s="2">
        <f t="shared" si="12"/>
        <v>1051</v>
      </c>
      <c r="G270" s="3">
        <f t="shared" si="13"/>
        <v>0.461465271170314</v>
      </c>
      <c r="H270" s="3">
        <f t="shared" si="14"/>
        <v>0.538534728829686</v>
      </c>
      <c r="I270" s="1" t="s">
        <v>523</v>
      </c>
      <c r="J270" s="2">
        <v>535</v>
      </c>
      <c r="K270" s="2">
        <v>514</v>
      </c>
      <c r="L270" s="2">
        <v>1049</v>
      </c>
      <c r="M270" s="3">
        <v>0.51000953288846518</v>
      </c>
      <c r="N270" s="6">
        <v>-4.8499999999999996</v>
      </c>
    </row>
    <row r="271" spans="1:14" x14ac:dyDescent="0.2">
      <c r="A271" s="1" t="s">
        <v>83</v>
      </c>
      <c r="B271" s="1" t="s">
        <v>87</v>
      </c>
      <c r="C271" s="1" t="s">
        <v>373</v>
      </c>
      <c r="D271" s="2">
        <v>460</v>
      </c>
      <c r="E271" s="2">
        <v>529</v>
      </c>
      <c r="F271" s="2">
        <f t="shared" si="12"/>
        <v>989</v>
      </c>
      <c r="G271" s="3">
        <f t="shared" si="13"/>
        <v>0.46511627906976744</v>
      </c>
      <c r="H271" s="3">
        <f t="shared" si="14"/>
        <v>0.53488372093023251</v>
      </c>
      <c r="I271" s="1" t="s">
        <v>523</v>
      </c>
      <c r="J271" s="2">
        <v>499</v>
      </c>
      <c r="K271" s="2">
        <v>468</v>
      </c>
      <c r="L271" s="2">
        <v>967</v>
      </c>
      <c r="M271" s="3">
        <v>0.516028955532575</v>
      </c>
      <c r="N271" s="6">
        <v>-5.09</v>
      </c>
    </row>
    <row r="272" spans="1:14" x14ac:dyDescent="0.2">
      <c r="A272" s="1" t="s">
        <v>83</v>
      </c>
      <c r="B272" s="1" t="s">
        <v>87</v>
      </c>
      <c r="C272" s="1" t="s">
        <v>374</v>
      </c>
      <c r="D272" s="2">
        <v>496</v>
      </c>
      <c r="E272" s="2">
        <v>504</v>
      </c>
      <c r="F272" s="2">
        <f t="shared" si="12"/>
        <v>1000</v>
      </c>
      <c r="G272" s="3">
        <f t="shared" si="13"/>
        <v>0.496</v>
      </c>
      <c r="H272" s="3">
        <f t="shared" si="14"/>
        <v>0.504</v>
      </c>
      <c r="I272" s="1" t="s">
        <v>523</v>
      </c>
      <c r="J272" s="2">
        <v>503</v>
      </c>
      <c r="K272" s="2">
        <v>468</v>
      </c>
      <c r="L272" s="2">
        <v>971</v>
      </c>
      <c r="M272" s="3">
        <v>0.51802265705458295</v>
      </c>
      <c r="N272" s="6">
        <v>-2.2000000000000002</v>
      </c>
    </row>
    <row r="273" spans="1:14" x14ac:dyDescent="0.2">
      <c r="A273" s="1" t="s">
        <v>83</v>
      </c>
      <c r="B273" s="1" t="s">
        <v>88</v>
      </c>
      <c r="C273" s="1" t="s">
        <v>375</v>
      </c>
      <c r="D273" s="2">
        <v>855</v>
      </c>
      <c r="E273" s="2">
        <v>1540</v>
      </c>
      <c r="F273" s="2">
        <f t="shared" si="12"/>
        <v>2395</v>
      </c>
      <c r="G273" s="3">
        <f t="shared" si="13"/>
        <v>0.35699373695198328</v>
      </c>
      <c r="H273" s="3">
        <f t="shared" si="14"/>
        <v>0.64300626304801667</v>
      </c>
      <c r="I273" s="1" t="s">
        <v>523</v>
      </c>
      <c r="J273" s="2">
        <v>939</v>
      </c>
      <c r="K273" s="2">
        <v>1452</v>
      </c>
      <c r="L273" s="2">
        <v>2391</v>
      </c>
      <c r="M273" s="3">
        <v>0.39272271016311172</v>
      </c>
      <c r="N273" s="6">
        <v>-3.57</v>
      </c>
    </row>
    <row r="274" spans="1:14" x14ac:dyDescent="0.2">
      <c r="A274" s="1" t="s">
        <v>83</v>
      </c>
      <c r="B274" s="1" t="s">
        <v>88</v>
      </c>
      <c r="C274" s="1" t="s">
        <v>376</v>
      </c>
      <c r="D274" s="2">
        <v>784</v>
      </c>
      <c r="E274" s="2">
        <v>1226</v>
      </c>
      <c r="F274" s="2">
        <f t="shared" si="12"/>
        <v>2010</v>
      </c>
      <c r="G274" s="3">
        <f t="shared" si="13"/>
        <v>0.39004975124378111</v>
      </c>
      <c r="H274" s="3">
        <f t="shared" si="14"/>
        <v>0.60995024875621895</v>
      </c>
      <c r="I274" s="1" t="s">
        <v>523</v>
      </c>
      <c r="J274" s="2">
        <v>820</v>
      </c>
      <c r="K274" s="2">
        <v>1185</v>
      </c>
      <c r="L274" s="2">
        <v>2005</v>
      </c>
      <c r="M274" s="3">
        <v>0.40897755610972569</v>
      </c>
      <c r="N274" s="6">
        <v>-1.89</v>
      </c>
    </row>
    <row r="275" spans="1:14" x14ac:dyDescent="0.2">
      <c r="A275" s="1" t="s">
        <v>83</v>
      </c>
      <c r="B275" s="1" t="s">
        <v>88</v>
      </c>
      <c r="C275" s="1" t="s">
        <v>377</v>
      </c>
      <c r="D275" s="2">
        <v>376</v>
      </c>
      <c r="E275" s="2">
        <v>835</v>
      </c>
      <c r="F275" s="2">
        <f t="shared" si="12"/>
        <v>1211</v>
      </c>
      <c r="G275" s="3">
        <f t="shared" si="13"/>
        <v>0.31048720066061108</v>
      </c>
      <c r="H275" s="3">
        <f t="shared" si="14"/>
        <v>0.68951279933938892</v>
      </c>
      <c r="I275" s="1" t="s">
        <v>523</v>
      </c>
      <c r="J275" s="2">
        <v>410</v>
      </c>
      <c r="K275" s="2">
        <v>822</v>
      </c>
      <c r="L275" s="2">
        <v>1232</v>
      </c>
      <c r="M275" s="3">
        <v>0.33279220779220781</v>
      </c>
      <c r="N275" s="6">
        <v>-2.23</v>
      </c>
    </row>
    <row r="276" spans="1:14" x14ac:dyDescent="0.2">
      <c r="A276" s="1" t="s">
        <v>83</v>
      </c>
      <c r="B276" s="1" t="s">
        <v>89</v>
      </c>
      <c r="C276" s="1" t="s">
        <v>89</v>
      </c>
      <c r="D276" s="2">
        <v>39</v>
      </c>
      <c r="E276" s="2">
        <v>83</v>
      </c>
      <c r="F276" s="2">
        <f t="shared" si="12"/>
        <v>122</v>
      </c>
      <c r="G276" s="3">
        <f t="shared" si="13"/>
        <v>0.31967213114754101</v>
      </c>
      <c r="H276" s="3">
        <f t="shared" si="14"/>
        <v>0.68032786885245899</v>
      </c>
      <c r="I276" s="1" t="s">
        <v>523</v>
      </c>
      <c r="J276" s="2">
        <v>40</v>
      </c>
      <c r="K276" s="2">
        <v>83</v>
      </c>
      <c r="L276" s="2">
        <v>123</v>
      </c>
      <c r="M276" s="3">
        <v>0.32520325203252032</v>
      </c>
      <c r="N276" s="6">
        <v>-0.55000000000000004</v>
      </c>
    </row>
    <row r="277" spans="1:14" x14ac:dyDescent="0.2">
      <c r="A277" s="1" t="s">
        <v>83</v>
      </c>
      <c r="B277" s="1" t="s">
        <v>90</v>
      </c>
      <c r="C277" s="1" t="s">
        <v>378</v>
      </c>
      <c r="D277" s="2">
        <v>672</v>
      </c>
      <c r="E277" s="2">
        <v>1044</v>
      </c>
      <c r="F277" s="2">
        <f t="shared" si="12"/>
        <v>1716</v>
      </c>
      <c r="G277" s="3">
        <f t="shared" si="13"/>
        <v>0.39160839160839161</v>
      </c>
      <c r="H277" s="3">
        <f t="shared" si="14"/>
        <v>0.60839160839160844</v>
      </c>
      <c r="I277" s="1" t="s">
        <v>523</v>
      </c>
      <c r="J277" s="2">
        <v>774</v>
      </c>
      <c r="K277" s="2">
        <v>1032</v>
      </c>
      <c r="L277" s="2">
        <v>1806</v>
      </c>
      <c r="M277" s="3">
        <v>0.42857142857142849</v>
      </c>
      <c r="N277" s="6">
        <v>-3.7</v>
      </c>
    </row>
    <row r="278" spans="1:14" x14ac:dyDescent="0.2">
      <c r="A278" s="1" t="s">
        <v>83</v>
      </c>
      <c r="B278" s="1" t="s">
        <v>90</v>
      </c>
      <c r="C278" s="1" t="s">
        <v>379</v>
      </c>
      <c r="D278" s="2">
        <v>696</v>
      </c>
      <c r="E278" s="2">
        <v>957</v>
      </c>
      <c r="F278" s="2">
        <f t="shared" si="12"/>
        <v>1653</v>
      </c>
      <c r="G278" s="3">
        <f t="shared" si="13"/>
        <v>0.42105263157894735</v>
      </c>
      <c r="H278" s="3">
        <f t="shared" si="14"/>
        <v>0.57894736842105265</v>
      </c>
      <c r="I278" s="1" t="s">
        <v>523</v>
      </c>
      <c r="J278" s="2">
        <v>710</v>
      </c>
      <c r="K278" s="2">
        <v>927</v>
      </c>
      <c r="L278" s="2">
        <v>1637</v>
      </c>
      <c r="M278" s="3">
        <v>0.43372021991447768</v>
      </c>
      <c r="N278" s="6">
        <v>-1.27</v>
      </c>
    </row>
    <row r="279" spans="1:14" x14ac:dyDescent="0.2">
      <c r="A279" s="1" t="s">
        <v>83</v>
      </c>
      <c r="B279" s="1" t="s">
        <v>91</v>
      </c>
      <c r="C279" s="1" t="s">
        <v>91</v>
      </c>
      <c r="D279" s="2">
        <v>183</v>
      </c>
      <c r="E279" s="2">
        <v>328</v>
      </c>
      <c r="F279" s="2">
        <f t="shared" si="12"/>
        <v>511</v>
      </c>
      <c r="G279" s="3">
        <f t="shared" si="13"/>
        <v>0.35812133072407043</v>
      </c>
      <c r="H279" s="3">
        <f t="shared" si="14"/>
        <v>0.64187866927592951</v>
      </c>
      <c r="I279" s="1" t="s">
        <v>523</v>
      </c>
      <c r="J279" s="2">
        <v>217</v>
      </c>
      <c r="K279" s="2">
        <v>309</v>
      </c>
      <c r="L279" s="2">
        <v>526</v>
      </c>
      <c r="M279" s="3">
        <v>0.41254752851711018</v>
      </c>
      <c r="N279" s="6">
        <v>-5.44</v>
      </c>
    </row>
    <row r="280" spans="1:14" x14ac:dyDescent="0.2">
      <c r="A280" s="1" t="s">
        <v>83</v>
      </c>
      <c r="B280" s="1" t="s">
        <v>92</v>
      </c>
      <c r="C280" s="1" t="s">
        <v>380</v>
      </c>
      <c r="D280" s="2">
        <v>671</v>
      </c>
      <c r="E280" s="2">
        <v>359</v>
      </c>
      <c r="F280" s="2">
        <f t="shared" si="12"/>
        <v>1030</v>
      </c>
      <c r="G280" s="3">
        <f t="shared" si="13"/>
        <v>0.65145631067961163</v>
      </c>
      <c r="H280" s="3">
        <f t="shared" si="14"/>
        <v>0.34854368932038837</v>
      </c>
      <c r="I280" s="1" t="s">
        <v>523</v>
      </c>
      <c r="J280" s="2">
        <v>738</v>
      </c>
      <c r="K280" s="2">
        <v>384</v>
      </c>
      <c r="L280" s="2">
        <v>1122</v>
      </c>
      <c r="M280" s="3">
        <v>0.65775401069518713</v>
      </c>
      <c r="N280" s="6">
        <v>-0.63</v>
      </c>
    </row>
    <row r="281" spans="1:14" x14ac:dyDescent="0.2">
      <c r="A281" s="1" t="s">
        <v>83</v>
      </c>
      <c r="B281" s="1" t="s">
        <v>92</v>
      </c>
      <c r="C281" s="1" t="s">
        <v>381</v>
      </c>
      <c r="D281" s="2">
        <v>776</v>
      </c>
      <c r="E281" s="2">
        <v>362</v>
      </c>
      <c r="F281" s="2">
        <f t="shared" si="12"/>
        <v>1138</v>
      </c>
      <c r="G281" s="3">
        <f t="shared" si="13"/>
        <v>0.68189806678383125</v>
      </c>
      <c r="H281" s="3">
        <f t="shared" si="14"/>
        <v>0.3181019332161687</v>
      </c>
      <c r="I281" s="1" t="s">
        <v>523</v>
      </c>
      <c r="J281" s="2">
        <v>757</v>
      </c>
      <c r="K281" s="2">
        <v>343</v>
      </c>
      <c r="L281" s="2">
        <v>1100</v>
      </c>
      <c r="M281" s="3">
        <v>0.68818181818181823</v>
      </c>
      <c r="N281" s="6">
        <v>-0.63</v>
      </c>
    </row>
    <row r="282" spans="1:14" x14ac:dyDescent="0.2">
      <c r="A282" s="1" t="s">
        <v>83</v>
      </c>
      <c r="B282" s="1" t="s">
        <v>92</v>
      </c>
      <c r="C282" s="1" t="s">
        <v>382</v>
      </c>
      <c r="D282" s="2">
        <v>477</v>
      </c>
      <c r="E282" s="2">
        <v>184</v>
      </c>
      <c r="F282" s="2">
        <f t="shared" si="12"/>
        <v>661</v>
      </c>
      <c r="G282" s="3">
        <f t="shared" si="13"/>
        <v>0.72163388804841144</v>
      </c>
      <c r="H282" s="3">
        <f t="shared" si="14"/>
        <v>0.2783661119515885</v>
      </c>
      <c r="I282" s="1" t="s">
        <v>523</v>
      </c>
      <c r="J282" s="2">
        <v>492</v>
      </c>
      <c r="K282" s="2">
        <v>197</v>
      </c>
      <c r="L282" s="2">
        <v>689</v>
      </c>
      <c r="M282" s="3">
        <v>0.71407837445573297</v>
      </c>
      <c r="N282" s="6">
        <v>0.76</v>
      </c>
    </row>
    <row r="283" spans="1:14" x14ac:dyDescent="0.2">
      <c r="A283" s="1" t="s">
        <v>83</v>
      </c>
      <c r="B283" s="1" t="s">
        <v>92</v>
      </c>
      <c r="C283" s="1" t="s">
        <v>383</v>
      </c>
      <c r="D283" s="2">
        <v>700</v>
      </c>
      <c r="E283" s="2">
        <v>260</v>
      </c>
      <c r="F283" s="2">
        <f t="shared" si="12"/>
        <v>960</v>
      </c>
      <c r="G283" s="3">
        <f t="shared" si="13"/>
        <v>0.72916666666666663</v>
      </c>
      <c r="H283" s="3">
        <f t="shared" si="14"/>
        <v>0.27083333333333331</v>
      </c>
      <c r="I283" s="1" t="s">
        <v>523</v>
      </c>
      <c r="J283" s="2">
        <v>743</v>
      </c>
      <c r="K283" s="2">
        <v>265</v>
      </c>
      <c r="L283" s="2">
        <v>1008</v>
      </c>
      <c r="M283" s="3">
        <v>0.73710317460317465</v>
      </c>
      <c r="N283" s="6">
        <v>-0.79</v>
      </c>
    </row>
    <row r="284" spans="1:14" x14ac:dyDescent="0.2">
      <c r="A284" s="1" t="s">
        <v>83</v>
      </c>
      <c r="B284" s="1" t="s">
        <v>92</v>
      </c>
      <c r="C284" s="1" t="s">
        <v>384</v>
      </c>
      <c r="D284" s="2">
        <v>996</v>
      </c>
      <c r="E284" s="2">
        <v>245</v>
      </c>
      <c r="F284" s="2">
        <f t="shared" si="12"/>
        <v>1241</v>
      </c>
      <c r="G284" s="3">
        <f t="shared" si="13"/>
        <v>0.80257856567284447</v>
      </c>
      <c r="H284" s="3">
        <f t="shared" si="14"/>
        <v>0.19742143432715553</v>
      </c>
      <c r="I284" s="1" t="s">
        <v>523</v>
      </c>
      <c r="J284" s="2">
        <v>1109</v>
      </c>
      <c r="K284" s="2">
        <v>290</v>
      </c>
      <c r="L284" s="2">
        <v>1399</v>
      </c>
      <c r="M284" s="3">
        <v>0.79270907791279488</v>
      </c>
      <c r="N284" s="6">
        <v>0.99</v>
      </c>
    </row>
    <row r="285" spans="1:14" x14ac:dyDescent="0.2">
      <c r="A285" s="1" t="s">
        <v>83</v>
      </c>
      <c r="B285" s="1" t="s">
        <v>92</v>
      </c>
      <c r="C285" s="1" t="s">
        <v>385</v>
      </c>
      <c r="D285" s="2">
        <v>531</v>
      </c>
      <c r="E285" s="2">
        <v>221</v>
      </c>
      <c r="F285" s="2">
        <f t="shared" si="12"/>
        <v>752</v>
      </c>
      <c r="G285" s="3">
        <f t="shared" si="13"/>
        <v>0.7061170212765957</v>
      </c>
      <c r="H285" s="3">
        <f t="shared" si="14"/>
        <v>0.29388297872340424</v>
      </c>
      <c r="I285" s="1" t="s">
        <v>523</v>
      </c>
      <c r="J285" s="2">
        <v>566</v>
      </c>
      <c r="K285" s="2">
        <v>257</v>
      </c>
      <c r="L285" s="2">
        <v>823</v>
      </c>
      <c r="M285" s="3">
        <v>0.68772782503037666</v>
      </c>
      <c r="N285" s="6">
        <v>1.84</v>
      </c>
    </row>
    <row r="286" spans="1:14" x14ac:dyDescent="0.2">
      <c r="A286" s="1" t="s">
        <v>83</v>
      </c>
      <c r="B286" s="1" t="s">
        <v>92</v>
      </c>
      <c r="C286" s="1" t="s">
        <v>386</v>
      </c>
      <c r="D286" s="2">
        <v>531</v>
      </c>
      <c r="E286" s="2">
        <v>270</v>
      </c>
      <c r="F286" s="2">
        <f t="shared" si="12"/>
        <v>801</v>
      </c>
      <c r="G286" s="3">
        <f t="shared" si="13"/>
        <v>0.6629213483146067</v>
      </c>
      <c r="H286" s="3">
        <f t="shared" si="14"/>
        <v>0.33707865168539325</v>
      </c>
      <c r="I286" s="1" t="s">
        <v>523</v>
      </c>
      <c r="J286" s="2">
        <v>517</v>
      </c>
      <c r="K286" s="2">
        <v>265</v>
      </c>
      <c r="L286" s="2">
        <v>782</v>
      </c>
      <c r="M286" s="3">
        <v>0.66112531969309463</v>
      </c>
      <c r="N286" s="6">
        <v>0.18</v>
      </c>
    </row>
    <row r="287" spans="1:14" x14ac:dyDescent="0.2">
      <c r="A287" s="1" t="s">
        <v>83</v>
      </c>
      <c r="B287" s="1" t="s">
        <v>92</v>
      </c>
      <c r="C287" s="1" t="s">
        <v>387</v>
      </c>
      <c r="D287" s="2">
        <v>191</v>
      </c>
      <c r="E287" s="2">
        <v>86</v>
      </c>
      <c r="F287" s="2">
        <f t="shared" si="12"/>
        <v>277</v>
      </c>
      <c r="G287" s="3">
        <f t="shared" si="13"/>
        <v>0.68953068592057765</v>
      </c>
      <c r="H287" s="3">
        <f t="shared" si="14"/>
        <v>0.31046931407942241</v>
      </c>
      <c r="I287" s="1" t="s">
        <v>523</v>
      </c>
      <c r="J287" s="2">
        <v>233</v>
      </c>
      <c r="K287" s="2">
        <v>84</v>
      </c>
      <c r="L287" s="2">
        <v>317</v>
      </c>
      <c r="M287" s="3">
        <v>0.73501577287066244</v>
      </c>
      <c r="N287" s="6">
        <v>-4.55</v>
      </c>
    </row>
    <row r="288" spans="1:14" x14ac:dyDescent="0.2">
      <c r="A288" s="1" t="s">
        <v>83</v>
      </c>
      <c r="B288" s="1" t="s">
        <v>92</v>
      </c>
      <c r="C288" s="1" t="s">
        <v>388</v>
      </c>
      <c r="D288" s="2">
        <v>382</v>
      </c>
      <c r="E288" s="2">
        <v>148</v>
      </c>
      <c r="F288" s="2">
        <f t="shared" si="12"/>
        <v>530</v>
      </c>
      <c r="G288" s="3">
        <f t="shared" si="13"/>
        <v>0.72075471698113203</v>
      </c>
      <c r="H288" s="3">
        <f t="shared" si="14"/>
        <v>0.27924528301886792</v>
      </c>
      <c r="I288" s="1" t="s">
        <v>523</v>
      </c>
      <c r="J288" s="2">
        <v>391</v>
      </c>
      <c r="K288" s="2">
        <v>126</v>
      </c>
      <c r="L288" s="2">
        <v>517</v>
      </c>
      <c r="M288" s="3">
        <v>0.7562862669245648</v>
      </c>
      <c r="N288" s="6">
        <v>-3.55</v>
      </c>
    </row>
    <row r="289" spans="1:14" x14ac:dyDescent="0.2">
      <c r="A289" s="1" t="s">
        <v>83</v>
      </c>
      <c r="B289" s="1" t="s">
        <v>92</v>
      </c>
      <c r="C289" s="1" t="s">
        <v>389</v>
      </c>
      <c r="D289" s="2">
        <v>435</v>
      </c>
      <c r="E289" s="2">
        <v>162</v>
      </c>
      <c r="F289" s="2">
        <f t="shared" si="12"/>
        <v>597</v>
      </c>
      <c r="G289" s="3">
        <f t="shared" si="13"/>
        <v>0.72864321608040206</v>
      </c>
      <c r="H289" s="3">
        <f t="shared" si="14"/>
        <v>0.271356783919598</v>
      </c>
      <c r="I289" s="1" t="s">
        <v>523</v>
      </c>
      <c r="J289" s="2">
        <v>381</v>
      </c>
      <c r="K289" s="2">
        <v>184</v>
      </c>
      <c r="L289" s="2">
        <v>565</v>
      </c>
      <c r="M289" s="3">
        <v>0.67433628318584071</v>
      </c>
      <c r="N289" s="6">
        <v>5.43</v>
      </c>
    </row>
    <row r="290" spans="1:14" x14ac:dyDescent="0.2">
      <c r="A290" s="1" t="s">
        <v>83</v>
      </c>
      <c r="B290" s="1" t="s">
        <v>92</v>
      </c>
      <c r="C290" s="1" t="s">
        <v>390</v>
      </c>
      <c r="D290" s="2">
        <v>755</v>
      </c>
      <c r="E290" s="2">
        <v>446</v>
      </c>
      <c r="F290" s="2">
        <f t="shared" si="12"/>
        <v>1201</v>
      </c>
      <c r="G290" s="3">
        <f t="shared" si="13"/>
        <v>0.62864279766860953</v>
      </c>
      <c r="H290" s="3">
        <f t="shared" si="14"/>
        <v>0.37135720233139052</v>
      </c>
      <c r="I290" s="1" t="s">
        <v>523</v>
      </c>
      <c r="J290" s="2">
        <v>765</v>
      </c>
      <c r="K290" s="2">
        <v>463</v>
      </c>
      <c r="L290" s="2">
        <v>1228</v>
      </c>
      <c r="M290" s="3">
        <v>0.62296416938110755</v>
      </c>
      <c r="N290" s="6">
        <v>0.56999999999999995</v>
      </c>
    </row>
    <row r="291" spans="1:14" x14ac:dyDescent="0.2">
      <c r="A291" s="1" t="s">
        <v>83</v>
      </c>
      <c r="B291" s="1" t="s">
        <v>92</v>
      </c>
      <c r="C291" s="1" t="s">
        <v>391</v>
      </c>
      <c r="D291" s="2">
        <v>913</v>
      </c>
      <c r="E291" s="2">
        <v>430</v>
      </c>
      <c r="F291" s="2">
        <f t="shared" si="12"/>
        <v>1343</v>
      </c>
      <c r="G291" s="3">
        <f t="shared" si="13"/>
        <v>0.67982129560685034</v>
      </c>
      <c r="H291" s="3">
        <f t="shared" si="14"/>
        <v>0.32017870439314966</v>
      </c>
      <c r="I291" s="1" t="s">
        <v>523</v>
      </c>
      <c r="J291" s="2">
        <v>912</v>
      </c>
      <c r="K291" s="2">
        <v>445</v>
      </c>
      <c r="L291" s="2">
        <v>1357</v>
      </c>
      <c r="M291" s="3">
        <v>0.67207074428887248</v>
      </c>
      <c r="N291" s="6">
        <v>0.78</v>
      </c>
    </row>
    <row r="292" spans="1:14" x14ac:dyDescent="0.2">
      <c r="A292" s="1" t="s">
        <v>83</v>
      </c>
      <c r="B292" s="1" t="s">
        <v>93</v>
      </c>
      <c r="C292" s="1" t="s">
        <v>392</v>
      </c>
      <c r="D292" s="2">
        <v>833</v>
      </c>
      <c r="E292" s="2">
        <v>859</v>
      </c>
      <c r="F292" s="2">
        <f t="shared" si="12"/>
        <v>1692</v>
      </c>
      <c r="G292" s="3">
        <f t="shared" si="13"/>
        <v>0.49231678486997638</v>
      </c>
      <c r="H292" s="3">
        <f t="shared" si="14"/>
        <v>0.50768321513002368</v>
      </c>
      <c r="I292" s="1" t="s">
        <v>529</v>
      </c>
    </row>
    <row r="293" spans="1:14" x14ac:dyDescent="0.2">
      <c r="A293" s="1" t="s">
        <v>83</v>
      </c>
      <c r="B293" s="1" t="s">
        <v>93</v>
      </c>
      <c r="C293" s="1" t="s">
        <v>393</v>
      </c>
      <c r="D293" s="2">
        <v>649</v>
      </c>
      <c r="E293" s="2">
        <v>669</v>
      </c>
      <c r="F293" s="2">
        <f t="shared" si="12"/>
        <v>1318</v>
      </c>
      <c r="G293" s="3">
        <f t="shared" si="13"/>
        <v>0.49241274658573597</v>
      </c>
      <c r="H293" s="3">
        <f t="shared" si="14"/>
        <v>0.50758725341426403</v>
      </c>
      <c r="I293" s="1" t="s">
        <v>529</v>
      </c>
    </row>
    <row r="294" spans="1:14" x14ac:dyDescent="0.2">
      <c r="A294" s="1" t="s">
        <v>83</v>
      </c>
      <c r="B294" s="1" t="s">
        <v>93</v>
      </c>
      <c r="C294" s="1" t="s">
        <v>394</v>
      </c>
      <c r="D294" s="2">
        <v>759</v>
      </c>
      <c r="E294" s="2">
        <v>781</v>
      </c>
      <c r="F294" s="2">
        <f t="shared" si="12"/>
        <v>1540</v>
      </c>
      <c r="G294" s="3">
        <f t="shared" si="13"/>
        <v>0.49285714285714288</v>
      </c>
      <c r="H294" s="3">
        <f t="shared" si="14"/>
        <v>0.50714285714285712</v>
      </c>
      <c r="I294" s="1" t="s">
        <v>529</v>
      </c>
    </row>
    <row r="295" spans="1:14" x14ac:dyDescent="0.2">
      <c r="A295" s="1" t="s">
        <v>83</v>
      </c>
      <c r="B295" s="1" t="s">
        <v>93</v>
      </c>
      <c r="C295" s="1" t="s">
        <v>395</v>
      </c>
      <c r="D295" s="2">
        <v>725</v>
      </c>
      <c r="E295" s="2">
        <v>748</v>
      </c>
      <c r="F295" s="2">
        <f t="shared" si="12"/>
        <v>1473</v>
      </c>
      <c r="G295" s="3">
        <f t="shared" si="13"/>
        <v>0.49219280380176511</v>
      </c>
      <c r="H295" s="3">
        <f t="shared" si="14"/>
        <v>0.50780719619823489</v>
      </c>
      <c r="I295" s="1" t="s">
        <v>529</v>
      </c>
    </row>
    <row r="296" spans="1:14" x14ac:dyDescent="0.2">
      <c r="A296" s="1" t="s">
        <v>83</v>
      </c>
      <c r="B296" s="1" t="s">
        <v>93</v>
      </c>
      <c r="C296" s="1" t="s">
        <v>396</v>
      </c>
      <c r="D296" s="2">
        <v>641</v>
      </c>
      <c r="E296" s="2">
        <v>661</v>
      </c>
      <c r="F296" s="2">
        <f t="shared" si="12"/>
        <v>1302</v>
      </c>
      <c r="G296" s="3">
        <f t="shared" si="13"/>
        <v>0.49231950844854072</v>
      </c>
      <c r="H296" s="3">
        <f t="shared" si="14"/>
        <v>0.50768049155145933</v>
      </c>
      <c r="I296" s="1" t="s">
        <v>529</v>
      </c>
    </row>
    <row r="297" spans="1:14" x14ac:dyDescent="0.2">
      <c r="A297" s="1" t="s">
        <v>83</v>
      </c>
      <c r="B297" s="1" t="s">
        <v>93</v>
      </c>
      <c r="C297" s="1" t="s">
        <v>397</v>
      </c>
      <c r="D297" s="2">
        <v>754</v>
      </c>
      <c r="E297" s="2">
        <v>778</v>
      </c>
      <c r="F297" s="2">
        <f t="shared" si="12"/>
        <v>1532</v>
      </c>
      <c r="G297" s="3">
        <f t="shared" si="13"/>
        <v>0.49216710182767626</v>
      </c>
      <c r="H297" s="3">
        <f t="shared" si="14"/>
        <v>0.5078328981723238</v>
      </c>
      <c r="I297" s="1" t="s">
        <v>529</v>
      </c>
    </row>
    <row r="298" spans="1:14" x14ac:dyDescent="0.2">
      <c r="A298" s="1" t="s">
        <v>83</v>
      </c>
      <c r="B298" s="1" t="s">
        <v>93</v>
      </c>
      <c r="C298" s="1" t="s">
        <v>398</v>
      </c>
      <c r="D298" s="2">
        <v>700</v>
      </c>
      <c r="E298" s="2">
        <v>722</v>
      </c>
      <c r="F298" s="2">
        <f t="shared" si="12"/>
        <v>1422</v>
      </c>
      <c r="G298" s="3">
        <f t="shared" si="13"/>
        <v>0.49226441631504925</v>
      </c>
      <c r="H298" s="3">
        <f t="shared" si="14"/>
        <v>0.50773558368495075</v>
      </c>
      <c r="I298" s="1" t="s">
        <v>529</v>
      </c>
    </row>
    <row r="299" spans="1:14" x14ac:dyDescent="0.2">
      <c r="A299" s="1" t="s">
        <v>83</v>
      </c>
      <c r="B299" s="1" t="s">
        <v>94</v>
      </c>
      <c r="C299" s="1" t="s">
        <v>94</v>
      </c>
      <c r="D299" s="2">
        <v>688</v>
      </c>
      <c r="E299" s="2">
        <v>576</v>
      </c>
      <c r="F299" s="2">
        <f t="shared" si="12"/>
        <v>1264</v>
      </c>
      <c r="G299" s="3">
        <f t="shared" si="13"/>
        <v>0.54430379746835444</v>
      </c>
      <c r="H299" s="3">
        <f t="shared" si="14"/>
        <v>0.45569620253164556</v>
      </c>
      <c r="I299" s="1" t="s">
        <v>523</v>
      </c>
      <c r="J299" s="2">
        <v>714</v>
      </c>
      <c r="K299" s="2">
        <v>484</v>
      </c>
      <c r="L299" s="2">
        <v>1198</v>
      </c>
      <c r="M299" s="3">
        <v>0.59599332220367274</v>
      </c>
      <c r="N299" s="6">
        <v>-5.17</v>
      </c>
    </row>
    <row r="300" spans="1:14" x14ac:dyDescent="0.2">
      <c r="A300" s="1" t="s">
        <v>83</v>
      </c>
      <c r="B300" s="1" t="s">
        <v>95</v>
      </c>
      <c r="C300" s="1" t="s">
        <v>95</v>
      </c>
      <c r="D300" s="2">
        <v>97</v>
      </c>
      <c r="E300" s="2">
        <v>108</v>
      </c>
      <c r="F300" s="2">
        <f t="shared" si="12"/>
        <v>205</v>
      </c>
      <c r="G300" s="3">
        <f t="shared" si="13"/>
        <v>0.47317073170731705</v>
      </c>
      <c r="H300" s="3">
        <f t="shared" si="14"/>
        <v>0.52682926829268295</v>
      </c>
      <c r="I300" s="1" t="s">
        <v>523</v>
      </c>
      <c r="J300" s="2">
        <v>109</v>
      </c>
      <c r="K300" s="2">
        <v>97</v>
      </c>
      <c r="L300" s="2">
        <v>206</v>
      </c>
      <c r="M300" s="3">
        <v>0.529126213592233</v>
      </c>
      <c r="N300" s="6">
        <v>-5.6</v>
      </c>
    </row>
    <row r="301" spans="1:14" x14ac:dyDescent="0.2">
      <c r="A301" s="1" t="s">
        <v>83</v>
      </c>
      <c r="B301" s="1" t="s">
        <v>62</v>
      </c>
      <c r="C301" s="1" t="s">
        <v>399</v>
      </c>
      <c r="D301" s="2">
        <v>881</v>
      </c>
      <c r="E301" s="2">
        <v>753</v>
      </c>
      <c r="F301" s="2">
        <f t="shared" si="12"/>
        <v>1634</v>
      </c>
      <c r="G301" s="3">
        <f t="shared" si="13"/>
        <v>0.53916768665850678</v>
      </c>
      <c r="H301" s="3">
        <f t="shared" si="14"/>
        <v>0.46083231334149327</v>
      </c>
      <c r="I301" s="1" t="s">
        <v>523</v>
      </c>
      <c r="J301" s="2">
        <v>955</v>
      </c>
      <c r="K301" s="2">
        <v>692</v>
      </c>
      <c r="L301" s="2">
        <v>1647</v>
      </c>
      <c r="M301" s="3">
        <v>0.57984213721918643</v>
      </c>
      <c r="N301" s="6">
        <v>-4.07</v>
      </c>
    </row>
    <row r="302" spans="1:14" x14ac:dyDescent="0.2">
      <c r="A302" s="1" t="s">
        <v>83</v>
      </c>
      <c r="B302" s="1" t="s">
        <v>62</v>
      </c>
      <c r="C302" s="1" t="s">
        <v>400</v>
      </c>
      <c r="D302" s="2">
        <v>869</v>
      </c>
      <c r="E302" s="2">
        <v>849</v>
      </c>
      <c r="F302" s="2">
        <f t="shared" si="12"/>
        <v>1718</v>
      </c>
      <c r="G302" s="3">
        <f t="shared" si="13"/>
        <v>0.50582072176949944</v>
      </c>
      <c r="H302" s="3">
        <f t="shared" si="14"/>
        <v>0.49417927823050056</v>
      </c>
      <c r="I302" s="1" t="s">
        <v>523</v>
      </c>
      <c r="J302" s="2">
        <v>910</v>
      </c>
      <c r="K302" s="2">
        <v>742</v>
      </c>
      <c r="L302" s="2">
        <v>1652</v>
      </c>
      <c r="M302" s="3">
        <v>0.55084745762711862</v>
      </c>
      <c r="N302" s="6">
        <v>-4.5</v>
      </c>
    </row>
    <row r="303" spans="1:14" x14ac:dyDescent="0.2">
      <c r="A303" s="1" t="s">
        <v>83</v>
      </c>
      <c r="B303" s="1" t="s">
        <v>62</v>
      </c>
      <c r="C303" s="1" t="s">
        <v>401</v>
      </c>
      <c r="D303" s="2">
        <v>417</v>
      </c>
      <c r="E303" s="2">
        <v>424</v>
      </c>
      <c r="F303" s="2">
        <f t="shared" si="12"/>
        <v>841</v>
      </c>
      <c r="G303" s="3">
        <f t="shared" si="13"/>
        <v>0.49583828775267541</v>
      </c>
      <c r="H303" s="3">
        <f t="shared" si="14"/>
        <v>0.50416171224732464</v>
      </c>
      <c r="I303" s="1" t="s">
        <v>523</v>
      </c>
      <c r="J303" s="2">
        <v>446</v>
      </c>
      <c r="K303" s="2">
        <v>410</v>
      </c>
      <c r="L303" s="2">
        <v>856</v>
      </c>
      <c r="M303" s="3">
        <v>0.5210280373831776</v>
      </c>
      <c r="N303" s="6">
        <v>-2.52</v>
      </c>
    </row>
    <row r="304" spans="1:14" x14ac:dyDescent="0.2">
      <c r="A304" s="1" t="s">
        <v>83</v>
      </c>
      <c r="B304" s="1" t="s">
        <v>62</v>
      </c>
      <c r="C304" s="1" t="s">
        <v>402</v>
      </c>
      <c r="D304" s="2">
        <v>701</v>
      </c>
      <c r="E304" s="2">
        <v>735</v>
      </c>
      <c r="F304" s="2">
        <f t="shared" si="12"/>
        <v>1436</v>
      </c>
      <c r="G304" s="3">
        <f t="shared" si="13"/>
        <v>0.4881615598885794</v>
      </c>
      <c r="H304" s="3">
        <f t="shared" si="14"/>
        <v>0.51183844011142066</v>
      </c>
      <c r="I304" s="1" t="s">
        <v>523</v>
      </c>
      <c r="J304" s="2">
        <v>744</v>
      </c>
      <c r="K304" s="2">
        <v>678</v>
      </c>
      <c r="L304" s="2">
        <v>1422</v>
      </c>
      <c r="M304" s="3">
        <v>0.52320675105485237</v>
      </c>
      <c r="N304" s="6">
        <v>-3.5</v>
      </c>
    </row>
    <row r="305" spans="1:14" x14ac:dyDescent="0.2">
      <c r="A305" s="1" t="s">
        <v>83</v>
      </c>
      <c r="B305" s="1" t="s">
        <v>62</v>
      </c>
      <c r="C305" s="1" t="s">
        <v>403</v>
      </c>
      <c r="D305" s="2">
        <v>745</v>
      </c>
      <c r="E305" s="2">
        <v>679</v>
      </c>
      <c r="F305" s="2">
        <f t="shared" si="12"/>
        <v>1424</v>
      </c>
      <c r="G305" s="3">
        <f t="shared" si="13"/>
        <v>0.5231741573033708</v>
      </c>
      <c r="H305" s="3">
        <f t="shared" si="14"/>
        <v>0.4768258426966292</v>
      </c>
      <c r="I305" s="1" t="s">
        <v>523</v>
      </c>
      <c r="J305" s="2">
        <v>775</v>
      </c>
      <c r="K305" s="2">
        <v>645</v>
      </c>
      <c r="L305" s="2">
        <v>1420</v>
      </c>
      <c r="M305" s="3">
        <v>0.54577464788732399</v>
      </c>
      <c r="N305" s="6">
        <v>-2.2599999999999998</v>
      </c>
    </row>
    <row r="306" spans="1:14" x14ac:dyDescent="0.2">
      <c r="A306" s="1" t="s">
        <v>83</v>
      </c>
      <c r="B306" s="1" t="s">
        <v>62</v>
      </c>
      <c r="C306" s="1" t="s">
        <v>404</v>
      </c>
      <c r="D306" s="2">
        <v>454</v>
      </c>
      <c r="E306" s="2">
        <v>443</v>
      </c>
      <c r="F306" s="2">
        <f t="shared" si="12"/>
        <v>897</v>
      </c>
      <c r="G306" s="3">
        <f t="shared" si="13"/>
        <v>0.50613154960981044</v>
      </c>
      <c r="H306" s="3">
        <f t="shared" si="14"/>
        <v>0.49386845039018951</v>
      </c>
      <c r="I306" s="1" t="s">
        <v>523</v>
      </c>
      <c r="J306" s="2">
        <v>511</v>
      </c>
      <c r="K306" s="2">
        <v>453</v>
      </c>
      <c r="L306" s="2">
        <v>964</v>
      </c>
      <c r="M306" s="3">
        <v>0.53008298755186722</v>
      </c>
      <c r="N306" s="6">
        <v>-2.4</v>
      </c>
    </row>
    <row r="307" spans="1:14" x14ac:dyDescent="0.2">
      <c r="A307" s="1" t="s">
        <v>83</v>
      </c>
      <c r="B307" s="1" t="s">
        <v>96</v>
      </c>
      <c r="C307" s="1" t="s">
        <v>405</v>
      </c>
      <c r="D307" s="2">
        <v>510</v>
      </c>
      <c r="E307" s="2">
        <v>617</v>
      </c>
      <c r="F307" s="2">
        <f t="shared" si="12"/>
        <v>1127</v>
      </c>
      <c r="G307" s="3">
        <f t="shared" si="13"/>
        <v>0.4525288376220053</v>
      </c>
      <c r="H307" s="3">
        <f t="shared" si="14"/>
        <v>0.54747116237799465</v>
      </c>
      <c r="I307" s="1" t="s">
        <v>523</v>
      </c>
      <c r="J307" s="2">
        <v>553</v>
      </c>
      <c r="K307" s="2">
        <v>581</v>
      </c>
      <c r="L307" s="2">
        <v>1134</v>
      </c>
      <c r="M307" s="3">
        <v>0.48765432098765432</v>
      </c>
      <c r="N307" s="6">
        <v>-3.51</v>
      </c>
    </row>
    <row r="308" spans="1:14" x14ac:dyDescent="0.2">
      <c r="A308" s="1" t="s">
        <v>83</v>
      </c>
      <c r="B308" s="1" t="s">
        <v>96</v>
      </c>
      <c r="C308" s="1" t="s">
        <v>406</v>
      </c>
      <c r="D308" s="2">
        <v>457</v>
      </c>
      <c r="E308" s="2">
        <v>464</v>
      </c>
      <c r="F308" s="2">
        <f t="shared" si="12"/>
        <v>921</v>
      </c>
      <c r="G308" s="3">
        <f t="shared" si="13"/>
        <v>0.49619978284473398</v>
      </c>
      <c r="H308" s="3">
        <f t="shared" si="14"/>
        <v>0.50380021715526602</v>
      </c>
      <c r="I308" s="1" t="s">
        <v>523</v>
      </c>
      <c r="J308" s="2">
        <v>473</v>
      </c>
      <c r="K308" s="2">
        <v>465</v>
      </c>
      <c r="L308" s="2">
        <v>938</v>
      </c>
      <c r="M308" s="3">
        <v>0.50426439232409381</v>
      </c>
      <c r="N308" s="6">
        <v>-0.81</v>
      </c>
    </row>
    <row r="309" spans="1:14" x14ac:dyDescent="0.2">
      <c r="A309" s="1" t="s">
        <v>83</v>
      </c>
      <c r="B309" s="1" t="s">
        <v>96</v>
      </c>
      <c r="C309" s="1" t="s">
        <v>407</v>
      </c>
      <c r="D309" s="2">
        <v>683</v>
      </c>
      <c r="E309" s="2">
        <v>627</v>
      </c>
      <c r="F309" s="2">
        <f t="shared" si="12"/>
        <v>1310</v>
      </c>
      <c r="G309" s="3">
        <f t="shared" si="13"/>
        <v>0.52137404580152669</v>
      </c>
      <c r="H309" s="3">
        <f t="shared" si="14"/>
        <v>0.47862595419847326</v>
      </c>
      <c r="I309" s="1" t="s">
        <v>523</v>
      </c>
      <c r="J309" s="2">
        <v>700</v>
      </c>
      <c r="K309" s="2">
        <v>639</v>
      </c>
      <c r="L309" s="2">
        <v>1339</v>
      </c>
      <c r="M309" s="3">
        <v>0.52277819268110526</v>
      </c>
      <c r="N309" s="6">
        <v>-0.14000000000000001</v>
      </c>
    </row>
    <row r="310" spans="1:14" x14ac:dyDescent="0.2">
      <c r="A310" s="1" t="s">
        <v>83</v>
      </c>
      <c r="B310" s="1" t="s">
        <v>97</v>
      </c>
      <c r="C310" s="1" t="s">
        <v>408</v>
      </c>
      <c r="D310" s="2">
        <v>511</v>
      </c>
      <c r="E310" s="2">
        <v>1132</v>
      </c>
      <c r="F310" s="2">
        <f t="shared" si="12"/>
        <v>1643</v>
      </c>
      <c r="G310" s="3">
        <f t="shared" si="13"/>
        <v>0.31101643335362145</v>
      </c>
      <c r="H310" s="3">
        <f t="shared" si="14"/>
        <v>0.68898356664637861</v>
      </c>
      <c r="I310" s="1" t="s">
        <v>523</v>
      </c>
      <c r="J310" s="2">
        <v>546</v>
      </c>
      <c r="K310" s="2">
        <v>1089</v>
      </c>
      <c r="L310" s="2">
        <v>1635</v>
      </c>
      <c r="M310" s="3">
        <v>0.33394495412844039</v>
      </c>
      <c r="N310" s="6">
        <v>-2.29</v>
      </c>
    </row>
    <row r="311" spans="1:14" x14ac:dyDescent="0.2">
      <c r="A311" s="1" t="s">
        <v>83</v>
      </c>
      <c r="B311" s="1" t="s">
        <v>97</v>
      </c>
      <c r="C311" s="1" t="s">
        <v>409</v>
      </c>
      <c r="D311" s="2">
        <v>603</v>
      </c>
      <c r="E311" s="2">
        <v>1282</v>
      </c>
      <c r="F311" s="2">
        <f t="shared" si="12"/>
        <v>1885</v>
      </c>
      <c r="G311" s="3">
        <f t="shared" si="13"/>
        <v>0.31989389920424405</v>
      </c>
      <c r="H311" s="3">
        <f t="shared" si="14"/>
        <v>0.68010610079575595</v>
      </c>
      <c r="I311" s="1" t="s">
        <v>523</v>
      </c>
      <c r="J311" s="2">
        <v>636</v>
      </c>
      <c r="K311" s="2">
        <v>1262</v>
      </c>
      <c r="L311" s="2">
        <v>1898</v>
      </c>
      <c r="M311" s="3">
        <v>0.33508956796628031</v>
      </c>
      <c r="N311" s="6">
        <v>-1.52</v>
      </c>
    </row>
    <row r="312" spans="1:14" x14ac:dyDescent="0.2">
      <c r="A312" s="1" t="s">
        <v>83</v>
      </c>
      <c r="B312" s="1" t="s">
        <v>97</v>
      </c>
      <c r="C312" s="1" t="s">
        <v>410</v>
      </c>
      <c r="D312" s="2">
        <v>175</v>
      </c>
      <c r="E312" s="2">
        <v>503</v>
      </c>
      <c r="F312" s="2">
        <f t="shared" si="12"/>
        <v>678</v>
      </c>
      <c r="G312" s="3">
        <f t="shared" si="13"/>
        <v>0.25811209439528021</v>
      </c>
      <c r="H312" s="3">
        <f t="shared" si="14"/>
        <v>0.74188790560471973</v>
      </c>
      <c r="I312" s="1" t="s">
        <v>523</v>
      </c>
      <c r="J312" s="2">
        <v>224</v>
      </c>
      <c r="K312" s="2">
        <v>495</v>
      </c>
      <c r="L312" s="2">
        <v>719</v>
      </c>
      <c r="M312" s="3">
        <v>0.31154381084840049</v>
      </c>
      <c r="N312" s="6">
        <v>-5.34</v>
      </c>
    </row>
    <row r="313" spans="1:14" x14ac:dyDescent="0.2">
      <c r="A313" s="1" t="s">
        <v>83</v>
      </c>
      <c r="B313" s="1" t="s">
        <v>97</v>
      </c>
      <c r="C313" s="1" t="s">
        <v>411</v>
      </c>
      <c r="D313" s="2">
        <v>451</v>
      </c>
      <c r="E313" s="2">
        <v>986</v>
      </c>
      <c r="F313" s="2">
        <f t="shared" si="12"/>
        <v>1437</v>
      </c>
      <c r="G313" s="3">
        <f t="shared" si="13"/>
        <v>0.31384829505915102</v>
      </c>
      <c r="H313" s="3">
        <f t="shared" si="14"/>
        <v>0.68615170494084898</v>
      </c>
      <c r="I313" s="1" t="s">
        <v>523</v>
      </c>
      <c r="J313" s="2">
        <v>478</v>
      </c>
      <c r="K313" s="2">
        <v>948</v>
      </c>
      <c r="L313" s="2">
        <v>1426</v>
      </c>
      <c r="M313" s="3">
        <v>0.33520336605890599</v>
      </c>
      <c r="N313" s="6">
        <v>-2.14</v>
      </c>
    </row>
    <row r="314" spans="1:14" x14ac:dyDescent="0.2">
      <c r="A314" s="1" t="s">
        <v>83</v>
      </c>
      <c r="B314" s="1" t="s">
        <v>97</v>
      </c>
      <c r="C314" s="1" t="s">
        <v>412</v>
      </c>
      <c r="D314" s="2">
        <v>322</v>
      </c>
      <c r="E314" s="2">
        <v>685</v>
      </c>
      <c r="F314" s="2">
        <f t="shared" si="12"/>
        <v>1007</v>
      </c>
      <c r="G314" s="3">
        <f t="shared" si="13"/>
        <v>0.31976166832174774</v>
      </c>
      <c r="H314" s="3">
        <f t="shared" si="14"/>
        <v>0.68023833167825221</v>
      </c>
      <c r="I314" s="1" t="s">
        <v>523</v>
      </c>
      <c r="J314" s="2">
        <v>360</v>
      </c>
      <c r="K314" s="2">
        <v>645</v>
      </c>
      <c r="L314" s="2">
        <v>1005</v>
      </c>
      <c r="M314" s="3">
        <v>0.35820895522388058</v>
      </c>
      <c r="N314" s="6">
        <v>-3.84</v>
      </c>
    </row>
    <row r="315" spans="1:14" x14ac:dyDescent="0.2">
      <c r="A315" s="1" t="s">
        <v>83</v>
      </c>
      <c r="B315" s="1" t="s">
        <v>98</v>
      </c>
      <c r="C315" s="1" t="s">
        <v>413</v>
      </c>
      <c r="D315" s="2">
        <v>231</v>
      </c>
      <c r="E315" s="2">
        <v>449</v>
      </c>
      <c r="F315" s="2">
        <f t="shared" si="12"/>
        <v>680</v>
      </c>
      <c r="G315" s="3">
        <f t="shared" si="13"/>
        <v>0.33970588235294119</v>
      </c>
      <c r="H315" s="3">
        <f t="shared" si="14"/>
        <v>0.66029411764705881</v>
      </c>
      <c r="I315" s="1" t="s">
        <v>523</v>
      </c>
      <c r="J315" s="2">
        <v>264</v>
      </c>
      <c r="K315" s="2">
        <v>439</v>
      </c>
      <c r="L315" s="2">
        <v>703</v>
      </c>
      <c r="M315" s="3">
        <v>0.37553342816500712</v>
      </c>
      <c r="N315" s="6">
        <v>-3.58</v>
      </c>
    </row>
    <row r="316" spans="1:14" x14ac:dyDescent="0.2">
      <c r="A316" s="1" t="s">
        <v>83</v>
      </c>
      <c r="B316" s="1" t="s">
        <v>98</v>
      </c>
      <c r="C316" s="1" t="s">
        <v>414</v>
      </c>
      <c r="D316" s="2">
        <v>348</v>
      </c>
      <c r="E316" s="2">
        <v>763</v>
      </c>
      <c r="F316" s="2">
        <f t="shared" si="12"/>
        <v>1111</v>
      </c>
      <c r="G316" s="3">
        <f t="shared" si="13"/>
        <v>0.31323132313231322</v>
      </c>
      <c r="H316" s="3">
        <f t="shared" si="14"/>
        <v>0.68676867686768672</v>
      </c>
      <c r="I316" s="1" t="s">
        <v>523</v>
      </c>
      <c r="J316" s="2">
        <v>361</v>
      </c>
      <c r="K316" s="2">
        <v>775</v>
      </c>
      <c r="L316" s="2">
        <v>1136</v>
      </c>
      <c r="M316" s="3">
        <v>0.31778169014084512</v>
      </c>
      <c r="N316" s="6">
        <v>-0.46</v>
      </c>
    </row>
    <row r="317" spans="1:14" x14ac:dyDescent="0.2">
      <c r="A317" s="1" t="s">
        <v>83</v>
      </c>
      <c r="B317" s="1" t="s">
        <v>99</v>
      </c>
      <c r="C317" s="1" t="s">
        <v>415</v>
      </c>
      <c r="D317" s="2">
        <v>242</v>
      </c>
      <c r="E317" s="2">
        <v>345</v>
      </c>
      <c r="F317" s="2">
        <f t="shared" si="12"/>
        <v>587</v>
      </c>
      <c r="G317" s="3">
        <f t="shared" si="13"/>
        <v>0.41226575809199317</v>
      </c>
      <c r="H317" s="3">
        <f t="shared" si="14"/>
        <v>0.58773424190800683</v>
      </c>
      <c r="I317" s="1" t="s">
        <v>529</v>
      </c>
    </row>
    <row r="318" spans="1:14" x14ac:dyDescent="0.2">
      <c r="A318" s="1" t="s">
        <v>83</v>
      </c>
      <c r="B318" s="1" t="s">
        <v>99</v>
      </c>
      <c r="C318" s="1" t="s">
        <v>416</v>
      </c>
      <c r="D318" s="2">
        <v>578</v>
      </c>
      <c r="E318" s="2">
        <v>821</v>
      </c>
      <c r="F318" s="2">
        <f t="shared" si="12"/>
        <v>1399</v>
      </c>
      <c r="G318" s="3">
        <f t="shared" si="13"/>
        <v>0.41315225160829161</v>
      </c>
      <c r="H318" s="3">
        <f t="shared" si="14"/>
        <v>0.58684774839170839</v>
      </c>
      <c r="I318" s="1" t="s">
        <v>529</v>
      </c>
    </row>
    <row r="319" spans="1:14" x14ac:dyDescent="0.2">
      <c r="A319" s="1" t="s">
        <v>83</v>
      </c>
      <c r="B319" s="1" t="s">
        <v>99</v>
      </c>
      <c r="C319" s="1" t="s">
        <v>417</v>
      </c>
      <c r="D319" s="2">
        <v>506</v>
      </c>
      <c r="E319" s="2">
        <v>718</v>
      </c>
      <c r="F319" s="2">
        <f t="shared" si="12"/>
        <v>1224</v>
      </c>
      <c r="G319" s="3">
        <f t="shared" si="13"/>
        <v>0.41339869281045749</v>
      </c>
      <c r="H319" s="3">
        <f t="shared" si="14"/>
        <v>0.58660130718954251</v>
      </c>
      <c r="I319" s="1" t="s">
        <v>529</v>
      </c>
    </row>
    <row r="320" spans="1:14" x14ac:dyDescent="0.2">
      <c r="A320" s="1" t="s">
        <v>83</v>
      </c>
      <c r="B320" s="1" t="s">
        <v>99</v>
      </c>
      <c r="C320" s="1" t="s">
        <v>418</v>
      </c>
      <c r="D320" s="2">
        <v>555</v>
      </c>
      <c r="E320" s="2">
        <v>789</v>
      </c>
      <c r="F320" s="2">
        <f t="shared" si="12"/>
        <v>1344</v>
      </c>
      <c r="G320" s="3">
        <f t="shared" si="13"/>
        <v>0.41294642857142855</v>
      </c>
      <c r="H320" s="3">
        <f t="shared" si="14"/>
        <v>0.5870535714285714</v>
      </c>
      <c r="I320" s="1" t="s">
        <v>529</v>
      </c>
    </row>
    <row r="321" spans="1:14" x14ac:dyDescent="0.2">
      <c r="A321" s="1" t="s">
        <v>83</v>
      </c>
      <c r="B321" s="1" t="s">
        <v>100</v>
      </c>
      <c r="C321" s="1" t="s">
        <v>419</v>
      </c>
      <c r="D321" s="2">
        <v>562</v>
      </c>
      <c r="E321" s="2">
        <v>561</v>
      </c>
      <c r="F321" s="2">
        <f t="shared" si="12"/>
        <v>1123</v>
      </c>
      <c r="G321" s="3">
        <f t="shared" si="13"/>
        <v>0.50044523597506674</v>
      </c>
      <c r="H321" s="3">
        <f t="shared" si="14"/>
        <v>0.49955476402493321</v>
      </c>
      <c r="I321" s="1" t="s">
        <v>523</v>
      </c>
      <c r="J321" s="2">
        <v>585</v>
      </c>
      <c r="K321" s="2">
        <v>527</v>
      </c>
      <c r="L321" s="2">
        <v>1112</v>
      </c>
      <c r="M321" s="3">
        <v>0.52607913669064743</v>
      </c>
      <c r="N321" s="6">
        <v>-2.56</v>
      </c>
    </row>
    <row r="322" spans="1:14" x14ac:dyDescent="0.2">
      <c r="A322" s="1" t="s">
        <v>83</v>
      </c>
      <c r="B322" s="1" t="s">
        <v>100</v>
      </c>
      <c r="C322" s="1" t="s">
        <v>420</v>
      </c>
      <c r="D322" s="2">
        <v>625</v>
      </c>
      <c r="E322" s="2">
        <v>904</v>
      </c>
      <c r="F322" s="2">
        <f t="shared" si="12"/>
        <v>1529</v>
      </c>
      <c r="G322" s="3">
        <f t="shared" si="13"/>
        <v>0.40876389797253104</v>
      </c>
      <c r="H322" s="3">
        <f t="shared" si="14"/>
        <v>0.5912361020274689</v>
      </c>
      <c r="I322" s="1" t="s">
        <v>523</v>
      </c>
      <c r="J322" s="2">
        <v>639</v>
      </c>
      <c r="K322" s="2">
        <v>886</v>
      </c>
      <c r="L322" s="2">
        <v>1525</v>
      </c>
      <c r="M322" s="3">
        <v>0.41901639344262293</v>
      </c>
      <c r="N322" s="6">
        <v>-1.03</v>
      </c>
    </row>
    <row r="323" spans="1:14" x14ac:dyDescent="0.2">
      <c r="A323" s="1" t="s">
        <v>83</v>
      </c>
      <c r="B323" s="1" t="s">
        <v>100</v>
      </c>
      <c r="C323" s="1" t="s">
        <v>421</v>
      </c>
      <c r="D323" s="2">
        <v>395</v>
      </c>
      <c r="E323" s="2">
        <v>581</v>
      </c>
      <c r="F323" s="2">
        <f t="shared" si="12"/>
        <v>976</v>
      </c>
      <c r="G323" s="3">
        <f t="shared" si="13"/>
        <v>0.40471311475409838</v>
      </c>
      <c r="H323" s="3">
        <f t="shared" si="14"/>
        <v>0.59528688524590168</v>
      </c>
      <c r="I323" s="1" t="s">
        <v>523</v>
      </c>
      <c r="J323" s="2">
        <v>405</v>
      </c>
      <c r="K323" s="2">
        <v>562</v>
      </c>
      <c r="L323" s="2">
        <v>967</v>
      </c>
      <c r="M323" s="3">
        <v>0.4188210961737332</v>
      </c>
      <c r="N323" s="6">
        <v>-1.41</v>
      </c>
    </row>
    <row r="324" spans="1:14" x14ac:dyDescent="0.2">
      <c r="A324" s="1" t="s">
        <v>83</v>
      </c>
      <c r="B324" s="1" t="s">
        <v>100</v>
      </c>
      <c r="C324" s="1" t="s">
        <v>422</v>
      </c>
      <c r="D324" s="2">
        <v>446</v>
      </c>
      <c r="E324" s="2">
        <v>470</v>
      </c>
      <c r="F324" s="2">
        <f t="shared" si="12"/>
        <v>916</v>
      </c>
      <c r="G324" s="3">
        <f t="shared" si="13"/>
        <v>0.48689956331877732</v>
      </c>
      <c r="H324" s="3">
        <f t="shared" si="14"/>
        <v>0.51310043668122274</v>
      </c>
      <c r="I324" s="1" t="s">
        <v>523</v>
      </c>
      <c r="J324" s="2">
        <v>496</v>
      </c>
      <c r="K324" s="2">
        <v>458</v>
      </c>
      <c r="L324" s="2">
        <v>954</v>
      </c>
      <c r="M324" s="3">
        <v>0.51991614255765195</v>
      </c>
      <c r="N324" s="6">
        <v>-3.3</v>
      </c>
    </row>
    <row r="325" spans="1:14" x14ac:dyDescent="0.2">
      <c r="A325" s="1" t="s">
        <v>83</v>
      </c>
      <c r="B325" s="1" t="s">
        <v>100</v>
      </c>
      <c r="C325" s="1" t="s">
        <v>423</v>
      </c>
      <c r="D325" s="2">
        <v>394</v>
      </c>
      <c r="E325" s="2">
        <v>616</v>
      </c>
      <c r="F325" s="2">
        <f t="shared" si="12"/>
        <v>1010</v>
      </c>
      <c r="G325" s="3">
        <f t="shared" si="13"/>
        <v>0.39009900990099011</v>
      </c>
      <c r="H325" s="3">
        <f t="shared" si="14"/>
        <v>0.60990099009900989</v>
      </c>
      <c r="I325" s="1" t="s">
        <v>523</v>
      </c>
      <c r="J325" s="2">
        <v>423</v>
      </c>
      <c r="K325" s="2">
        <v>592</v>
      </c>
      <c r="L325" s="2">
        <v>1015</v>
      </c>
      <c r="M325" s="3">
        <v>0.41674876847290637</v>
      </c>
      <c r="N325" s="6">
        <v>-2.66</v>
      </c>
    </row>
    <row r="326" spans="1:14" x14ac:dyDescent="0.2">
      <c r="A326" s="1" t="s">
        <v>83</v>
      </c>
      <c r="B326" s="1" t="s">
        <v>100</v>
      </c>
      <c r="C326" s="1" t="s">
        <v>424</v>
      </c>
      <c r="D326" s="2">
        <v>855</v>
      </c>
      <c r="E326" s="2">
        <v>814</v>
      </c>
      <c r="F326" s="2">
        <f t="shared" si="12"/>
        <v>1669</v>
      </c>
      <c r="G326" s="3">
        <f t="shared" si="13"/>
        <v>0.51228280407429594</v>
      </c>
      <c r="H326" s="3">
        <f t="shared" si="14"/>
        <v>0.48771719592570401</v>
      </c>
      <c r="I326" s="1" t="s">
        <v>523</v>
      </c>
      <c r="J326" s="2">
        <v>909</v>
      </c>
      <c r="K326" s="2">
        <v>780</v>
      </c>
      <c r="L326" s="2">
        <v>1689</v>
      </c>
      <c r="M326" s="3">
        <v>0.53818827708703376</v>
      </c>
      <c r="N326" s="6">
        <v>-2.59</v>
      </c>
    </row>
    <row r="327" spans="1:14" x14ac:dyDescent="0.2">
      <c r="A327" s="1" t="s">
        <v>83</v>
      </c>
      <c r="B327" s="1" t="s">
        <v>101</v>
      </c>
      <c r="C327" s="1" t="s">
        <v>425</v>
      </c>
      <c r="D327" s="2">
        <v>359</v>
      </c>
      <c r="E327" s="2">
        <v>805</v>
      </c>
      <c r="F327" s="2">
        <f t="shared" si="12"/>
        <v>1164</v>
      </c>
      <c r="G327" s="3">
        <f t="shared" si="13"/>
        <v>0.30841924398625431</v>
      </c>
      <c r="H327" s="3">
        <f t="shared" si="14"/>
        <v>0.69158075601374569</v>
      </c>
      <c r="I327" s="1" t="s">
        <v>523</v>
      </c>
      <c r="J327" s="2">
        <v>409</v>
      </c>
      <c r="K327" s="2">
        <v>764</v>
      </c>
      <c r="L327" s="2">
        <v>1173</v>
      </c>
      <c r="M327" s="3">
        <v>0.34867860187553279</v>
      </c>
      <c r="N327" s="6">
        <v>-4.03</v>
      </c>
    </row>
    <row r="328" spans="1:14" x14ac:dyDescent="0.2">
      <c r="A328" s="1" t="s">
        <v>83</v>
      </c>
      <c r="B328" s="1" t="s">
        <v>101</v>
      </c>
      <c r="C328" s="1" t="s">
        <v>426</v>
      </c>
      <c r="D328" s="2">
        <v>729</v>
      </c>
      <c r="E328" s="2">
        <v>1591</v>
      </c>
      <c r="F328" s="2">
        <f t="shared" si="12"/>
        <v>2320</v>
      </c>
      <c r="G328" s="3">
        <f t="shared" si="13"/>
        <v>0.31422413793103449</v>
      </c>
      <c r="H328" s="3">
        <f t="shared" si="14"/>
        <v>0.68577586206896557</v>
      </c>
      <c r="I328" s="1" t="s">
        <v>523</v>
      </c>
      <c r="J328" s="2">
        <v>805</v>
      </c>
      <c r="K328" s="2">
        <v>1577</v>
      </c>
      <c r="L328" s="2">
        <v>2382</v>
      </c>
      <c r="M328" s="3">
        <v>0.33795130142737201</v>
      </c>
      <c r="N328" s="6">
        <v>-2.37</v>
      </c>
    </row>
    <row r="329" spans="1:14" x14ac:dyDescent="0.2">
      <c r="A329" s="1" t="s">
        <v>83</v>
      </c>
      <c r="B329" s="1" t="s">
        <v>101</v>
      </c>
      <c r="C329" s="1" t="s">
        <v>427</v>
      </c>
      <c r="D329" s="2">
        <v>507</v>
      </c>
      <c r="E329" s="2">
        <v>1191</v>
      </c>
      <c r="F329" s="2">
        <f t="shared" si="12"/>
        <v>1698</v>
      </c>
      <c r="G329" s="3">
        <f t="shared" si="13"/>
        <v>0.29858657243816256</v>
      </c>
      <c r="H329" s="3">
        <f t="shared" si="14"/>
        <v>0.70141342756183744</v>
      </c>
      <c r="I329" s="1" t="s">
        <v>523</v>
      </c>
      <c r="J329" s="2">
        <v>547</v>
      </c>
      <c r="K329" s="2">
        <v>1179</v>
      </c>
      <c r="L329" s="2">
        <v>1726</v>
      </c>
      <c r="M329" s="3">
        <v>0.31691772885283892</v>
      </c>
      <c r="N329" s="6">
        <v>-1.83</v>
      </c>
    </row>
    <row r="330" spans="1:14" x14ac:dyDescent="0.2">
      <c r="A330" s="1" t="s">
        <v>83</v>
      </c>
      <c r="B330" s="1" t="s">
        <v>101</v>
      </c>
      <c r="C330" s="1" t="s">
        <v>428</v>
      </c>
      <c r="D330" s="2">
        <v>244</v>
      </c>
      <c r="E330" s="2">
        <v>521</v>
      </c>
      <c r="F330" s="2">
        <f t="shared" si="12"/>
        <v>765</v>
      </c>
      <c r="G330" s="3">
        <f t="shared" si="13"/>
        <v>0.31895424836601305</v>
      </c>
      <c r="H330" s="3">
        <f t="shared" si="14"/>
        <v>0.68104575163398695</v>
      </c>
      <c r="I330" s="1" t="s">
        <v>523</v>
      </c>
      <c r="J330" s="2">
        <v>245</v>
      </c>
      <c r="K330" s="2">
        <v>537</v>
      </c>
      <c r="L330" s="2">
        <v>782</v>
      </c>
      <c r="M330" s="3">
        <v>0.3132992327365729</v>
      </c>
      <c r="N330" s="6">
        <v>0.56999999999999995</v>
      </c>
    </row>
    <row r="331" spans="1:14" x14ac:dyDescent="0.2">
      <c r="A331" s="1" t="s">
        <v>83</v>
      </c>
      <c r="B331" s="1" t="s">
        <v>102</v>
      </c>
      <c r="C331" s="1" t="s">
        <v>429</v>
      </c>
      <c r="D331" s="2">
        <v>543</v>
      </c>
      <c r="E331" s="2">
        <v>629</v>
      </c>
      <c r="F331" s="2">
        <f t="shared" si="12"/>
        <v>1172</v>
      </c>
      <c r="G331" s="3">
        <f t="shared" si="13"/>
        <v>0.46331058020477817</v>
      </c>
      <c r="H331" s="3">
        <f t="shared" si="14"/>
        <v>0.53668941979522189</v>
      </c>
      <c r="I331" s="1" t="s">
        <v>523</v>
      </c>
      <c r="J331" s="2">
        <v>601</v>
      </c>
      <c r="K331" s="2">
        <v>605</v>
      </c>
      <c r="L331" s="2">
        <v>1206</v>
      </c>
      <c r="M331" s="3">
        <v>0.49834162520729691</v>
      </c>
      <c r="N331" s="6">
        <v>-3.5</v>
      </c>
    </row>
    <row r="332" spans="1:14" x14ac:dyDescent="0.2">
      <c r="A332" s="1" t="s">
        <v>83</v>
      </c>
      <c r="B332" s="1" t="s">
        <v>102</v>
      </c>
      <c r="C332" s="1" t="s">
        <v>430</v>
      </c>
      <c r="D332" s="2">
        <v>510</v>
      </c>
      <c r="E332" s="2">
        <v>501</v>
      </c>
      <c r="F332" s="2">
        <f t="shared" ref="F332:F395" si="15">IF(COUNTA(D332:E332)=0,"",SUM(D332:E332))</f>
        <v>1011</v>
      </c>
      <c r="G332" s="3">
        <f t="shared" ref="G332:G395" si="16">IF(OR(F332="",F332=0),"",D332/F332)</f>
        <v>0.50445103857566764</v>
      </c>
      <c r="H332" s="3">
        <f t="shared" ref="H332:H381" si="17">IF(OR(F332="",F332=0),"",E332/F332)</f>
        <v>0.49554896142433236</v>
      </c>
      <c r="I332" s="1" t="s">
        <v>523</v>
      </c>
      <c r="J332" s="2">
        <v>523</v>
      </c>
      <c r="K332" s="2">
        <v>542</v>
      </c>
      <c r="L332" s="2">
        <v>1065</v>
      </c>
      <c r="M332" s="3">
        <v>0.49107981220657282</v>
      </c>
      <c r="N332" s="6">
        <v>1.34</v>
      </c>
    </row>
    <row r="333" spans="1:14" x14ac:dyDescent="0.2">
      <c r="A333" s="1" t="s">
        <v>83</v>
      </c>
      <c r="B333" s="1" t="s">
        <v>102</v>
      </c>
      <c r="C333" s="1" t="s">
        <v>431</v>
      </c>
      <c r="D333" s="2">
        <v>457</v>
      </c>
      <c r="E333" s="2">
        <v>526</v>
      </c>
      <c r="F333" s="2">
        <f t="shared" si="15"/>
        <v>983</v>
      </c>
      <c r="G333" s="3">
        <f t="shared" si="16"/>
        <v>0.46490335707019331</v>
      </c>
      <c r="H333" s="3">
        <f t="shared" si="17"/>
        <v>0.53509664292980674</v>
      </c>
      <c r="I333" s="1" t="s">
        <v>523</v>
      </c>
      <c r="J333" s="2">
        <v>472</v>
      </c>
      <c r="K333" s="2">
        <v>517</v>
      </c>
      <c r="L333" s="2">
        <v>989</v>
      </c>
      <c r="M333" s="3">
        <v>0.47724974721941349</v>
      </c>
      <c r="N333" s="6">
        <v>-1.23</v>
      </c>
    </row>
    <row r="334" spans="1:14" x14ac:dyDescent="0.2">
      <c r="A334" s="1" t="s">
        <v>83</v>
      </c>
      <c r="B334" s="1" t="s">
        <v>103</v>
      </c>
      <c r="C334" s="1" t="s">
        <v>432</v>
      </c>
      <c r="D334" s="2">
        <v>222</v>
      </c>
      <c r="E334" s="2">
        <v>287</v>
      </c>
      <c r="F334" s="2">
        <f t="shared" si="15"/>
        <v>509</v>
      </c>
      <c r="G334" s="3">
        <f t="shared" si="16"/>
        <v>0.43614931237721022</v>
      </c>
      <c r="H334" s="3">
        <f t="shared" si="17"/>
        <v>0.56385068762278978</v>
      </c>
      <c r="I334" s="1" t="s">
        <v>523</v>
      </c>
      <c r="J334" s="2">
        <v>222</v>
      </c>
      <c r="K334" s="2">
        <v>276</v>
      </c>
      <c r="L334" s="2">
        <v>498</v>
      </c>
      <c r="M334" s="3">
        <v>0.44578313253012047</v>
      </c>
      <c r="N334" s="6">
        <v>-0.96</v>
      </c>
    </row>
    <row r="335" spans="1:14" x14ac:dyDescent="0.2">
      <c r="A335" s="1" t="s">
        <v>83</v>
      </c>
      <c r="B335" s="1" t="s">
        <v>103</v>
      </c>
      <c r="C335" s="1" t="s">
        <v>433</v>
      </c>
      <c r="D335" s="2">
        <v>612</v>
      </c>
      <c r="E335" s="2">
        <v>654</v>
      </c>
      <c r="F335" s="2">
        <f t="shared" si="15"/>
        <v>1266</v>
      </c>
      <c r="G335" s="3">
        <f t="shared" si="16"/>
        <v>0.48341232227488151</v>
      </c>
      <c r="H335" s="3">
        <f t="shared" si="17"/>
        <v>0.51658767772511849</v>
      </c>
      <c r="I335" s="1" t="s">
        <v>523</v>
      </c>
      <c r="J335" s="2">
        <v>625</v>
      </c>
      <c r="K335" s="2">
        <v>613</v>
      </c>
      <c r="L335" s="2">
        <v>1238</v>
      </c>
      <c r="M335" s="3">
        <v>0.50484652665589658</v>
      </c>
      <c r="N335" s="6">
        <v>-2.14</v>
      </c>
    </row>
    <row r="336" spans="1:14" x14ac:dyDescent="0.2">
      <c r="A336" s="1" t="s">
        <v>83</v>
      </c>
      <c r="B336" s="1" t="s">
        <v>104</v>
      </c>
      <c r="C336" s="1" t="s">
        <v>434</v>
      </c>
      <c r="D336" s="2">
        <v>655</v>
      </c>
      <c r="E336" s="2">
        <v>765</v>
      </c>
      <c r="F336" s="2">
        <f t="shared" si="15"/>
        <v>1420</v>
      </c>
      <c r="G336" s="3">
        <f t="shared" si="16"/>
        <v>0.46126760563380281</v>
      </c>
      <c r="H336" s="3">
        <f t="shared" si="17"/>
        <v>0.53873239436619713</v>
      </c>
      <c r="I336" s="1" t="s">
        <v>523</v>
      </c>
      <c r="J336" s="2">
        <v>628</v>
      </c>
      <c r="K336" s="2">
        <v>719</v>
      </c>
      <c r="L336" s="2">
        <v>1347</v>
      </c>
      <c r="M336" s="3">
        <v>0.46622123236822571</v>
      </c>
      <c r="N336" s="6">
        <v>-0.5</v>
      </c>
    </row>
    <row r="337" spans="1:14" x14ac:dyDescent="0.2">
      <c r="A337" s="1" t="s">
        <v>83</v>
      </c>
      <c r="B337" s="1" t="s">
        <v>104</v>
      </c>
      <c r="C337" s="1" t="s">
        <v>435</v>
      </c>
      <c r="D337" s="2">
        <v>579</v>
      </c>
      <c r="E337" s="2">
        <v>637</v>
      </c>
      <c r="F337" s="2">
        <f t="shared" si="15"/>
        <v>1216</v>
      </c>
      <c r="G337" s="3">
        <f t="shared" si="16"/>
        <v>0.47615131578947367</v>
      </c>
      <c r="H337" s="3">
        <f t="shared" si="17"/>
        <v>0.52384868421052633</v>
      </c>
      <c r="I337" s="1" t="s">
        <v>523</v>
      </c>
      <c r="J337" s="2">
        <v>588</v>
      </c>
      <c r="K337" s="2">
        <v>628</v>
      </c>
      <c r="L337" s="2">
        <v>1216</v>
      </c>
      <c r="M337" s="3">
        <v>0.48355263157894729</v>
      </c>
      <c r="N337" s="6">
        <v>-0.74</v>
      </c>
    </row>
    <row r="338" spans="1:14" x14ac:dyDescent="0.2">
      <c r="A338" s="1" t="s">
        <v>83</v>
      </c>
      <c r="B338" s="1" t="s">
        <v>104</v>
      </c>
      <c r="C338" s="1" t="s">
        <v>436</v>
      </c>
      <c r="D338" s="2">
        <v>1166</v>
      </c>
      <c r="E338" s="2">
        <v>1349</v>
      </c>
      <c r="F338" s="2">
        <f t="shared" si="15"/>
        <v>2515</v>
      </c>
      <c r="G338" s="3">
        <f t="shared" si="16"/>
        <v>0.46361829025844931</v>
      </c>
      <c r="H338" s="3">
        <f t="shared" si="17"/>
        <v>0.53638170974155075</v>
      </c>
      <c r="I338" s="1" t="s">
        <v>523</v>
      </c>
      <c r="J338" s="2">
        <v>1120</v>
      </c>
      <c r="K338" s="2">
        <v>1352</v>
      </c>
      <c r="L338" s="2">
        <v>2472</v>
      </c>
      <c r="M338" s="3">
        <v>0.45307443365695788</v>
      </c>
      <c r="N338" s="6">
        <v>1.05</v>
      </c>
    </row>
    <row r="339" spans="1:14" x14ac:dyDescent="0.2">
      <c r="A339" s="1" t="s">
        <v>83</v>
      </c>
      <c r="B339" s="1" t="s">
        <v>104</v>
      </c>
      <c r="C339" s="1" t="s">
        <v>437</v>
      </c>
      <c r="D339" s="2">
        <v>258</v>
      </c>
      <c r="E339" s="2">
        <v>295</v>
      </c>
      <c r="F339" s="2">
        <f t="shared" si="15"/>
        <v>553</v>
      </c>
      <c r="G339" s="3">
        <f t="shared" si="16"/>
        <v>0.46654611211573238</v>
      </c>
      <c r="H339" s="3">
        <f t="shared" si="17"/>
        <v>0.53345388788426762</v>
      </c>
      <c r="I339" s="1" t="s">
        <v>523</v>
      </c>
      <c r="J339" s="2">
        <v>237</v>
      </c>
      <c r="K339" s="2">
        <v>324</v>
      </c>
      <c r="L339" s="2">
        <v>561</v>
      </c>
      <c r="M339" s="3">
        <v>0.42245989304812842</v>
      </c>
      <c r="N339" s="6">
        <v>4.41</v>
      </c>
    </row>
    <row r="340" spans="1:14" x14ac:dyDescent="0.2">
      <c r="A340" s="1" t="s">
        <v>83</v>
      </c>
      <c r="B340" s="1" t="s">
        <v>105</v>
      </c>
      <c r="C340" s="1" t="s">
        <v>438</v>
      </c>
      <c r="D340" s="2">
        <v>816</v>
      </c>
      <c r="E340" s="2">
        <v>841</v>
      </c>
      <c r="F340" s="2">
        <f t="shared" si="15"/>
        <v>1657</v>
      </c>
      <c r="G340" s="3">
        <f t="shared" si="16"/>
        <v>0.49245624622812312</v>
      </c>
      <c r="H340" s="3">
        <f t="shared" si="17"/>
        <v>0.50754375377187688</v>
      </c>
      <c r="I340" s="1" t="s">
        <v>529</v>
      </c>
    </row>
    <row r="341" spans="1:14" x14ac:dyDescent="0.2">
      <c r="A341" s="1" t="s">
        <v>83</v>
      </c>
      <c r="B341" s="1" t="s">
        <v>105</v>
      </c>
      <c r="C341" s="1" t="s">
        <v>439</v>
      </c>
      <c r="D341" s="2">
        <v>528</v>
      </c>
      <c r="E341" s="2">
        <v>545</v>
      </c>
      <c r="F341" s="2">
        <f t="shared" si="15"/>
        <v>1073</v>
      </c>
      <c r="G341" s="3">
        <f t="shared" si="16"/>
        <v>0.49207828518173347</v>
      </c>
      <c r="H341" s="3">
        <f t="shared" si="17"/>
        <v>0.50792171481826653</v>
      </c>
      <c r="I341" s="1" t="s">
        <v>529</v>
      </c>
    </row>
    <row r="342" spans="1:14" x14ac:dyDescent="0.2">
      <c r="A342" s="1" t="s">
        <v>83</v>
      </c>
      <c r="B342" s="1" t="s">
        <v>105</v>
      </c>
      <c r="C342" s="1" t="s">
        <v>440</v>
      </c>
      <c r="D342" s="2">
        <v>773</v>
      </c>
      <c r="E342" s="2">
        <v>798</v>
      </c>
      <c r="F342" s="2">
        <f t="shared" si="15"/>
        <v>1571</v>
      </c>
      <c r="G342" s="3">
        <f t="shared" si="16"/>
        <v>0.49204328453214513</v>
      </c>
      <c r="H342" s="3">
        <f t="shared" si="17"/>
        <v>0.50795671546785492</v>
      </c>
      <c r="I342" s="1" t="s">
        <v>529</v>
      </c>
    </row>
    <row r="343" spans="1:14" x14ac:dyDescent="0.2">
      <c r="A343" s="1" t="s">
        <v>83</v>
      </c>
      <c r="B343" s="1" t="s">
        <v>105</v>
      </c>
      <c r="C343" s="1" t="s">
        <v>441</v>
      </c>
      <c r="D343" s="2">
        <v>899</v>
      </c>
      <c r="E343" s="2">
        <v>927</v>
      </c>
      <c r="F343" s="2">
        <f t="shared" si="15"/>
        <v>1826</v>
      </c>
      <c r="G343" s="3">
        <f t="shared" si="16"/>
        <v>0.49233296823658268</v>
      </c>
      <c r="H343" s="3">
        <f t="shared" si="17"/>
        <v>0.50766703176341732</v>
      </c>
      <c r="I343" s="1" t="s">
        <v>529</v>
      </c>
    </row>
    <row r="344" spans="1:14" x14ac:dyDescent="0.2">
      <c r="A344" s="1" t="s">
        <v>83</v>
      </c>
      <c r="B344" s="1" t="s">
        <v>105</v>
      </c>
      <c r="C344" s="1" t="s">
        <v>442</v>
      </c>
      <c r="D344" s="2">
        <v>797</v>
      </c>
      <c r="E344" s="2">
        <v>821</v>
      </c>
      <c r="F344" s="2">
        <f t="shared" si="15"/>
        <v>1618</v>
      </c>
      <c r="G344" s="3">
        <f t="shared" si="16"/>
        <v>0.49258343634116192</v>
      </c>
      <c r="H344" s="3">
        <f t="shared" si="17"/>
        <v>0.50741656365883803</v>
      </c>
      <c r="I344" s="1" t="s">
        <v>529</v>
      </c>
    </row>
    <row r="345" spans="1:14" x14ac:dyDescent="0.2">
      <c r="A345" s="1" t="s">
        <v>83</v>
      </c>
      <c r="B345" s="1" t="s">
        <v>105</v>
      </c>
      <c r="C345" s="1" t="s">
        <v>443</v>
      </c>
      <c r="D345" s="2">
        <v>730</v>
      </c>
      <c r="E345" s="2">
        <v>753</v>
      </c>
      <c r="F345" s="2">
        <f t="shared" si="15"/>
        <v>1483</v>
      </c>
      <c r="G345" s="3">
        <f t="shared" si="16"/>
        <v>0.49224544841537426</v>
      </c>
      <c r="H345" s="3">
        <f t="shared" si="17"/>
        <v>0.50775455158462579</v>
      </c>
      <c r="I345" s="1" t="s">
        <v>529</v>
      </c>
    </row>
    <row r="346" spans="1:14" x14ac:dyDescent="0.2">
      <c r="A346" s="1" t="s">
        <v>83</v>
      </c>
      <c r="B346" s="1" t="s">
        <v>105</v>
      </c>
      <c r="C346" s="1" t="s">
        <v>444</v>
      </c>
      <c r="D346" s="2">
        <v>724</v>
      </c>
      <c r="E346" s="2">
        <v>747</v>
      </c>
      <c r="F346" s="2">
        <f t="shared" si="15"/>
        <v>1471</v>
      </c>
      <c r="G346" s="3">
        <f t="shared" si="16"/>
        <v>0.4921821889870836</v>
      </c>
      <c r="H346" s="3">
        <f t="shared" si="17"/>
        <v>0.50781781101291634</v>
      </c>
      <c r="I346" s="1" t="s">
        <v>529</v>
      </c>
    </row>
    <row r="347" spans="1:14" x14ac:dyDescent="0.2">
      <c r="A347" s="1" t="s">
        <v>83</v>
      </c>
      <c r="B347" s="1" t="s">
        <v>105</v>
      </c>
      <c r="C347" s="1" t="s">
        <v>445</v>
      </c>
      <c r="D347" s="2">
        <v>697</v>
      </c>
      <c r="E347" s="2">
        <v>719</v>
      </c>
      <c r="F347" s="2">
        <f t="shared" si="15"/>
        <v>1416</v>
      </c>
      <c r="G347" s="3">
        <f t="shared" si="16"/>
        <v>0.4922316384180791</v>
      </c>
      <c r="H347" s="3">
        <f t="shared" si="17"/>
        <v>0.50776836158192096</v>
      </c>
      <c r="I347" s="1" t="s">
        <v>529</v>
      </c>
    </row>
    <row r="348" spans="1:14" x14ac:dyDescent="0.2">
      <c r="A348" s="1" t="s">
        <v>83</v>
      </c>
      <c r="B348" s="1" t="s">
        <v>105</v>
      </c>
      <c r="C348" s="1" t="s">
        <v>446</v>
      </c>
      <c r="D348" s="2">
        <v>826</v>
      </c>
      <c r="E348" s="2">
        <v>853</v>
      </c>
      <c r="F348" s="2">
        <f t="shared" si="15"/>
        <v>1679</v>
      </c>
      <c r="G348" s="3">
        <f t="shared" si="16"/>
        <v>0.49195949970220371</v>
      </c>
      <c r="H348" s="3">
        <f t="shared" si="17"/>
        <v>0.50804050029779635</v>
      </c>
      <c r="I348" s="1" t="s">
        <v>529</v>
      </c>
    </row>
    <row r="349" spans="1:14" x14ac:dyDescent="0.2">
      <c r="A349" s="1" t="s">
        <v>83</v>
      </c>
      <c r="B349" s="1" t="s">
        <v>106</v>
      </c>
      <c r="C349" s="1" t="s">
        <v>447</v>
      </c>
      <c r="D349" s="2">
        <v>105</v>
      </c>
      <c r="E349" s="2">
        <v>181</v>
      </c>
      <c r="F349" s="2">
        <f t="shared" si="15"/>
        <v>286</v>
      </c>
      <c r="G349" s="3">
        <f t="shared" si="16"/>
        <v>0.36713286713286714</v>
      </c>
      <c r="H349" s="3">
        <f t="shared" si="17"/>
        <v>0.63286713286713292</v>
      </c>
      <c r="I349" s="1" t="s">
        <v>523</v>
      </c>
      <c r="J349" s="2">
        <v>112</v>
      </c>
      <c r="K349" s="2">
        <v>199</v>
      </c>
      <c r="L349" s="2">
        <v>311</v>
      </c>
      <c r="M349" s="3">
        <v>0.36012861736334412</v>
      </c>
      <c r="N349" s="6">
        <v>0.7</v>
      </c>
    </row>
    <row r="350" spans="1:14" x14ac:dyDescent="0.2">
      <c r="A350" s="1" t="s">
        <v>83</v>
      </c>
      <c r="B350" s="1" t="s">
        <v>106</v>
      </c>
      <c r="C350" s="1" t="s">
        <v>448</v>
      </c>
      <c r="D350" s="2">
        <v>238</v>
      </c>
      <c r="E350" s="2">
        <v>510</v>
      </c>
      <c r="F350" s="2">
        <f t="shared" si="15"/>
        <v>748</v>
      </c>
      <c r="G350" s="3">
        <f t="shared" si="16"/>
        <v>0.31818181818181818</v>
      </c>
      <c r="H350" s="3">
        <f t="shared" si="17"/>
        <v>0.68181818181818177</v>
      </c>
      <c r="I350" s="1" t="s">
        <v>523</v>
      </c>
      <c r="J350" s="2">
        <v>259</v>
      </c>
      <c r="K350" s="2">
        <v>480</v>
      </c>
      <c r="L350" s="2">
        <v>739</v>
      </c>
      <c r="M350" s="3">
        <v>0.35047361299052782</v>
      </c>
      <c r="N350" s="6">
        <v>-3.23</v>
      </c>
    </row>
    <row r="351" spans="1:14" x14ac:dyDescent="0.2">
      <c r="A351" s="1" t="s">
        <v>83</v>
      </c>
      <c r="B351" s="1" t="s">
        <v>106</v>
      </c>
      <c r="C351" s="1" t="s">
        <v>449</v>
      </c>
      <c r="D351" s="2">
        <v>197</v>
      </c>
      <c r="E351" s="2">
        <v>307</v>
      </c>
      <c r="F351" s="2">
        <f t="shared" si="15"/>
        <v>504</v>
      </c>
      <c r="G351" s="3">
        <f t="shared" si="16"/>
        <v>0.39087301587301587</v>
      </c>
      <c r="H351" s="3">
        <f t="shared" si="17"/>
        <v>0.60912698412698407</v>
      </c>
      <c r="I351" s="1" t="s">
        <v>523</v>
      </c>
      <c r="J351" s="2">
        <v>204</v>
      </c>
      <c r="K351" s="2">
        <v>301</v>
      </c>
      <c r="L351" s="2">
        <v>505</v>
      </c>
      <c r="M351" s="3">
        <v>0.40396039603960399</v>
      </c>
      <c r="N351" s="6">
        <v>-1.31</v>
      </c>
    </row>
    <row r="352" spans="1:14" x14ac:dyDescent="0.2">
      <c r="A352" s="1" t="s">
        <v>83</v>
      </c>
      <c r="B352" s="1" t="s">
        <v>106</v>
      </c>
      <c r="C352" s="1" t="s">
        <v>450</v>
      </c>
      <c r="D352" s="2">
        <v>131</v>
      </c>
      <c r="E352" s="2">
        <v>177</v>
      </c>
      <c r="F352" s="2">
        <f t="shared" si="15"/>
        <v>308</v>
      </c>
      <c r="G352" s="3">
        <f t="shared" si="16"/>
        <v>0.42532467532467533</v>
      </c>
      <c r="H352" s="3">
        <f t="shared" si="17"/>
        <v>0.57467532467532467</v>
      </c>
      <c r="I352" s="1" t="s">
        <v>523</v>
      </c>
      <c r="J352" s="2">
        <v>128</v>
      </c>
      <c r="K352" s="2">
        <v>200</v>
      </c>
      <c r="L352" s="2">
        <v>328</v>
      </c>
      <c r="M352" s="3">
        <v>0.3902439024390244</v>
      </c>
      <c r="N352" s="6">
        <v>3.51</v>
      </c>
    </row>
    <row r="353" spans="1:14" x14ac:dyDescent="0.2">
      <c r="A353" s="1" t="s">
        <v>83</v>
      </c>
      <c r="B353" s="1" t="s">
        <v>107</v>
      </c>
      <c r="C353" s="1" t="s">
        <v>451</v>
      </c>
      <c r="D353" s="2">
        <v>371</v>
      </c>
      <c r="E353" s="2">
        <v>844</v>
      </c>
      <c r="F353" s="2">
        <f t="shared" si="15"/>
        <v>1215</v>
      </c>
      <c r="G353" s="3">
        <f t="shared" si="16"/>
        <v>0.30534979423868314</v>
      </c>
      <c r="H353" s="3">
        <f t="shared" si="17"/>
        <v>0.69465020576131686</v>
      </c>
      <c r="I353" s="1" t="s">
        <v>523</v>
      </c>
      <c r="J353" s="2">
        <v>412</v>
      </c>
      <c r="K353" s="2">
        <v>767</v>
      </c>
      <c r="L353" s="2">
        <v>1179</v>
      </c>
      <c r="M353" s="3">
        <v>0.34944868532654788</v>
      </c>
      <c r="N353" s="6">
        <v>-4.41</v>
      </c>
    </row>
    <row r="354" spans="1:14" x14ac:dyDescent="0.2">
      <c r="A354" s="1" t="s">
        <v>83</v>
      </c>
      <c r="B354" s="1" t="s">
        <v>107</v>
      </c>
      <c r="C354" s="1" t="s">
        <v>452</v>
      </c>
      <c r="D354" s="2">
        <v>313</v>
      </c>
      <c r="E354" s="2">
        <v>655</v>
      </c>
      <c r="F354" s="2">
        <f t="shared" si="15"/>
        <v>968</v>
      </c>
      <c r="G354" s="3">
        <f t="shared" si="16"/>
        <v>0.32334710743801653</v>
      </c>
      <c r="H354" s="3">
        <f t="shared" si="17"/>
        <v>0.67665289256198347</v>
      </c>
      <c r="I354" s="1" t="s">
        <v>523</v>
      </c>
      <c r="J354" s="2">
        <v>361</v>
      </c>
      <c r="K354" s="2">
        <v>633</v>
      </c>
      <c r="L354" s="2">
        <v>994</v>
      </c>
      <c r="M354" s="3">
        <v>0.36317907444668007</v>
      </c>
      <c r="N354" s="6">
        <v>-3.98</v>
      </c>
    </row>
    <row r="355" spans="1:14" x14ac:dyDescent="0.2">
      <c r="A355" s="1" t="s">
        <v>83</v>
      </c>
      <c r="B355" s="1" t="s">
        <v>107</v>
      </c>
      <c r="C355" s="1" t="s">
        <v>453</v>
      </c>
      <c r="D355" s="2">
        <v>260</v>
      </c>
      <c r="E355" s="2">
        <v>589</v>
      </c>
      <c r="F355" s="2">
        <f t="shared" si="15"/>
        <v>849</v>
      </c>
      <c r="G355" s="3">
        <f t="shared" si="16"/>
        <v>0.30624263839811544</v>
      </c>
      <c r="H355" s="3">
        <f t="shared" si="17"/>
        <v>0.69375736160188461</v>
      </c>
      <c r="I355" s="1" t="s">
        <v>523</v>
      </c>
      <c r="J355" s="2">
        <v>286</v>
      </c>
      <c r="K355" s="2">
        <v>553</v>
      </c>
      <c r="L355" s="2">
        <v>839</v>
      </c>
      <c r="M355" s="3">
        <v>0.34088200238379018</v>
      </c>
      <c r="N355" s="6">
        <v>-3.46</v>
      </c>
    </row>
    <row r="356" spans="1:14" x14ac:dyDescent="0.2">
      <c r="A356" s="1" t="s">
        <v>83</v>
      </c>
      <c r="B356" s="1" t="s">
        <v>107</v>
      </c>
      <c r="C356" s="1" t="s">
        <v>454</v>
      </c>
      <c r="D356" s="2">
        <v>278</v>
      </c>
      <c r="E356" s="2">
        <v>641</v>
      </c>
      <c r="F356" s="2">
        <f t="shared" si="15"/>
        <v>919</v>
      </c>
      <c r="G356" s="3">
        <f t="shared" si="16"/>
        <v>0.30250272034820458</v>
      </c>
      <c r="H356" s="3">
        <f t="shared" si="17"/>
        <v>0.69749727965179542</v>
      </c>
      <c r="I356" s="1" t="s">
        <v>523</v>
      </c>
      <c r="J356" s="2">
        <v>302</v>
      </c>
      <c r="K356" s="2">
        <v>608</v>
      </c>
      <c r="L356" s="2">
        <v>910</v>
      </c>
      <c r="M356" s="3">
        <v>0.33186813186813191</v>
      </c>
      <c r="N356" s="6">
        <v>-2.94</v>
      </c>
    </row>
    <row r="357" spans="1:14" x14ac:dyDescent="0.2">
      <c r="A357" s="1" t="s">
        <v>83</v>
      </c>
      <c r="B357" s="1" t="s">
        <v>108</v>
      </c>
      <c r="C357" s="1" t="s">
        <v>108</v>
      </c>
      <c r="D357" s="2">
        <v>74</v>
      </c>
      <c r="E357" s="2">
        <v>175</v>
      </c>
      <c r="F357" s="2">
        <f t="shared" si="15"/>
        <v>249</v>
      </c>
      <c r="G357" s="3">
        <f t="shared" si="16"/>
        <v>0.2971887550200803</v>
      </c>
      <c r="H357" s="3">
        <f t="shared" si="17"/>
        <v>0.70281124497991965</v>
      </c>
      <c r="I357" s="1" t="s">
        <v>523</v>
      </c>
      <c r="J357" s="2">
        <v>92</v>
      </c>
      <c r="K357" s="2">
        <v>167</v>
      </c>
      <c r="L357" s="2">
        <v>259</v>
      </c>
      <c r="M357" s="3">
        <v>0.35521235521235522</v>
      </c>
      <c r="N357" s="6">
        <v>-5.8</v>
      </c>
    </row>
    <row r="358" spans="1:14" x14ac:dyDescent="0.2">
      <c r="A358" s="1" t="s">
        <v>83</v>
      </c>
      <c r="B358" s="1" t="s">
        <v>109</v>
      </c>
      <c r="C358" s="1" t="s">
        <v>109</v>
      </c>
      <c r="D358" s="2">
        <v>327</v>
      </c>
      <c r="E358" s="2">
        <v>605</v>
      </c>
      <c r="F358" s="2">
        <f t="shared" si="15"/>
        <v>932</v>
      </c>
      <c r="G358" s="3">
        <f t="shared" si="16"/>
        <v>0.35085836909871243</v>
      </c>
      <c r="H358" s="3">
        <f t="shared" si="17"/>
        <v>0.64914163090128751</v>
      </c>
      <c r="I358" s="1" t="s">
        <v>523</v>
      </c>
      <c r="J358" s="2">
        <v>335</v>
      </c>
      <c r="K358" s="2">
        <v>581</v>
      </c>
      <c r="L358" s="2">
        <v>916</v>
      </c>
      <c r="M358" s="3">
        <v>0.36572052401746719</v>
      </c>
      <c r="N358" s="6">
        <v>-1.49</v>
      </c>
    </row>
    <row r="359" spans="1:14" x14ac:dyDescent="0.2">
      <c r="A359" s="1" t="s">
        <v>83</v>
      </c>
      <c r="B359" s="1" t="s">
        <v>110</v>
      </c>
      <c r="C359" s="1" t="s">
        <v>110</v>
      </c>
      <c r="D359" s="2">
        <v>196</v>
      </c>
      <c r="E359" s="2">
        <v>318</v>
      </c>
      <c r="F359" s="2">
        <f t="shared" si="15"/>
        <v>514</v>
      </c>
      <c r="G359" s="3">
        <f t="shared" si="16"/>
        <v>0.38132295719844356</v>
      </c>
      <c r="H359" s="3">
        <f t="shared" si="17"/>
        <v>0.61867704280155644</v>
      </c>
      <c r="I359" s="1" t="s">
        <v>523</v>
      </c>
      <c r="J359" s="2">
        <v>210</v>
      </c>
      <c r="K359" s="2">
        <v>309</v>
      </c>
      <c r="L359" s="2">
        <v>519</v>
      </c>
      <c r="M359" s="3">
        <v>0.40462427745664742</v>
      </c>
      <c r="N359" s="6">
        <v>-2.33</v>
      </c>
    </row>
    <row r="360" spans="1:14" x14ac:dyDescent="0.2">
      <c r="A360" s="1" t="s">
        <v>83</v>
      </c>
      <c r="B360" s="1" t="s">
        <v>111</v>
      </c>
      <c r="C360" s="1" t="s">
        <v>111</v>
      </c>
      <c r="D360" s="2">
        <v>311</v>
      </c>
      <c r="E360" s="2">
        <v>461</v>
      </c>
      <c r="F360" s="2">
        <f t="shared" si="15"/>
        <v>772</v>
      </c>
      <c r="G360" s="3">
        <f t="shared" si="16"/>
        <v>0.40284974093264247</v>
      </c>
      <c r="H360" s="3">
        <f t="shared" si="17"/>
        <v>0.59715025906735753</v>
      </c>
      <c r="I360" s="1" t="s">
        <v>523</v>
      </c>
      <c r="J360" s="2">
        <v>331</v>
      </c>
      <c r="K360" s="2">
        <v>458</v>
      </c>
      <c r="L360" s="2">
        <v>789</v>
      </c>
      <c r="M360" s="3">
        <v>0.41951837769328271</v>
      </c>
      <c r="N360" s="6">
        <v>-1.67</v>
      </c>
    </row>
    <row r="361" spans="1:14" x14ac:dyDescent="0.2">
      <c r="A361" s="1" t="s">
        <v>83</v>
      </c>
      <c r="B361" s="1" t="s">
        <v>112</v>
      </c>
      <c r="C361" s="1" t="s">
        <v>455</v>
      </c>
      <c r="D361" s="2">
        <v>257</v>
      </c>
      <c r="E361" s="2">
        <v>752</v>
      </c>
      <c r="F361" s="2">
        <f t="shared" si="15"/>
        <v>1009</v>
      </c>
      <c r="G361" s="3">
        <f t="shared" si="16"/>
        <v>0.25470763131813678</v>
      </c>
      <c r="H361" s="3">
        <f t="shared" si="17"/>
        <v>0.74529236868186322</v>
      </c>
      <c r="I361" s="1" t="s">
        <v>523</v>
      </c>
      <c r="J361" s="2">
        <v>307</v>
      </c>
      <c r="K361" s="2">
        <v>746</v>
      </c>
      <c r="L361" s="2">
        <v>1053</v>
      </c>
      <c r="M361" s="3">
        <v>0.29154795821462492</v>
      </c>
      <c r="N361" s="6">
        <v>-3.68</v>
      </c>
    </row>
    <row r="362" spans="1:14" x14ac:dyDescent="0.2">
      <c r="A362" s="1" t="s">
        <v>83</v>
      </c>
      <c r="B362" s="1" t="s">
        <v>112</v>
      </c>
      <c r="C362" s="1" t="s">
        <v>456</v>
      </c>
      <c r="D362" s="2">
        <v>207</v>
      </c>
      <c r="E362" s="2">
        <v>517</v>
      </c>
      <c r="F362" s="2">
        <f t="shared" si="15"/>
        <v>724</v>
      </c>
      <c r="G362" s="3">
        <f t="shared" si="16"/>
        <v>0.28591160220994477</v>
      </c>
      <c r="H362" s="3">
        <f t="shared" si="17"/>
        <v>0.71408839779005528</v>
      </c>
      <c r="I362" s="1" t="s">
        <v>523</v>
      </c>
      <c r="J362" s="2">
        <v>232</v>
      </c>
      <c r="K362" s="2">
        <v>487</v>
      </c>
      <c r="L362" s="2">
        <v>719</v>
      </c>
      <c r="M362" s="3">
        <v>0.3226703755215577</v>
      </c>
      <c r="N362" s="6">
        <v>-3.68</v>
      </c>
    </row>
    <row r="363" spans="1:14" x14ac:dyDescent="0.2">
      <c r="A363" s="1" t="s">
        <v>83</v>
      </c>
      <c r="B363" s="1" t="s">
        <v>112</v>
      </c>
      <c r="C363" s="1" t="s">
        <v>457</v>
      </c>
      <c r="D363" s="2">
        <v>159</v>
      </c>
      <c r="E363" s="2">
        <v>458</v>
      </c>
      <c r="F363" s="2">
        <f t="shared" si="15"/>
        <v>617</v>
      </c>
      <c r="G363" s="3">
        <f t="shared" si="16"/>
        <v>0.25769854132901132</v>
      </c>
      <c r="H363" s="3">
        <f t="shared" si="17"/>
        <v>0.74230145867098862</v>
      </c>
      <c r="I363" s="1" t="s">
        <v>523</v>
      </c>
      <c r="J363" s="2">
        <v>178</v>
      </c>
      <c r="K363" s="2">
        <v>480</v>
      </c>
      <c r="L363" s="2">
        <v>658</v>
      </c>
      <c r="M363" s="3">
        <v>0.27051671732522797</v>
      </c>
      <c r="N363" s="6">
        <v>-1.28</v>
      </c>
    </row>
    <row r="364" spans="1:14" x14ac:dyDescent="0.2">
      <c r="A364" s="1" t="s">
        <v>83</v>
      </c>
      <c r="B364" s="1" t="s">
        <v>112</v>
      </c>
      <c r="C364" s="1" t="s">
        <v>458</v>
      </c>
      <c r="D364" s="2">
        <v>176</v>
      </c>
      <c r="E364" s="2">
        <v>419</v>
      </c>
      <c r="F364" s="2">
        <f t="shared" si="15"/>
        <v>595</v>
      </c>
      <c r="G364" s="3">
        <f t="shared" si="16"/>
        <v>0.2957983193277311</v>
      </c>
      <c r="H364" s="3">
        <f t="shared" si="17"/>
        <v>0.70420168067226896</v>
      </c>
      <c r="I364" s="1" t="s">
        <v>523</v>
      </c>
      <c r="J364" s="2">
        <v>180</v>
      </c>
      <c r="K364" s="2">
        <v>430</v>
      </c>
      <c r="L364" s="2">
        <v>610</v>
      </c>
      <c r="M364" s="3">
        <v>0.29508196721311469</v>
      </c>
      <c r="N364" s="6">
        <v>7.0000000000000007E-2</v>
      </c>
    </row>
    <row r="365" spans="1:14" x14ac:dyDescent="0.2">
      <c r="A365" s="1" t="s">
        <v>83</v>
      </c>
      <c r="B365" s="1" t="s">
        <v>112</v>
      </c>
      <c r="C365" s="1" t="s">
        <v>459</v>
      </c>
      <c r="D365" s="2">
        <v>311</v>
      </c>
      <c r="E365" s="2">
        <v>602</v>
      </c>
      <c r="F365" s="2">
        <f t="shared" si="15"/>
        <v>913</v>
      </c>
      <c r="G365" s="3">
        <f t="shared" si="16"/>
        <v>0.34063526834611174</v>
      </c>
      <c r="H365" s="3">
        <f t="shared" si="17"/>
        <v>0.65936473165388831</v>
      </c>
      <c r="I365" s="1" t="s">
        <v>523</v>
      </c>
      <c r="J365" s="2">
        <v>345</v>
      </c>
      <c r="K365" s="2">
        <v>573</v>
      </c>
      <c r="L365" s="2">
        <v>918</v>
      </c>
      <c r="M365" s="3">
        <v>0.37581699346405228</v>
      </c>
      <c r="N365" s="6">
        <v>-3.52</v>
      </c>
    </row>
    <row r="366" spans="1:14" x14ac:dyDescent="0.2">
      <c r="A366" s="1" t="s">
        <v>83</v>
      </c>
      <c r="B366" s="1" t="s">
        <v>113</v>
      </c>
      <c r="C366" s="1" t="s">
        <v>460</v>
      </c>
      <c r="D366" s="2">
        <v>708</v>
      </c>
      <c r="E366" s="2">
        <v>801</v>
      </c>
      <c r="F366" s="2">
        <f t="shared" si="15"/>
        <v>1509</v>
      </c>
      <c r="G366" s="3">
        <f t="shared" si="16"/>
        <v>0.46918489065606361</v>
      </c>
      <c r="H366" s="3">
        <f t="shared" si="17"/>
        <v>0.53081510934393639</v>
      </c>
      <c r="I366" s="1" t="s">
        <v>529</v>
      </c>
    </row>
    <row r="367" spans="1:14" x14ac:dyDescent="0.2">
      <c r="A367" s="1" t="s">
        <v>83</v>
      </c>
      <c r="B367" s="1" t="s">
        <v>113</v>
      </c>
      <c r="C367" s="1" t="s">
        <v>461</v>
      </c>
      <c r="D367" s="2">
        <v>343</v>
      </c>
      <c r="E367" s="2">
        <v>390</v>
      </c>
      <c r="F367" s="2">
        <f t="shared" si="15"/>
        <v>733</v>
      </c>
      <c r="G367" s="3">
        <f t="shared" si="16"/>
        <v>0.46793997271487042</v>
      </c>
      <c r="H367" s="3">
        <f t="shared" si="17"/>
        <v>0.53206002728512958</v>
      </c>
      <c r="I367" s="1" t="s">
        <v>529</v>
      </c>
    </row>
    <row r="368" spans="1:14" x14ac:dyDescent="0.2">
      <c r="A368" s="1" t="s">
        <v>83</v>
      </c>
      <c r="B368" s="1" t="s">
        <v>113</v>
      </c>
      <c r="C368" s="1" t="s">
        <v>462</v>
      </c>
      <c r="D368" s="2">
        <v>597</v>
      </c>
      <c r="E368" s="2">
        <v>677</v>
      </c>
      <c r="F368" s="2">
        <f t="shared" si="15"/>
        <v>1274</v>
      </c>
      <c r="G368" s="3">
        <f t="shared" si="16"/>
        <v>0.4686028257456829</v>
      </c>
      <c r="H368" s="3">
        <f t="shared" si="17"/>
        <v>0.5313971742543171</v>
      </c>
      <c r="I368" s="1" t="s">
        <v>529</v>
      </c>
    </row>
    <row r="369" spans="1:14" x14ac:dyDescent="0.2">
      <c r="A369" s="1" t="s">
        <v>83</v>
      </c>
      <c r="B369" s="1" t="s">
        <v>113</v>
      </c>
      <c r="C369" s="1" t="s">
        <v>463</v>
      </c>
      <c r="D369" s="2">
        <v>259</v>
      </c>
      <c r="E369" s="2">
        <v>294</v>
      </c>
      <c r="F369" s="2">
        <f t="shared" si="15"/>
        <v>553</v>
      </c>
      <c r="G369" s="3">
        <f t="shared" si="16"/>
        <v>0.46835443037974683</v>
      </c>
      <c r="H369" s="3">
        <f t="shared" si="17"/>
        <v>0.53164556962025311</v>
      </c>
      <c r="I369" s="1" t="s">
        <v>529</v>
      </c>
    </row>
    <row r="370" spans="1:14" x14ac:dyDescent="0.2">
      <c r="A370" s="1" t="s">
        <v>83</v>
      </c>
      <c r="B370" s="1" t="s">
        <v>114</v>
      </c>
      <c r="C370" s="1" t="s">
        <v>114</v>
      </c>
      <c r="D370" s="2">
        <v>411</v>
      </c>
      <c r="E370" s="2">
        <v>649</v>
      </c>
      <c r="F370" s="2">
        <f t="shared" si="15"/>
        <v>1060</v>
      </c>
      <c r="G370" s="3">
        <f t="shared" si="16"/>
        <v>0.3877358490566038</v>
      </c>
      <c r="H370" s="3">
        <f t="shared" si="17"/>
        <v>0.61226415094339626</v>
      </c>
      <c r="I370" s="1" t="s">
        <v>523</v>
      </c>
      <c r="J370" s="2">
        <v>416</v>
      </c>
      <c r="K370" s="2">
        <v>658</v>
      </c>
      <c r="L370" s="2">
        <v>1074</v>
      </c>
      <c r="M370" s="3">
        <v>0.38733705772811922</v>
      </c>
      <c r="N370" s="6">
        <v>0.04</v>
      </c>
    </row>
    <row r="371" spans="1:14" x14ac:dyDescent="0.2">
      <c r="A371" s="1" t="s">
        <v>83</v>
      </c>
      <c r="B371" s="1" t="s">
        <v>115</v>
      </c>
      <c r="C371" s="1" t="s">
        <v>464</v>
      </c>
      <c r="D371" s="2">
        <v>524</v>
      </c>
      <c r="E371" s="2">
        <v>1125</v>
      </c>
      <c r="F371" s="2">
        <f t="shared" si="15"/>
        <v>1649</v>
      </c>
      <c r="G371" s="3">
        <f t="shared" si="16"/>
        <v>0.31776834445118252</v>
      </c>
      <c r="H371" s="3">
        <f t="shared" si="17"/>
        <v>0.68223165554881748</v>
      </c>
      <c r="I371" s="1" t="s">
        <v>530</v>
      </c>
      <c r="J371" s="2">
        <v>541</v>
      </c>
      <c r="K371" s="2">
        <v>1106</v>
      </c>
      <c r="L371" s="2">
        <v>1647</v>
      </c>
      <c r="M371" s="3">
        <v>0.32847601700060719</v>
      </c>
      <c r="N371" s="6">
        <v>-1.07</v>
      </c>
    </row>
    <row r="372" spans="1:14" x14ac:dyDescent="0.2">
      <c r="A372" s="1" t="s">
        <v>83</v>
      </c>
      <c r="B372" s="1" t="s">
        <v>115</v>
      </c>
      <c r="C372" s="1" t="s">
        <v>465</v>
      </c>
      <c r="D372" s="2">
        <v>455</v>
      </c>
      <c r="E372" s="2">
        <v>973</v>
      </c>
      <c r="F372" s="2">
        <f t="shared" si="15"/>
        <v>1428</v>
      </c>
      <c r="G372" s="3">
        <f t="shared" si="16"/>
        <v>0.31862745098039214</v>
      </c>
      <c r="H372" s="3">
        <f t="shared" si="17"/>
        <v>0.68137254901960786</v>
      </c>
      <c r="I372" s="1" t="s">
        <v>530</v>
      </c>
      <c r="J372" s="2">
        <v>500</v>
      </c>
      <c r="K372" s="2">
        <v>982</v>
      </c>
      <c r="L372" s="2">
        <v>1482</v>
      </c>
      <c r="M372" s="3">
        <v>0.33738191632928483</v>
      </c>
      <c r="N372" s="6">
        <v>-1.88</v>
      </c>
    </row>
    <row r="373" spans="1:14" x14ac:dyDescent="0.2">
      <c r="A373" s="1" t="s">
        <v>83</v>
      </c>
      <c r="B373" s="1" t="s">
        <v>116</v>
      </c>
      <c r="C373" s="1" t="s">
        <v>116</v>
      </c>
      <c r="D373" s="2">
        <v>272</v>
      </c>
      <c r="E373" s="2">
        <v>336</v>
      </c>
      <c r="F373" s="2">
        <f t="shared" si="15"/>
        <v>608</v>
      </c>
      <c r="G373" s="3">
        <f t="shared" si="16"/>
        <v>0.44736842105263158</v>
      </c>
      <c r="H373" s="3">
        <f t="shared" si="17"/>
        <v>0.55263157894736847</v>
      </c>
      <c r="I373" s="1" t="s">
        <v>523</v>
      </c>
      <c r="J373" s="2">
        <v>281</v>
      </c>
      <c r="K373" s="2">
        <v>310</v>
      </c>
      <c r="L373" s="2">
        <v>591</v>
      </c>
      <c r="M373" s="3">
        <v>0.47546531302876482</v>
      </c>
      <c r="N373" s="6">
        <v>-2.81</v>
      </c>
    </row>
    <row r="374" spans="1:14" x14ac:dyDescent="0.2">
      <c r="A374" s="1" t="s">
        <v>83</v>
      </c>
      <c r="B374" s="1" t="s">
        <v>117</v>
      </c>
      <c r="C374" s="1" t="s">
        <v>466</v>
      </c>
      <c r="D374" s="2">
        <v>462</v>
      </c>
      <c r="E374" s="2">
        <v>699</v>
      </c>
      <c r="F374" s="2">
        <f t="shared" si="15"/>
        <v>1161</v>
      </c>
      <c r="G374" s="3">
        <f t="shared" si="16"/>
        <v>0.3979328165374677</v>
      </c>
      <c r="H374" s="3">
        <f t="shared" si="17"/>
        <v>0.6020671834625323</v>
      </c>
      <c r="I374" s="1" t="s">
        <v>523</v>
      </c>
      <c r="J374" s="2">
        <v>514</v>
      </c>
      <c r="K374" s="2">
        <v>713</v>
      </c>
      <c r="L374" s="2">
        <v>1227</v>
      </c>
      <c r="M374" s="3">
        <v>0.41890790546047268</v>
      </c>
      <c r="N374" s="6">
        <v>-2.1</v>
      </c>
    </row>
    <row r="375" spans="1:14" x14ac:dyDescent="0.2">
      <c r="A375" s="1" t="s">
        <v>83</v>
      </c>
      <c r="B375" s="1" t="s">
        <v>117</v>
      </c>
      <c r="C375" s="1" t="s">
        <v>467</v>
      </c>
      <c r="D375" s="2">
        <v>405</v>
      </c>
      <c r="E375" s="2">
        <v>690</v>
      </c>
      <c r="F375" s="2">
        <f t="shared" si="15"/>
        <v>1095</v>
      </c>
      <c r="G375" s="3">
        <f t="shared" si="16"/>
        <v>0.36986301369863012</v>
      </c>
      <c r="H375" s="3">
        <f t="shared" si="17"/>
        <v>0.63013698630136983</v>
      </c>
      <c r="I375" s="1" t="s">
        <v>523</v>
      </c>
      <c r="J375" s="2">
        <v>425</v>
      </c>
      <c r="K375" s="2">
        <v>656</v>
      </c>
      <c r="L375" s="2">
        <v>1081</v>
      </c>
      <c r="M375" s="3">
        <v>0.39315448658649399</v>
      </c>
      <c r="N375" s="6">
        <v>-2.33</v>
      </c>
    </row>
    <row r="376" spans="1:14" x14ac:dyDescent="0.2">
      <c r="A376" s="1" t="s">
        <v>83</v>
      </c>
      <c r="B376" s="1" t="s">
        <v>117</v>
      </c>
      <c r="C376" s="1" t="s">
        <v>468</v>
      </c>
      <c r="D376" s="2">
        <v>568</v>
      </c>
      <c r="E376" s="2">
        <v>677</v>
      </c>
      <c r="F376" s="2">
        <f t="shared" si="15"/>
        <v>1245</v>
      </c>
      <c r="G376" s="3">
        <f t="shared" si="16"/>
        <v>0.45622489959839357</v>
      </c>
      <c r="H376" s="3">
        <f t="shared" si="17"/>
        <v>0.54377510040160637</v>
      </c>
      <c r="I376" s="1" t="s">
        <v>523</v>
      </c>
      <c r="J376" s="2">
        <v>624</v>
      </c>
      <c r="K376" s="2">
        <v>618</v>
      </c>
      <c r="L376" s="2">
        <v>1242</v>
      </c>
      <c r="M376" s="3">
        <v>0.50241545893719808</v>
      </c>
      <c r="N376" s="6">
        <v>-4.62</v>
      </c>
    </row>
    <row r="377" spans="1:14" x14ac:dyDescent="0.2">
      <c r="A377" s="1" t="s">
        <v>83</v>
      </c>
      <c r="B377" s="1" t="s">
        <v>117</v>
      </c>
      <c r="C377" s="1" t="s">
        <v>469</v>
      </c>
      <c r="D377" s="2">
        <v>273</v>
      </c>
      <c r="E377" s="2">
        <v>415</v>
      </c>
      <c r="F377" s="2">
        <f t="shared" si="15"/>
        <v>688</v>
      </c>
      <c r="G377" s="3">
        <f t="shared" si="16"/>
        <v>0.39680232558139533</v>
      </c>
      <c r="H377" s="3">
        <f t="shared" si="17"/>
        <v>0.60319767441860461</v>
      </c>
      <c r="I377" s="1" t="s">
        <v>523</v>
      </c>
      <c r="J377" s="2">
        <v>284</v>
      </c>
      <c r="K377" s="2">
        <v>414</v>
      </c>
      <c r="L377" s="2">
        <v>698</v>
      </c>
      <c r="M377" s="3">
        <v>0.40687679083094558</v>
      </c>
      <c r="N377" s="6">
        <v>-1.01</v>
      </c>
    </row>
    <row r="378" spans="1:14" x14ac:dyDescent="0.2">
      <c r="A378" s="1" t="s">
        <v>83</v>
      </c>
      <c r="B378" s="1" t="s">
        <v>118</v>
      </c>
      <c r="C378" s="1" t="s">
        <v>470</v>
      </c>
      <c r="D378" s="2">
        <v>625</v>
      </c>
      <c r="E378" s="2">
        <v>464</v>
      </c>
      <c r="F378" s="2">
        <f t="shared" si="15"/>
        <v>1089</v>
      </c>
      <c r="G378" s="3">
        <f t="shared" si="16"/>
        <v>0.57392102846648296</v>
      </c>
      <c r="H378" s="3">
        <f t="shared" si="17"/>
        <v>0.42607897153351698</v>
      </c>
      <c r="I378" s="1" t="s">
        <v>523</v>
      </c>
      <c r="J378" s="2">
        <v>648</v>
      </c>
      <c r="K378" s="2">
        <v>462</v>
      </c>
      <c r="L378" s="2">
        <v>1110</v>
      </c>
      <c r="M378" s="3">
        <v>0.58378378378378382</v>
      </c>
      <c r="N378" s="6">
        <v>-0.99</v>
      </c>
    </row>
    <row r="379" spans="1:14" x14ac:dyDescent="0.2">
      <c r="A379" s="1" t="s">
        <v>83</v>
      </c>
      <c r="B379" s="1" t="s">
        <v>118</v>
      </c>
      <c r="C379" s="1" t="s">
        <v>471</v>
      </c>
      <c r="D379" s="2">
        <v>470</v>
      </c>
      <c r="E379" s="2">
        <v>400</v>
      </c>
      <c r="F379" s="2">
        <f t="shared" si="15"/>
        <v>870</v>
      </c>
      <c r="G379" s="3">
        <f t="shared" si="16"/>
        <v>0.54022988505747127</v>
      </c>
      <c r="H379" s="3">
        <f t="shared" si="17"/>
        <v>0.45977011494252873</v>
      </c>
      <c r="I379" s="1" t="s">
        <v>523</v>
      </c>
      <c r="J379" s="2">
        <v>491</v>
      </c>
      <c r="K379" s="2">
        <v>402</v>
      </c>
      <c r="L379" s="2">
        <v>893</v>
      </c>
      <c r="M379" s="3">
        <v>0.54983202687569988</v>
      </c>
      <c r="N379" s="6">
        <v>-0.96</v>
      </c>
    </row>
    <row r="380" spans="1:14" x14ac:dyDescent="0.2">
      <c r="A380" s="1" t="s">
        <v>83</v>
      </c>
      <c r="B380" s="1" t="s">
        <v>118</v>
      </c>
      <c r="C380" s="1" t="s">
        <v>472</v>
      </c>
      <c r="D380" s="2">
        <v>753</v>
      </c>
      <c r="E380" s="2">
        <v>695</v>
      </c>
      <c r="F380" s="2">
        <f t="shared" si="15"/>
        <v>1448</v>
      </c>
      <c r="G380" s="3">
        <f t="shared" si="16"/>
        <v>0.52002762430939231</v>
      </c>
      <c r="H380" s="3">
        <f t="shared" si="17"/>
        <v>0.47997237569060774</v>
      </c>
      <c r="I380" s="1" t="s">
        <v>523</v>
      </c>
      <c r="J380" s="2">
        <v>758</v>
      </c>
      <c r="K380" s="2">
        <v>674</v>
      </c>
      <c r="L380" s="2">
        <v>1432</v>
      </c>
      <c r="M380" s="3">
        <v>0.52932960893854752</v>
      </c>
      <c r="N380" s="6">
        <v>-0.93</v>
      </c>
    </row>
    <row r="381" spans="1:14" x14ac:dyDescent="0.2">
      <c r="A381" s="1" t="s">
        <v>83</v>
      </c>
      <c r="B381" s="1" t="s">
        <v>119</v>
      </c>
      <c r="C381" s="1" t="s">
        <v>473</v>
      </c>
      <c r="D381" s="2">
        <v>640</v>
      </c>
      <c r="E381" s="2">
        <v>886</v>
      </c>
      <c r="F381" s="2">
        <f t="shared" si="15"/>
        <v>1526</v>
      </c>
      <c r="G381" s="3">
        <f t="shared" si="16"/>
        <v>0.41939711664482304</v>
      </c>
      <c r="H381" s="3">
        <f t="shared" si="17"/>
        <v>0.58060288335517696</v>
      </c>
      <c r="I381" s="1" t="s">
        <v>523</v>
      </c>
      <c r="J381" s="2">
        <v>634</v>
      </c>
      <c r="K381" s="2">
        <v>856</v>
      </c>
      <c r="L381" s="2">
        <v>1490</v>
      </c>
      <c r="M381" s="3">
        <v>0.42550335570469799</v>
      </c>
      <c r="N381" s="6">
        <v>-0.61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Municipal Forecast</vt:lpstr>
      <vt:lpstr>2026 Precinct Forecast</vt:lpstr>
      <vt:lpstr>Feature Ranking</vt:lpstr>
      <vt:lpstr>2024 Backtest Municipal</vt:lpstr>
      <vt:lpstr>2024 Backtest Precinct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Weinstein</cp:lastModifiedBy>
  <dcterms:created xsi:type="dcterms:W3CDTF">2026-09-30T23:24:46Z</dcterms:created>
  <dcterms:modified xsi:type="dcterms:W3CDTF">2026-09-30T23:24:50Z</dcterms:modified>
</cp:coreProperties>
</file>