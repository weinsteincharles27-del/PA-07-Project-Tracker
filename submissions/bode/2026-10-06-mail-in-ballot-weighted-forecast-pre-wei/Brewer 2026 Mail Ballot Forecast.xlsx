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HAP Ranking" sheetId="2" r:id="rId6"/>
    <sheet state="visible" name="Assumptions" sheetId="3" r:id="rId7"/>
    <sheet state="visible" name="Mail Projection" sheetId="4" r:id="rId8"/>
    <sheet state="visible" name="Municipal Forecast" sheetId="5" r:id="rId9"/>
  </sheets>
  <definedNames/>
  <calcPr/>
</workbook>
</file>

<file path=xl/sharedStrings.xml><?xml version="1.0" encoding="utf-8"?>
<sst xmlns="http://schemas.openxmlformats.org/spreadsheetml/2006/main" count="381" uniqueCount="234">
  <si>
    <t>SHAP Ranking — Drivers of Brooks Vote Share</t>
  </si>
  <si>
    <t>PA-07 2026 General Forecast — Mail-Ballot Model</t>
  </si>
  <si>
    <t>2026 General Mail-Ballot Projection by County and Registered Party</t>
  </si>
  <si>
    <t>PA-07 2026 General — Mail-Ballot Forecast: Assumptions</t>
  </si>
  <si>
    <t>TreeSHAP on a random-forest surrogate fit to 4,000 model runs (held-out R² = 0.998). Blue values come from the Python run; share columns are formulas.</t>
  </si>
  <si>
    <t>Rank</t>
  </si>
  <si>
    <t>Blue = input you can change (yellow = key scenario lever). Everything on other tabs recalculates from these.</t>
  </si>
  <si>
    <t>Bob Brooks (D) vs. Rep. Ryan Mackenzie (R) · built on the v0.5 random-forest backtest · as of 2026-10-01</t>
  </si>
  <si>
    <t>Midterm turnout factor (2026 total ÷ 2024 total)</t>
  </si>
  <si>
    <t>Central forecast (live — recalculates from Assumptions)</t>
  </si>
  <si>
    <t>Signal-scope comparison (central case, static)</t>
  </si>
  <si>
    <t>Brooks votes</t>
  </si>
  <si>
    <t>Assumption</t>
  </si>
  <si>
    <t>Registered party ≠ vote choice; candidate columns apply the loyalty assumptions.</t>
  </si>
  <si>
    <t>Mean |SHAP| (pts)</t>
  </si>
  <si>
    <t>Share of total</t>
  </si>
  <si>
    <t>Share excl. environment</t>
  </si>
  <si>
    <t>Direction (corr. of value with SHAP)</t>
  </si>
  <si>
    <t>Assumption. 2022 PA-07 House turnout ran roughly 80–82% of 2024; Monte Carlo range 76–86%.</t>
  </si>
  <si>
    <t>Weight on random-forest backtest share (vs. 2024 actual)</t>
  </si>
  <si>
    <t>National environment shock (±3 pt)</t>
  </si>
  <si>
    <t>RF trained on 2018–2022 (two midterms) carries midterm structure; 2024 actual is the latest result. MC range 30–70%.</t>
  </si>
  <si>
    <t>GOP mail-habit retention (alpha)</t>
  </si>
  <si>
    <t>0 = mail electorate reverts to 2022 mix (D-heavy); 1 = each party keeps its 2024 mail share, falling only by the turnout factor. MC range 0–100%.</t>
  </si>
  <si>
    <t>Elasticity: general mail turnout to primary mail-return change</t>
  </si>
  <si>
    <t>County</t>
  </si>
  <si>
    <t>Party</t>
  </si>
  <si>
    <t>2024 mail recorded</t>
  </si>
  <si>
    <t>Midterm mail ratio</t>
  </si>
  <si>
    <t>2026 mail (habit-adjusted)</t>
  </si>
  <si>
    <t>Primary signal (party + county)</t>
  </si>
  <si>
    <t>How much of the 2024→2026 primary return change carries into the general. MC range 0.25–1.0.</t>
  </si>
  <si>
    <t>2026 mail (signal-adjusted)</t>
  </si>
  <si>
    <t>Dem-registered mail voters → Brooks</t>
  </si>
  <si>
    <t>Net new mail voters vs. habit</t>
  </si>
  <si>
    <t>Share to Brooks</t>
  </si>
  <si>
    <t>Brooks mail votes</t>
  </si>
  <si>
    <t>Mackenzie mail votes</t>
  </si>
  <si>
    <t>Assumed party loyalty. MC range 90–95%.</t>
  </si>
  <si>
    <t>Net new → Brooks</t>
  </si>
  <si>
    <t>GOP-registered mail voters → Mackenzie</t>
  </si>
  <si>
    <t>Net new → Mackenzie</t>
  </si>
  <si>
    <t>All-voter party electorate</t>
  </si>
  <si>
    <t>Assumed party loyalty. MC range 88–94%.</t>
  </si>
  <si>
    <t>Unaffiliated mail voters → Brooks</t>
  </si>
  <si>
    <t>Carbon</t>
  </si>
  <si>
    <t>Assumed. MC range 50–62%.</t>
  </si>
  <si>
    <t>Primary-signal scope (1 = all party voters, 0 = mail voters only)</t>
  </si>
  <si>
    <t>Democratic</t>
  </si>
  <si>
    <t>1 treats the 2026 primary mail-return change as a base-enthusiasm signal for every registrant of that party; 0 limits it to projected mail voters.</t>
  </si>
  <si>
    <t>Midterm mail ratio by party (2022 returned ÷ 2024 returned, PA-07)</t>
  </si>
  <si>
    <t>n/a</t>
  </si>
  <si>
    <t>No primary signal</t>
  </si>
  <si>
    <t>Source: PA07_House_mail-ballot_2020_2022_2024 (user file). GOP mail use more than doubled from 2022 to 2024.</t>
  </si>
  <si>
    <t>Republican</t>
  </si>
  <si>
    <t>Other / No affiliation</t>
  </si>
  <si>
    <t>Primary-signal elasticity</t>
  </si>
  <si>
    <t>Total votes</t>
  </si>
  <si>
    <t>2026 primary mail-return signal (returned, % change vs 2024 primary)</t>
  </si>
  <si>
    <t>Source: PA07_primary_mail_ballot_requests_2024_2026 (user file). D returns +2.6%, R −5.2%.</t>
  </si>
  <si>
    <t>Set to 0: closed primary, so unaffiliated requests are mostly declined and say nothing about the general.</t>
  </si>
  <si>
    <t>Mail voters only (prior run)</t>
  </si>
  <si>
    <t>County offset (county return change minus district +0.3%)</t>
  </si>
  <si>
    <t>Mackenzie votes</t>
  </si>
  <si>
    <t>Lehigh</t>
  </si>
  <si>
    <t>Monroe</t>
  </si>
  <si>
    <t>Northampton</t>
  </si>
  <si>
    <t>Weight on RF backtest vs 2024</t>
  </si>
  <si>
    <t>GOP loyalty</t>
  </si>
  <si>
    <t>All party voters (this run)</t>
  </si>
  <si>
    <t>Brooks share</t>
  </si>
  <si>
    <t>Midterm turnout factor</t>
  </si>
  <si>
    <t>Dem loyalty</t>
  </si>
  <si>
    <t>Unaffiliated → Brooks</t>
  </si>
  <si>
    <t>Mackenzie share</t>
  </si>
  <si>
    <t>GOP mail-habit retention</t>
  </si>
  <si>
    <t>Margin (Brooks − Mackenzie, pts)</t>
  </si>
  <si>
    <t>Positive direction = higher setting pushes toward Brooks. Environment shock is the national swing the model does not predict, only allows for.</t>
  </si>
  <si>
    <t>Primary mail signal — exact Shapley split (central case)</t>
  </si>
  <si>
    <t>Component</t>
  </si>
  <si>
    <t>Contribution (pts)</t>
  </si>
  <si>
    <t>Share of signal</t>
  </si>
  <si>
    <t>GOP mail returns down 5.2%</t>
  </si>
  <si>
    <t>Swing vs 2024 Wild share (pts)</t>
  </si>
  <si>
    <t>Dem mail returns up 2.6%</t>
  </si>
  <si>
    <t>County offsets</t>
  </si>
  <si>
    <t>Total signal</t>
  </si>
  <si>
    <t>Check: all-voter share − no-signal share (pts)</t>
  </si>
  <si>
    <t>Mail component (live)</t>
  </si>
  <si>
    <t>Projected mail ballots</t>
  </si>
  <si>
    <t>Brooks mail margin</t>
  </si>
  <si>
    <t>Brooks share of mail</t>
  </si>
  <si>
    <t>Mail share of all votes</t>
  </si>
  <si>
    <t>Mackenzie share of in-person/drop-off votes needed to hold seat</t>
  </si>
  <si>
    <t>Modeled Mackenzie share of non-mail votes</t>
  </si>
  <si>
    <t>Uncertainty — 20,000-run Monte Carlo (static values from Python run)</t>
  </si>
  <si>
    <t>P(Brooks wins)</t>
  </si>
  <si>
    <t>Draws all levers across their ranges (Assumptions col C) plus a ±3.0-pt (1 SD) district environment shock and municipal noise sized from backtest residuals.</t>
  </si>
  <si>
    <t>P(Mackenzie wins)</t>
  </si>
  <si>
    <t>Brooks share — 10th pct</t>
  </si>
  <si>
    <t>Brooks share — median</t>
  </si>
  <si>
    <t>Brooks share — 90th pct</t>
  </si>
  <si>
    <t>Sensitivity — one lever at a time, others at central (static)</t>
  </si>
  <si>
    <t>Lever</t>
  </si>
  <si>
    <t>Low setting</t>
  </si>
  <si>
    <t>High setting</t>
  </si>
  <si>
    <t>Mail-signal elasticity</t>
  </si>
  <si>
    <t>Weight on RF backtest</t>
  </si>
  <si>
    <t>Backtest calibration (2024, RF v0.5)</t>
  </si>
  <si>
    <t>District error, predicted − actual (pts)</t>
  </si>
  <si>
    <t>Vote-weighted municipal RMSE (pts)</t>
  </si>
  <si>
    <t>Municipal residual SD after removing bias (pts)</t>
  </si>
  <si>
    <t>Key caveats</t>
  </si>
  <si>
    <t>• No national midterm-environment term: the central case assumes a neutral year. Historically the president’s party loses ground in midterms; add that via the env shock if you want a lean.</t>
  </si>
  <si>
    <t>• All-voter signal assumes the primary mail-return change reflects each party’s whole base, not just mail voters — a stronger assumption than mail-only. Unaffiliated share of the electorate is proxied by the 2024 mail mix (~14%).</t>
  </si>
  <si>
    <t>• Primary mail data is district-wide by party; county × party signal is approximated as party change + county offset.</t>
  </si>
  <si>
    <t>• 2026 primary shows Dem declined applications jumping from 91 to 1,504 — worth confirming against the source file before relying on the Dem return signal.</t>
  </si>
  <si>
    <t>• Mail ballots are counted by registered party, not vote choice; loyalty rates are assumptions, not observed.</t>
  </si>
  <si>
    <t>• RF trained with Wild as incumbent; 2026 is an open-challenger race against an incumbent Mackenzie.</t>
  </si>
  <si>
    <t>PA-07 2026 Municipal Forecast — Brooks (D) vs. Mackenzie (R)</t>
  </si>
  <si>
    <t>Baseline = RF backtest share blended with 2024 actual, scaled to midterm turnout, then adjusted by the county mail-return signal. P10/P90 and win odds from 20,000 Monte Carlo runs (static values).</t>
  </si>
  <si>
    <t>Municipality</t>
  </si>
  <si>
    <t>RF backtest D share</t>
  </si>
  <si>
    <t>2024 actual D share</t>
  </si>
  <si>
    <t>2024 actual votes</t>
  </si>
  <si>
    <t>Baseline D share</t>
  </si>
  <si>
    <t>2026 total votes</t>
  </si>
  <si>
    <t>Baseline Brooks</t>
  </si>
  <si>
    <t>Baseline Mackenzie</t>
  </si>
  <si>
    <t>Mail adj. Brooks</t>
  </si>
  <si>
    <t>Mail adj. Mackenzie</t>
  </si>
  <si>
    <t>Brooks 2026</t>
  </si>
  <si>
    <t>Mackenzie 2026</t>
  </si>
  <si>
    <t>Swing vs 2024 (pts)</t>
  </si>
  <si>
    <t>Brooks share P10</t>
  </si>
  <si>
    <t>Brooks share P90</t>
  </si>
  <si>
    <t>P(Brooks carries)</t>
  </si>
  <si>
    <t>BANKS TOWNSHIP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</si>
  <si>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</si>
  <si>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</si>
  <si>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</si>
  <si>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</si>
  <si>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</si>
  <si>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</si>
  <si>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</si>
  <si>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</si>
  <si>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PA-07 TOTAL</t>
  </si>
  <si>
    <t>Mail margin summary</t>
  </si>
  <si>
    <t>LAUSANNE TOWNSHIP</t>
  </si>
  <si>
    <t>Projected 2026 mail ballots</t>
  </si>
  <si>
    <t>Mail share of all 2026 votes</t>
  </si>
  <si>
    <t>County mail-signal adjustment (feeds Municipal tab)</t>
  </si>
  <si>
    <t>LEHIGH TOWNSHIP</t>
  </si>
  <si>
    <t>All-voter party electorate by county (baseline votes; unaffiliated share proxied by 2024 mail mix; D/R solved from loyalty rates)</t>
  </si>
  <si>
    <t>Unaffiliated share</t>
  </si>
  <si>
    <t>Unaffiliated voters</t>
  </si>
  <si>
    <t>Dem voters</t>
  </si>
  <si>
    <t>GOP voters</t>
  </si>
  <si>
    <t>LEHIGHTON BOROUGH</t>
  </si>
  <si>
    <t>LOWER TOWAMENSING TWP.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</si>
  <si>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</si>
  <si>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</si>
  <si>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</si>
  <si>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</si>
  <si>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</si>
  <si>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</si>
  <si>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</si>
  <si>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</si>
  <si>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</si>
  <si>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</si>
  <si>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ALBURTIS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</si>
  <si>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</si>
  <si>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</si>
  <si>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</si>
  <si>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</si>
  <si>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</si>
  <si>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</si>
  <si>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</si>
  <si>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</si>
  <si>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</si>
  <si>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</si>
  <si>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</si>
  <si>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</si>
  <si>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</si>
  <si>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</si>
  <si>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</si>
  <si>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</si>
  <si>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</si>
  <si>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</si>
  <si>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</si>
  <si>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</si>
  <si>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</si>
  <si>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</si>
  <si>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</si>
  <si>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</si>
  <si>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POLK TOWNSHIP</t>
  </si>
  <si>
    <t>ELDRED TOWNSHIP</t>
  </si>
  <si>
    <t>ROSS TOWNSHIP</t>
  </si>
  <si>
    <t>ALLEN TWSP</t>
  </si>
  <si>
    <t>BANGOR BORO</t>
  </si>
  <si>
    <t>BATH BORO</t>
  </si>
  <si>
    <t>BETHLEHEM TWSP</t>
  </si>
  <si>
    <t>BUSHKILL TWSP</t>
  </si>
  <si>
    <t>CHAPMAN</t>
  </si>
  <si>
    <t>EAST ALLEN TWSP</t>
  </si>
  <si>
    <t>EAST BANGOR</t>
  </si>
  <si>
    <t>EASTON</t>
  </si>
  <si>
    <t>FORKS</t>
  </si>
  <si>
    <t>FREEMANSBURG</t>
  </si>
  <si>
    <t>GLENDON</t>
  </si>
  <si>
    <t>HELLERTOWN BORO</t>
  </si>
  <si>
    <t>LEHIGH TWSP</t>
  </si>
  <si>
    <t>LOWER MT BETHEL</t>
  </si>
  <si>
    <t>LOWER NAZARETH</t>
  </si>
  <si>
    <t>LOWER SAUCON TWSP</t>
  </si>
  <si>
    <t>MOORE TWSP</t>
  </si>
  <si>
    <t>NAZARETH BORO</t>
  </si>
  <si>
    <t>NORTH CATASAUQUA</t>
  </si>
  <si>
    <t>NORTHAMPTON BORO</t>
  </si>
  <si>
    <t>PALMER</t>
  </si>
  <si>
    <t>PEN ARGYL BORO</t>
  </si>
  <si>
    <t>PLAINFIELD TWSP</t>
  </si>
  <si>
    <t>PORTLAND BORO</t>
  </si>
  <si>
    <t>ROSETO BORO</t>
  </si>
  <si>
    <t>STOCKERTOWN BORO</t>
  </si>
  <si>
    <t>TATAMY BORO</t>
  </si>
  <si>
    <t>UPPER MT BETHEL TWSP</t>
  </si>
  <si>
    <t>UPPER NAZARETH</t>
  </si>
  <si>
    <t>WALNUTPORT BORO</t>
  </si>
  <si>
    <t>WASHINGTON TWSP</t>
  </si>
  <si>
    <t>WEST EASTON</t>
  </si>
  <si>
    <t>WILLIAMS TWSP</t>
  </si>
  <si>
    <t>WILSON BORO</t>
  </si>
  <si>
    <t>WIND GAP BORO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</si>
</sst>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0.000"/>
    <numFmt numFmtId="166" formatCode="#,##0;\(#,##0\);\-"/>
    <numFmt numFmtId="167" formatCode="\+0.00;\-0.00"/>
    <numFmt numFmtId="168" formatCode="\+0.0%;\-0.0%;0.0%"/>
    <numFmt numFmtId="169" formatCode="\+0.000;\-0.000"/>
    <numFmt numFmtId="170" formatCode="\+0.0;\-0.0;0.0"/>
    <numFmt numFmtId="171" formatCode="\+0.000"/>
    <numFmt numFmtId="172" formatCode="\+0.0;\-0.0"/>
    <numFmt numFmtId="173" formatCode="0.0"/>
  </numFmts>
  <fonts count="16">
    <font>
      <sz val="11.0"/>
      <color theme="1"/>
      <name val="Calibri"/>
      <scheme val="minor"/>
    </font>
    <font>
      <b/>
      <sz val="14.0"/>
      <color rgb="FF000000"/>
      <name val="Arial"/>
    </font>
    <font>
      <b/>
      <sz val="13.0"/>
      <color rgb="FF000000"/>
      <name val="Arial"/>
    </font>
    <font>
      <i/>
      <sz val="10.0"/>
      <color rgb="FF000000"/>
      <name val="Arial"/>
    </font>
    <font>
      <sz val="11.0"/>
      <color theme="1"/>
      <name val="Calibri"/>
    </font>
    <font>
      <sz val="10.0"/>
      <color rgb="FF000000"/>
      <name val="Arial"/>
    </font>
    <font>
      <b/>
      <sz val="11.0"/>
      <color rgb="FF000000"/>
      <name val="Arial"/>
    </font>
    <font>
      <b/>
      <sz val="10.0"/>
      <color rgb="FFFFFFFF"/>
      <name val="Arial"/>
    </font>
    <font>
      <sz val="10.0"/>
      <color rgb="FF0000FF"/>
      <name val="Arial"/>
    </font>
    <font>
      <i/>
      <sz val="10.0"/>
      <color rgb="FF595959"/>
      <name val="Arial"/>
    </font>
    <font>
      <sz val="11.0"/>
      <color theme="1"/>
      <name val="Arial"/>
    </font>
    <font>
      <sz val="11.0"/>
      <color rgb="FF0000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sz val="11.0"/>
      <color rgb="FF008000"/>
      <name val="Arial"/>
    </font>
    <font>
      <b/>
      <sz val="10.0"/>
      <color rgb="FF008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shrinkToFit="0" vertical="center" wrapText="1"/>
    </xf>
    <xf borderId="1" fillId="3" fontId="8" numFmtId="164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1" fillId="3" fontId="8" numFmtId="2" xfId="0" applyAlignment="1" applyBorder="1" applyFill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8" numFmtId="1" xfId="0" applyAlignment="1" applyBorder="1" applyFill="1" applyFont="1" applyNumberForma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6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14" numFmtId="168" xfId="0" applyAlignment="1" applyFont="1" applyNumberForma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0" fillId="0" fontId="8" numFmtId="169" xfId="0" applyAlignment="1" applyFont="1" applyNumberFormat="1">
      <alignment shrinkToFit="0" vertical="bottom" wrapText="0"/>
    </xf>
    <xf borderId="0" fillId="0" fontId="12" numFmtId="170" xfId="0" applyAlignment="1" applyFont="1" applyNumberFormat="1">
      <alignment shrinkToFit="0" vertical="bottom" wrapText="0"/>
    </xf>
    <xf borderId="0" fillId="0" fontId="12" numFmtId="171" xfId="0" applyAlignment="1" applyFont="1" applyNumberFormat="1">
      <alignment shrinkToFit="0" vertical="bottom" wrapText="0"/>
    </xf>
    <xf borderId="0" fillId="0" fontId="8" numFmtId="171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3" numFmtId="9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0" fillId="0" fontId="8" numFmtId="172" xfId="0" applyAlignment="1" applyFont="1" applyNumberFormat="1">
      <alignment shrinkToFit="0" vertical="bottom" wrapText="0"/>
    </xf>
    <xf borderId="0" fillId="0" fontId="8" numFmtId="173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170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4" fontId="10" numFmtId="0" xfId="0" applyAlignment="1" applyBorder="1" applyFill="1" applyFont="1">
      <alignment shrinkToFit="0" vertical="bottom" wrapText="0"/>
    </xf>
    <xf borderId="1" fillId="4" fontId="6" numFmtId="166" xfId="0" applyAlignment="1" applyBorder="1" applyFill="1" applyFont="1" applyNumberFormat="1">
      <alignment shrinkToFit="0" vertical="bottom" wrapText="0"/>
    </xf>
    <xf borderId="1" fillId="4" fontId="10" numFmtId="164" xfId="0" applyAlignment="1" applyBorder="1" applyFill="1" applyFont="1" applyNumberFormat="1">
      <alignment shrinkToFit="0" vertical="bottom" wrapText="0"/>
    </xf>
    <xf borderId="1" fillId="4" fontId="10" numFmtId="168" xfId="0" applyAlignment="1" applyBorder="1" applyFill="1" applyFont="1" applyNumberFormat="1">
      <alignment shrinkToFit="0" vertical="bottom" wrapText="0"/>
    </xf>
    <xf borderId="1" fillId="2" fontId="7" numFmtId="0" xfId="0" applyAlignment="1" applyBorder="1" applyFill="1" applyFont="1">
      <alignment shrinkToFit="0" vertical="bottom" wrapText="1"/>
    </xf>
    <xf borderId="0" fillId="0" fontId="5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3" width="14.0"/>
    <col customWidth="1" min="4" max="4" width="30.0"/>
    <col customWidth="1" min="5" max="5" width="12.0"/>
    <col customWidth="1" min="6" max="26" width="8.71"/>
  </cols>
  <sheetData>
    <row r="1" ht="17.25" customHeight="1">
      <c r="A1" s="1" t="s">
        <v>1</v>
      </c>
      <c r="B1" s="4"/>
      <c r="C1" s="4"/>
      <c r="D1" s="4"/>
      <c r="E1" s="4"/>
    </row>
    <row r="2" ht="15.0" customHeight="1">
      <c r="A2" s="3" t="s">
        <v>7</v>
      </c>
      <c r="B2" s="4"/>
      <c r="C2" s="4"/>
      <c r="D2" s="4"/>
      <c r="E2" s="4"/>
    </row>
    <row r="3">
      <c r="A3" s="4"/>
      <c r="B3" s="4"/>
      <c r="C3" s="4"/>
      <c r="D3" s="4"/>
      <c r="E3" s="4"/>
    </row>
    <row r="4" ht="15.0" customHeight="1">
      <c r="A4" s="6" t="s">
        <v>9</v>
      </c>
      <c r="B4" s="4"/>
      <c r="C4" s="4"/>
      <c r="D4" s="6" t="s">
        <v>10</v>
      </c>
      <c r="E4" s="4"/>
    </row>
    <row r="5" ht="15.0" customHeight="1">
      <c r="A5" s="5" t="s">
        <v>11</v>
      </c>
      <c r="B5" s="17">
        <f>SUM('Municipal Forecast'!L5:L93)</f>
        <v>160197.0517</v>
      </c>
      <c r="C5" s="4"/>
      <c r="D5" s="5" t="s">
        <v>52</v>
      </c>
      <c r="E5" s="20">
        <v>0.486570353935893</v>
      </c>
    </row>
    <row r="6" ht="15.0" customHeight="1">
      <c r="A6" s="5" t="s">
        <v>57</v>
      </c>
      <c r="B6" s="17">
        <f>SUM('Municipal Forecast'!L5:M93)</f>
        <v>323501.2854</v>
      </c>
      <c r="C6" s="4"/>
      <c r="D6" s="5" t="s">
        <v>61</v>
      </c>
      <c r="E6" s="20">
        <v>0.488659979457531</v>
      </c>
    </row>
    <row r="7" ht="15.0" customHeight="1">
      <c r="A7" s="5" t="s">
        <v>63</v>
      </c>
      <c r="B7" s="17">
        <f>SUM('Municipal Forecast'!M5:M93)</f>
        <v>163304.2336</v>
      </c>
      <c r="C7" s="4"/>
      <c r="D7" s="5" t="s">
        <v>69</v>
      </c>
      <c r="E7" s="20">
        <v>0.495197574116088</v>
      </c>
    </row>
    <row r="8" ht="15.0" customHeight="1">
      <c r="A8" s="5" t="s">
        <v>70</v>
      </c>
      <c r="B8" s="24">
        <f>B5/B6</f>
        <v>0.4951975741</v>
      </c>
      <c r="C8" s="4"/>
      <c r="D8" s="4"/>
      <c r="E8" s="4"/>
    </row>
    <row r="9" ht="15.0" customHeight="1">
      <c r="A9" s="5" t="s">
        <v>74</v>
      </c>
      <c r="B9" s="24">
        <f>B7/B6</f>
        <v>0.5048024259</v>
      </c>
      <c r="C9" s="4"/>
      <c r="D9" s="4"/>
      <c r="E9" s="4"/>
    </row>
    <row r="10" ht="15.0" customHeight="1">
      <c r="A10" s="5" t="s">
        <v>76</v>
      </c>
      <c r="B10" s="28">
        <f>(B8-B9)*100</f>
        <v>-0.9604851768</v>
      </c>
      <c r="C10" s="4"/>
      <c r="D10" s="4"/>
      <c r="E10" s="4"/>
    </row>
    <row r="11" ht="15.0" customHeight="1">
      <c r="A11" s="5" t="s">
        <v>83</v>
      </c>
      <c r="B11" s="28">
        <f>(B8-SUMPRODUCT('Municipal Forecast'!E5:E93,'Municipal Forecast'!D5:D93)/SUM('Municipal Forecast'!E5:E93))*100</f>
        <v>0.02333526906</v>
      </c>
      <c r="C11" s="4"/>
      <c r="D11" s="4"/>
      <c r="E11" s="4"/>
    </row>
    <row r="12">
      <c r="A12" s="4"/>
      <c r="B12" s="4"/>
      <c r="C12" s="4"/>
      <c r="D12" s="4"/>
      <c r="E12" s="4"/>
    </row>
    <row r="13" ht="15.0" customHeight="1">
      <c r="A13" s="6" t="s">
        <v>88</v>
      </c>
      <c r="B13" s="4"/>
      <c r="C13" s="4"/>
      <c r="D13" s="4"/>
      <c r="E13" s="4"/>
    </row>
    <row r="14" ht="15.0" customHeight="1">
      <c r="A14" s="5" t="s">
        <v>89</v>
      </c>
      <c r="B14" s="31">
        <f>'Mail Projection'!C20</f>
        <v>90356.87381</v>
      </c>
      <c r="C14" s="4"/>
      <c r="D14" s="4"/>
      <c r="E14" s="4"/>
    </row>
    <row r="15" ht="15.0" customHeight="1">
      <c r="A15" s="5" t="s">
        <v>36</v>
      </c>
      <c r="B15" s="31">
        <f>'Mail Projection'!C21</f>
        <v>59381.86237</v>
      </c>
      <c r="C15" s="4"/>
      <c r="D15" s="4"/>
      <c r="E15" s="4"/>
    </row>
    <row r="16" ht="15.0" customHeight="1">
      <c r="A16" s="5" t="s">
        <v>37</v>
      </c>
      <c r="B16" s="31">
        <f>'Mail Projection'!C22</f>
        <v>30975.01145</v>
      </c>
      <c r="C16" s="4"/>
      <c r="D16" s="4"/>
      <c r="E16" s="4"/>
    </row>
    <row r="17" ht="15.0" customHeight="1">
      <c r="A17" s="5" t="s">
        <v>90</v>
      </c>
      <c r="B17" s="31">
        <f>'Mail Projection'!C23</f>
        <v>28406.85092</v>
      </c>
      <c r="C17" s="4"/>
      <c r="D17" s="4"/>
      <c r="E17" s="4"/>
    </row>
    <row r="18" ht="15.0" customHeight="1">
      <c r="A18" s="5" t="s">
        <v>91</v>
      </c>
      <c r="B18" s="32">
        <f>'Mail Projection'!C24</f>
        <v>0.6571925285</v>
      </c>
      <c r="C18" s="4"/>
      <c r="D18" s="4"/>
      <c r="E18" s="4"/>
    </row>
    <row r="19" ht="15.0" customHeight="1">
      <c r="A19" s="5" t="s">
        <v>92</v>
      </c>
      <c r="B19" s="32">
        <f>'Mail Projection'!C25</f>
        <v>0.2793091647</v>
      </c>
      <c r="C19" s="4"/>
      <c r="D19" s="4"/>
      <c r="E19" s="4"/>
    </row>
    <row r="20" ht="15.0" customHeight="1">
      <c r="A20" s="5" t="s">
        <v>93</v>
      </c>
      <c r="B20" s="24">
        <f>(B6/2-'Mail Projection'!C22)/(B6-'Mail Projection'!C20)</f>
        <v>0.5609211491</v>
      </c>
      <c r="C20" s="4"/>
      <c r="D20" s="4"/>
      <c r="E20" s="4"/>
    </row>
    <row r="21" ht="15.0" customHeight="1">
      <c r="A21" s="5" t="s">
        <v>94</v>
      </c>
      <c r="B21" s="24">
        <f>(B7-'Mail Projection'!C22)/(B6-'Mail Projection'!C20)</f>
        <v>0.5675847913</v>
      </c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0" customHeight="1">
      <c r="A23" s="6" t="s">
        <v>95</v>
      </c>
      <c r="B23" s="4"/>
      <c r="C23" s="4"/>
      <c r="D23" s="4"/>
      <c r="E23" s="4"/>
    </row>
    <row r="24" ht="15.0" customHeight="1">
      <c r="A24" s="5" t="s">
        <v>96</v>
      </c>
      <c r="B24" s="33">
        <v>0.4388</v>
      </c>
      <c r="C24" s="9" t="s">
        <v>97</v>
      </c>
      <c r="D24" s="4"/>
      <c r="E24" s="4"/>
    </row>
    <row r="25" ht="15.0" customHeight="1">
      <c r="A25" s="5" t="s">
        <v>98</v>
      </c>
      <c r="B25" s="33">
        <v>0.5612</v>
      </c>
      <c r="C25" s="4"/>
      <c r="D25" s="4"/>
      <c r="E25" s="4"/>
    </row>
    <row r="26" ht="15.0" customHeight="1">
      <c r="A26" s="5" t="s">
        <v>99</v>
      </c>
      <c r="B26" s="20">
        <v>0.456016786828221</v>
      </c>
      <c r="C26" s="4"/>
      <c r="D26" s="4"/>
      <c r="E26" s="4"/>
    </row>
    <row r="27" ht="15.0" customHeight="1">
      <c r="A27" s="5" t="s">
        <v>100</v>
      </c>
      <c r="B27" s="20">
        <v>0.49541506993293</v>
      </c>
      <c r="C27" s="4"/>
      <c r="D27" s="4"/>
      <c r="E27" s="4"/>
    </row>
    <row r="28" ht="15.0" customHeight="1">
      <c r="A28" s="5" t="s">
        <v>101</v>
      </c>
      <c r="B28" s="20">
        <v>0.533771791726894</v>
      </c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0" customHeight="1">
      <c r="A30" s="6" t="s">
        <v>102</v>
      </c>
      <c r="B30" s="4"/>
      <c r="C30" s="4"/>
      <c r="D30" s="4"/>
      <c r="E30" s="4"/>
    </row>
    <row r="31" ht="15.0" customHeight="1">
      <c r="A31" s="26" t="s">
        <v>103</v>
      </c>
      <c r="B31" s="26" t="s">
        <v>104</v>
      </c>
      <c r="C31" s="26" t="s">
        <v>70</v>
      </c>
      <c r="D31" s="26" t="s">
        <v>105</v>
      </c>
      <c r="E31" s="26" t="s">
        <v>70</v>
      </c>
    </row>
    <row r="32" ht="15.0" customHeight="1">
      <c r="A32" s="5" t="s">
        <v>75</v>
      </c>
      <c r="B32" s="34">
        <v>0.0</v>
      </c>
      <c r="C32" s="12">
        <v>0.495197574116088</v>
      </c>
      <c r="D32" s="34">
        <v>1.0</v>
      </c>
      <c r="E32" s="12">
        <v>0.495197574116088</v>
      </c>
    </row>
    <row r="33" ht="15.0" customHeight="1">
      <c r="A33" s="5" t="s">
        <v>106</v>
      </c>
      <c r="B33" s="34">
        <v>0.25</v>
      </c>
      <c r="C33" s="12">
        <v>0.490144514605045</v>
      </c>
      <c r="D33" s="34">
        <v>1.0</v>
      </c>
      <c r="E33" s="12">
        <v>0.501043995417532</v>
      </c>
    </row>
    <row r="34" ht="15.0" customHeight="1">
      <c r="A34" s="5" t="s">
        <v>71</v>
      </c>
      <c r="B34" s="34">
        <v>0.76</v>
      </c>
      <c r="C34" s="12">
        <v>0.495197574116088</v>
      </c>
      <c r="D34" s="34">
        <v>0.86</v>
      </c>
      <c r="E34" s="12">
        <v>0.495197574116088</v>
      </c>
    </row>
    <row r="35" ht="15.0" customHeight="1">
      <c r="A35" s="5" t="s">
        <v>107</v>
      </c>
      <c r="B35" s="34">
        <v>0.3</v>
      </c>
      <c r="C35" s="12">
        <v>0.49857255800102</v>
      </c>
      <c r="D35" s="34">
        <v>0.7</v>
      </c>
      <c r="E35" s="12">
        <v>0.49182131489486</v>
      </c>
    </row>
    <row r="36" ht="15.0" customHeight="1">
      <c r="A36" s="5" t="s">
        <v>73</v>
      </c>
      <c r="B36" s="34">
        <v>0.5</v>
      </c>
      <c r="C36" s="12">
        <v>0.495135868960259</v>
      </c>
      <c r="D36" s="34">
        <v>0.62</v>
      </c>
      <c r="E36" s="12">
        <v>0.495259338846227</v>
      </c>
    </row>
    <row r="37" ht="15.0" customHeight="1">
      <c r="A37" s="5" t="s">
        <v>72</v>
      </c>
      <c r="B37" s="34">
        <v>0.9</v>
      </c>
      <c r="C37" s="12">
        <v>0.494919642632782</v>
      </c>
      <c r="D37" s="34">
        <v>0.95</v>
      </c>
      <c r="E37" s="12">
        <v>0.495372284316211</v>
      </c>
    </row>
    <row r="38" ht="15.0" customHeight="1">
      <c r="A38" s="6" t="s">
        <v>68</v>
      </c>
      <c r="B38" s="34">
        <v>0.88</v>
      </c>
      <c r="C38" s="12">
        <v>0.494843436766408</v>
      </c>
      <c r="D38" s="34">
        <v>0.94</v>
      </c>
      <c r="E38" s="12">
        <v>0.495526770444695</v>
      </c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0" customHeight="1">
      <c r="A41" s="4" t="s">
        <v>108</v>
      </c>
      <c r="B41" s="4"/>
      <c r="C41" s="4"/>
      <c r="D41" s="4"/>
      <c r="E41" s="4"/>
    </row>
    <row r="42" ht="15.0" customHeight="1">
      <c r="A42" s="5" t="s">
        <v>109</v>
      </c>
      <c r="B42" s="35">
        <v>-1.57897691580737</v>
      </c>
      <c r="C42" s="4"/>
      <c r="D42" s="4"/>
      <c r="E42" s="4"/>
    </row>
    <row r="43" ht="15.0" customHeight="1">
      <c r="A43" s="5" t="s">
        <v>110</v>
      </c>
      <c r="B43" s="36">
        <v>2.07860720707578</v>
      </c>
      <c r="C43" s="4"/>
      <c r="D43" s="4"/>
      <c r="E43" s="4"/>
    </row>
    <row r="44" ht="15.0" customHeight="1">
      <c r="A44" s="5" t="s">
        <v>111</v>
      </c>
      <c r="B44" s="36">
        <v>1.24867202587929</v>
      </c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0" customHeight="1">
      <c r="A46" s="6" t="s">
        <v>112</v>
      </c>
      <c r="B46" s="4"/>
      <c r="C46" s="4"/>
      <c r="D46" s="4"/>
      <c r="E46" s="4"/>
    </row>
    <row r="47" ht="15.0" customHeight="1">
      <c r="A47" s="5" t="s">
        <v>113</v>
      </c>
      <c r="B47" s="4"/>
      <c r="C47" s="4"/>
      <c r="D47" s="4"/>
      <c r="E47" s="4"/>
    </row>
    <row r="48" ht="15.0" customHeight="1">
      <c r="A48" s="5" t="s">
        <v>114</v>
      </c>
      <c r="B48" s="4"/>
      <c r="C48" s="4"/>
      <c r="D48" s="4"/>
      <c r="E48" s="4"/>
    </row>
    <row r="49" ht="15.0" customHeight="1">
      <c r="A49" s="5" t="s">
        <v>115</v>
      </c>
      <c r="B49" s="4"/>
      <c r="C49" s="4"/>
      <c r="D49" s="4"/>
      <c r="E49" s="4"/>
    </row>
    <row r="50" ht="15.0" customHeight="1">
      <c r="A50" s="5" t="s">
        <v>116</v>
      </c>
      <c r="B50" s="4"/>
      <c r="C50" s="4"/>
      <c r="D50" s="4"/>
      <c r="E50" s="4"/>
    </row>
    <row r="51" ht="15.0" customHeight="1">
      <c r="A51" s="5" t="s">
        <v>117</v>
      </c>
      <c r="B51" s="4"/>
      <c r="C51" s="4"/>
      <c r="D51" s="4"/>
      <c r="E51" s="4"/>
    </row>
    <row r="52" ht="15.0" customHeight="1">
      <c r="A52" s="5" t="s">
        <v>118</v>
      </c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40.0"/>
    <col customWidth="1" min="3" max="3" width="16.0"/>
    <col customWidth="1" min="4" max="4" width="14.0"/>
    <col customWidth="1" min="5" max="5" width="16.0"/>
    <col customWidth="1" min="6" max="6" width="22.0"/>
    <col customWidth="1" min="7" max="26" width="8.71"/>
  </cols>
  <sheetData>
    <row r="1">
      <c r="A1" s="2" t="s">
        <v>0</v>
      </c>
    </row>
    <row r="2">
      <c r="A2" s="3" t="s">
        <v>4</v>
      </c>
    </row>
    <row r="4" ht="31.5" customHeight="1">
      <c r="A4" s="7" t="s">
        <v>5</v>
      </c>
      <c r="B4" s="7" t="s">
        <v>12</v>
      </c>
      <c r="C4" s="7" t="s">
        <v>14</v>
      </c>
      <c r="D4" s="7" t="s">
        <v>15</v>
      </c>
      <c r="E4" s="7" t="s">
        <v>16</v>
      </c>
      <c r="F4" s="7" t="s">
        <v>17</v>
      </c>
    </row>
    <row r="5">
      <c r="A5" s="5">
        <v>1.0</v>
      </c>
      <c r="B5" s="5" t="s">
        <v>20</v>
      </c>
      <c r="C5" s="10">
        <v>2.41927916457887</v>
      </c>
      <c r="D5" s="18">
        <f t="shared" ref="D5:D12" si="1">C5/SUM($C$5:$C$12)</f>
        <v>0.8675808556</v>
      </c>
      <c r="E5" s="18" t="s">
        <v>51</v>
      </c>
      <c r="F5" s="19">
        <v>0.999588016018416</v>
      </c>
    </row>
    <row r="6">
      <c r="A6" s="5">
        <v>2.0</v>
      </c>
      <c r="B6" s="5" t="s">
        <v>56</v>
      </c>
      <c r="C6" s="10">
        <v>0.242695080808586</v>
      </c>
      <c r="D6" s="18">
        <f t="shared" si="1"/>
        <v>0.08703319937</v>
      </c>
      <c r="E6" s="18">
        <f t="shared" ref="E6:E12" si="2">C6/(SUM($C$5:$C$12)-$C$5)</f>
        <v>0.6572554126</v>
      </c>
      <c r="F6" s="19">
        <v>0.984101050953249</v>
      </c>
    </row>
    <row r="7">
      <c r="A7" s="5">
        <v>3.0</v>
      </c>
      <c r="B7" s="5" t="s">
        <v>67</v>
      </c>
      <c r="C7" s="10">
        <v>0.11961049251382</v>
      </c>
      <c r="D7" s="18">
        <f t="shared" si="1"/>
        <v>0.04289367468</v>
      </c>
      <c r="E7" s="18">
        <f t="shared" si="2"/>
        <v>0.3239235148</v>
      </c>
      <c r="F7" s="19">
        <v>-0.972134141318392</v>
      </c>
    </row>
    <row r="8">
      <c r="A8" s="5">
        <v>4.0</v>
      </c>
      <c r="B8" s="5" t="s">
        <v>68</v>
      </c>
      <c r="C8" s="10">
        <v>0.00260444796053626</v>
      </c>
      <c r="D8" s="18">
        <f t="shared" si="1"/>
        <v>0.000933984479</v>
      </c>
      <c r="E8" s="18">
        <f t="shared" si="2"/>
        <v>0.007053243573</v>
      </c>
      <c r="F8" s="19">
        <v>0.624614333726739</v>
      </c>
    </row>
    <row r="9">
      <c r="A9" s="5">
        <v>5.0</v>
      </c>
      <c r="B9" s="5" t="s">
        <v>71</v>
      </c>
      <c r="C9" s="10">
        <v>0.00131318959351344</v>
      </c>
      <c r="D9" s="18">
        <f t="shared" si="1"/>
        <v>0.0004709246324</v>
      </c>
      <c r="E9" s="18">
        <f t="shared" si="2"/>
        <v>0.003556318345</v>
      </c>
      <c r="F9" s="19">
        <v>0.232212865097601</v>
      </c>
    </row>
    <row r="10">
      <c r="A10" s="5">
        <v>6.0</v>
      </c>
      <c r="B10" s="5" t="s">
        <v>72</v>
      </c>
      <c r="C10" s="10">
        <v>0.00118194679950512</v>
      </c>
      <c r="D10" s="18">
        <f t="shared" si="1"/>
        <v>0.0004238594829</v>
      </c>
      <c r="E10" s="18">
        <f t="shared" si="2"/>
        <v>0.003200892778</v>
      </c>
      <c r="F10" s="19">
        <v>0.657633989633436</v>
      </c>
    </row>
    <row r="11">
      <c r="A11" s="5">
        <v>7.0</v>
      </c>
      <c r="B11" s="5" t="s">
        <v>73</v>
      </c>
      <c r="C11" s="10">
        <v>0.00110151070265334</v>
      </c>
      <c r="D11" s="18">
        <f t="shared" si="1"/>
        <v>0.0003950141893</v>
      </c>
      <c r="E11" s="18">
        <f t="shared" si="2"/>
        <v>0.00298305952</v>
      </c>
      <c r="F11" s="19">
        <v>0.532808885053656</v>
      </c>
    </row>
    <row r="12">
      <c r="A12" s="5">
        <v>8.0</v>
      </c>
      <c r="B12" s="5" t="s">
        <v>75</v>
      </c>
      <c r="C12" s="10">
        <v>7.48686789393216E-4</v>
      </c>
      <c r="D12" s="18">
        <f t="shared" si="1"/>
        <v>0.0002684875457</v>
      </c>
      <c r="E12" s="18">
        <f t="shared" si="2"/>
        <v>0.002027558379</v>
      </c>
      <c r="F12" s="19">
        <v>-0.0671138717213371</v>
      </c>
    </row>
    <row r="14">
      <c r="A14" s="9" t="s">
        <v>77</v>
      </c>
    </row>
    <row r="16">
      <c r="A16" s="6" t="s">
        <v>78</v>
      </c>
    </row>
    <row r="17">
      <c r="B17" s="26" t="s">
        <v>79</v>
      </c>
      <c r="C17" s="26" t="s">
        <v>80</v>
      </c>
      <c r="D17" s="26" t="s">
        <v>81</v>
      </c>
    </row>
    <row r="18">
      <c r="B18" s="5" t="s">
        <v>82</v>
      </c>
      <c r="C18" s="27">
        <v>0.584361454219197</v>
      </c>
      <c r="D18" s="18">
        <f t="shared" ref="D18:D20" si="3">C18/SUM($C$18:$C$20)</f>
        <v>0.6773461695</v>
      </c>
    </row>
    <row r="19">
      <c r="B19" s="5" t="s">
        <v>84</v>
      </c>
      <c r="C19" s="27">
        <v>0.269938825028356</v>
      </c>
      <c r="D19" s="18">
        <f t="shared" si="3"/>
        <v>0.3128920085</v>
      </c>
    </row>
    <row r="20">
      <c r="B20" s="5" t="s">
        <v>85</v>
      </c>
      <c r="C20" s="27">
        <v>0.00842173877199278</v>
      </c>
      <c r="D20" s="18">
        <f t="shared" si="3"/>
        <v>0.009761821996</v>
      </c>
    </row>
    <row r="21" ht="15.75" customHeight="1">
      <c r="B21" s="16" t="s">
        <v>86</v>
      </c>
      <c r="C21" s="29">
        <f>SUM(C18:C20)</f>
        <v>0.862722018</v>
      </c>
    </row>
    <row r="22" ht="15.75" customHeight="1">
      <c r="B22" s="3" t="s">
        <v>87</v>
      </c>
      <c r="C22" s="30">
        <v>0.862722018019546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2.0"/>
    <col customWidth="1" min="3" max="3" width="100.0"/>
    <col customWidth="1" min="4" max="26" width="8.71"/>
  </cols>
  <sheetData>
    <row r="1" ht="15.75" customHeight="1">
      <c r="A1" s="2" t="s">
        <v>3</v>
      </c>
      <c r="B1" s="4"/>
      <c r="C1" s="4"/>
    </row>
    <row r="2" ht="15.0" customHeight="1">
      <c r="A2" s="3" t="s">
        <v>6</v>
      </c>
      <c r="B2" s="4"/>
      <c r="C2" s="4"/>
    </row>
    <row r="3">
      <c r="A3" s="4"/>
      <c r="B3" s="4"/>
      <c r="C3" s="4"/>
    </row>
    <row r="4" ht="15.0" customHeight="1">
      <c r="A4" s="5" t="s">
        <v>8</v>
      </c>
      <c r="B4" s="8">
        <v>0.81</v>
      </c>
      <c r="C4" s="9" t="s">
        <v>18</v>
      </c>
    </row>
    <row r="5" ht="15.0" customHeight="1">
      <c r="A5" s="5" t="s">
        <v>19</v>
      </c>
      <c r="B5" s="8">
        <v>0.5</v>
      </c>
      <c r="C5" s="9" t="s">
        <v>21</v>
      </c>
    </row>
    <row r="6" ht="15.0" customHeight="1">
      <c r="A6" s="5" t="s">
        <v>22</v>
      </c>
      <c r="B6" s="8">
        <v>0.5</v>
      </c>
      <c r="C6" s="9" t="s">
        <v>23</v>
      </c>
    </row>
    <row r="7" ht="15.0" customHeight="1">
      <c r="A7" s="5" t="s">
        <v>24</v>
      </c>
      <c r="B7" s="11">
        <v>0.6</v>
      </c>
      <c r="C7" s="9" t="s">
        <v>31</v>
      </c>
    </row>
    <row r="8" ht="15.0" customHeight="1">
      <c r="A8" s="5" t="s">
        <v>33</v>
      </c>
      <c r="B8" s="12">
        <v>0.93</v>
      </c>
      <c r="C8" s="9" t="s">
        <v>38</v>
      </c>
    </row>
    <row r="9" ht="15.0" customHeight="1">
      <c r="A9" s="5" t="s">
        <v>40</v>
      </c>
      <c r="B9" s="12">
        <v>0.91</v>
      </c>
      <c r="C9" s="9" t="s">
        <v>43</v>
      </c>
    </row>
    <row r="10" ht="15.0" customHeight="1">
      <c r="A10" s="5" t="s">
        <v>44</v>
      </c>
      <c r="B10" s="12">
        <v>0.56</v>
      </c>
      <c r="C10" s="9" t="s">
        <v>46</v>
      </c>
    </row>
    <row r="11" ht="15.0" customHeight="1">
      <c r="A11" s="5" t="s">
        <v>47</v>
      </c>
      <c r="B11" s="14">
        <v>1.0</v>
      </c>
      <c r="C11" s="9" t="s">
        <v>49</v>
      </c>
    </row>
    <row r="12" ht="15.0" customHeight="1">
      <c r="A12" s="16" t="s">
        <v>50</v>
      </c>
      <c r="B12" s="4"/>
      <c r="C12" s="4"/>
    </row>
    <row r="13" ht="15.0" customHeight="1">
      <c r="A13" s="5" t="s">
        <v>48</v>
      </c>
      <c r="B13" s="12">
        <v>0.768187854818231</v>
      </c>
      <c r="C13" s="9" t="s">
        <v>53</v>
      </c>
    </row>
    <row r="14" ht="15.0" customHeight="1">
      <c r="A14" s="5" t="s">
        <v>54</v>
      </c>
      <c r="B14" s="12">
        <v>0.395994832041344</v>
      </c>
      <c r="C14" s="4"/>
    </row>
    <row r="15" ht="15.0" customHeight="1">
      <c r="A15" s="5" t="s">
        <v>55</v>
      </c>
      <c r="B15" s="12">
        <v>0.478158078555693</v>
      </c>
      <c r="C15" s="4"/>
    </row>
    <row r="16">
      <c r="A16" s="4"/>
      <c r="B16" s="4"/>
      <c r="C16" s="4"/>
    </row>
    <row r="17" ht="15.0" customHeight="1">
      <c r="A17" s="16" t="s">
        <v>58</v>
      </c>
      <c r="B17" s="4"/>
      <c r="C17" s="4"/>
    </row>
    <row r="18" ht="15.0" customHeight="1">
      <c r="A18" s="5" t="s">
        <v>48</v>
      </c>
      <c r="B18" s="21">
        <v>0.026</v>
      </c>
      <c r="C18" s="9" t="s">
        <v>59</v>
      </c>
    </row>
    <row r="19" ht="15.0" customHeight="1">
      <c r="A19" s="5" t="s">
        <v>54</v>
      </c>
      <c r="B19" s="21">
        <v>-0.052</v>
      </c>
      <c r="C19" s="4"/>
    </row>
    <row r="20" ht="15.0" customHeight="1">
      <c r="A20" s="5" t="s">
        <v>55</v>
      </c>
      <c r="B20" s="21">
        <v>0.0</v>
      </c>
      <c r="C20" s="9" t="s">
        <v>60</v>
      </c>
    </row>
    <row r="21" ht="15.75" customHeight="1">
      <c r="A21" s="4"/>
      <c r="B21" s="4"/>
      <c r="C21" s="4"/>
    </row>
    <row r="22" ht="15.0" customHeight="1">
      <c r="A22" s="16" t="s">
        <v>62</v>
      </c>
      <c r="B22" s="4"/>
      <c r="C22" s="4"/>
    </row>
    <row r="23" ht="15.0" customHeight="1">
      <c r="A23" s="5" t="s">
        <v>45</v>
      </c>
      <c r="B23" s="21">
        <v>-0.057</v>
      </c>
      <c r="C23" s="4"/>
    </row>
    <row r="24" ht="15.0" customHeight="1">
      <c r="A24" s="5" t="s">
        <v>64</v>
      </c>
      <c r="B24" s="21">
        <v>-0.035</v>
      </c>
      <c r="C24" s="4"/>
    </row>
    <row r="25" ht="15.0" customHeight="1">
      <c r="A25" s="5" t="s">
        <v>65</v>
      </c>
      <c r="B25" s="21">
        <v>0.085</v>
      </c>
      <c r="C25" s="4"/>
    </row>
    <row r="26" ht="15.0" customHeight="1">
      <c r="A26" s="5" t="s">
        <v>66</v>
      </c>
      <c r="B26" s="21">
        <v>0.04</v>
      </c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3.0"/>
    <col customWidth="1" min="4" max="4" width="11.0"/>
    <col customWidth="1" min="5" max="5" width="15.0"/>
    <col customWidth="1" min="6" max="6" width="13.0"/>
    <col customWidth="1" min="7" max="8" width="15.0"/>
    <col customWidth="1" min="9" max="9" width="10.0"/>
    <col customWidth="1" min="10" max="13" width="13.0"/>
    <col customWidth="1" min="14" max="14" width="14.0"/>
    <col customWidth="1" min="15" max="26" width="8.71"/>
  </cols>
  <sheetData>
    <row r="1" ht="15.7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5.0" customHeight="1">
      <c r="A2" s="3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31.5" customHeight="1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32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39</v>
      </c>
      <c r="M4" s="7" t="s">
        <v>41</v>
      </c>
      <c r="N4" s="7" t="s">
        <v>42</v>
      </c>
    </row>
    <row r="5" ht="15.0" customHeight="1">
      <c r="A5" s="13" t="s">
        <v>45</v>
      </c>
      <c r="B5" s="13" t="s">
        <v>48</v>
      </c>
      <c r="C5" s="15">
        <v>3581.0</v>
      </c>
      <c r="D5" s="22">
        <f>Assumptions!$B$13</f>
        <v>0.7681878548</v>
      </c>
      <c r="E5" s="23">
        <f>C5*(D5+Assumptions!$B$6*(Assumptions!$B$4-D5))</f>
        <v>2825.745354</v>
      </c>
      <c r="F5" s="25">
        <f>Assumptions!$B$18+Assumptions!$B$23</f>
        <v>-0.031</v>
      </c>
      <c r="G5" s="23">
        <f>E5*(1+Assumptions!$B$7*F5)</f>
        <v>2773.18649</v>
      </c>
      <c r="H5" s="23">
        <f>IF(Assumptions!$B$11=1,N5,E5)*Assumptions!$B$7*F5</f>
        <v>-112.7616852</v>
      </c>
      <c r="I5" s="22">
        <f>Assumptions!$B$8</f>
        <v>0.93</v>
      </c>
      <c r="J5" s="23">
        <f t="shared" ref="J5:J16" si="1">G5*I5</f>
        <v>2579.063436</v>
      </c>
      <c r="K5" s="23">
        <f t="shared" ref="K5:K16" si="2">G5*(1-I5)</f>
        <v>194.1230543</v>
      </c>
      <c r="L5" s="23">
        <f t="shared" ref="L5:L16" si="3">H5*I5</f>
        <v>-104.8683672</v>
      </c>
      <c r="M5" s="23">
        <f t="shared" ref="M5:M16" si="4">H5*(1-I5)</f>
        <v>-7.893317965</v>
      </c>
      <c r="N5" s="23">
        <f t="array" ref="N5">INDEX($F$36:$F$39,MATCH(A5,$A$36:$A$39,0))</f>
        <v>6062.456194</v>
      </c>
    </row>
    <row r="6" ht="15.0" customHeight="1">
      <c r="A6" s="13" t="s">
        <v>45</v>
      </c>
      <c r="B6" s="13" t="s">
        <v>54</v>
      </c>
      <c r="C6" s="15">
        <v>2876.0</v>
      </c>
      <c r="D6" s="22">
        <f>Assumptions!$B$14</f>
        <v>0.395994832</v>
      </c>
      <c r="E6" s="23">
        <f>C6*(D6+Assumptions!$B$6*(Assumptions!$B$4-D6))</f>
        <v>1734.220568</v>
      </c>
      <c r="F6" s="25">
        <f>Assumptions!$B$19+Assumptions!$B$23</f>
        <v>-0.109</v>
      </c>
      <c r="G6" s="23">
        <f>E6*(1+Assumptions!$B$7*F6)</f>
        <v>1620.802543</v>
      </c>
      <c r="H6" s="23">
        <f>IF(Assumptions!$B$11=1,N6,E6)*Assumptions!$B$7*F6</f>
        <v>-1213.779647</v>
      </c>
      <c r="I6" s="22">
        <f>1-Assumptions!$B$9</f>
        <v>0.09</v>
      </c>
      <c r="J6" s="23">
        <f t="shared" si="1"/>
        <v>145.8722289</v>
      </c>
      <c r="K6" s="23">
        <f t="shared" si="2"/>
        <v>1474.930314</v>
      </c>
      <c r="L6" s="23">
        <f t="shared" si="3"/>
        <v>-109.2401682</v>
      </c>
      <c r="M6" s="23">
        <f t="shared" si="4"/>
        <v>-1104.539479</v>
      </c>
      <c r="N6" s="23">
        <f t="array" ref="N6">INDEX($G$36:$G$39,MATCH(A6,$A$36:$A$39,0))</f>
        <v>18559.32182</v>
      </c>
    </row>
    <row r="7" ht="15.0" customHeight="1">
      <c r="A7" s="13" t="s">
        <v>45</v>
      </c>
      <c r="B7" s="13" t="s">
        <v>55</v>
      </c>
      <c r="C7" s="15">
        <v>856.0</v>
      </c>
      <c r="D7" s="22">
        <f>Assumptions!$B$15</f>
        <v>0.4781580786</v>
      </c>
      <c r="E7" s="23">
        <f>C7*(D7+Assumptions!$B$6*(Assumptions!$B$4-D7))</f>
        <v>551.3316576</v>
      </c>
      <c r="F7" s="25">
        <f>Assumptions!$B$20</f>
        <v>0</v>
      </c>
      <c r="G7" s="23">
        <f>E7*(1+Assumptions!$B$7*F7)</f>
        <v>551.3316576</v>
      </c>
      <c r="H7" s="23">
        <f>IF(Assumptions!$B$11=1,N7,E7)*Assumptions!$B$7*F7</f>
        <v>0</v>
      </c>
      <c r="I7" s="22">
        <f>Assumptions!$B$10</f>
        <v>0.56</v>
      </c>
      <c r="J7" s="23">
        <f t="shared" si="1"/>
        <v>308.7457283</v>
      </c>
      <c r="K7" s="23">
        <f t="shared" si="2"/>
        <v>242.5859294</v>
      </c>
      <c r="L7" s="23">
        <f t="shared" si="3"/>
        <v>0</v>
      </c>
      <c r="M7" s="23">
        <f t="shared" si="4"/>
        <v>0</v>
      </c>
      <c r="N7" s="23">
        <f t="array" ref="N7">INDEX($E$36:$E$39,MATCH(A7,$A$36:$A$39,0))</f>
        <v>3264.09199</v>
      </c>
    </row>
    <row r="8" ht="15.0" customHeight="1">
      <c r="A8" s="13" t="s">
        <v>64</v>
      </c>
      <c r="B8" s="13" t="s">
        <v>48</v>
      </c>
      <c r="C8" s="15">
        <v>31432.0</v>
      </c>
      <c r="D8" s="22">
        <f>Assumptions!$B$13</f>
        <v>0.7681878548</v>
      </c>
      <c r="E8" s="23">
        <f>C8*(D8+Assumptions!$B$6*(Assumptions!$B$4-D8))</f>
        <v>24802.80033</v>
      </c>
      <c r="F8" s="25">
        <f>Assumptions!$B$18+Assumptions!$B$24</f>
        <v>-0.009</v>
      </c>
      <c r="G8" s="23">
        <f>E8*(1+Assumptions!$B$7*F8)</f>
        <v>24668.8652</v>
      </c>
      <c r="H8" s="23">
        <f>IF(Assumptions!$B$11=1,N8,E8)*Assumptions!$B$7*F8</f>
        <v>-351.5956271</v>
      </c>
      <c r="I8" s="22">
        <f>Assumptions!$B$8</f>
        <v>0.93</v>
      </c>
      <c r="J8" s="23">
        <f t="shared" si="1"/>
        <v>22942.04464</v>
      </c>
      <c r="K8" s="23">
        <f t="shared" si="2"/>
        <v>1726.820564</v>
      </c>
      <c r="L8" s="23">
        <f t="shared" si="3"/>
        <v>-326.9839332</v>
      </c>
      <c r="M8" s="23">
        <f t="shared" si="4"/>
        <v>-24.6116939</v>
      </c>
      <c r="N8" s="23">
        <f t="array" ref="N8">INDEX($F$36:$F$39,MATCH(A8,$A$36:$A$39,0))</f>
        <v>65110.30132</v>
      </c>
    </row>
    <row r="9" ht="15.0" customHeight="1">
      <c r="A9" s="13" t="s">
        <v>64</v>
      </c>
      <c r="B9" s="13" t="s">
        <v>54</v>
      </c>
      <c r="C9" s="15">
        <v>18202.0</v>
      </c>
      <c r="D9" s="22">
        <f>Assumptions!$B$14</f>
        <v>0.395994832</v>
      </c>
      <c r="E9" s="23">
        <f>C9*(D9+Assumptions!$B$6*(Assumptions!$B$4-D9))</f>
        <v>10975.75897</v>
      </c>
      <c r="F9" s="25">
        <f>Assumptions!$B$19+Assumptions!$B$24</f>
        <v>-0.087</v>
      </c>
      <c r="G9" s="23">
        <f>E9*(1+Assumptions!$B$7*F9)</f>
        <v>10402.82435</v>
      </c>
      <c r="H9" s="23">
        <f>IF(Assumptions!$B$11=1,N9,E9)*Assumptions!$B$7*F9</f>
        <v>-3409.300699</v>
      </c>
      <c r="I9" s="22">
        <f>1-Assumptions!$B$9</f>
        <v>0.09</v>
      </c>
      <c r="J9" s="23">
        <f t="shared" si="1"/>
        <v>936.2541914</v>
      </c>
      <c r="K9" s="23">
        <f t="shared" si="2"/>
        <v>9466.570157</v>
      </c>
      <c r="L9" s="23">
        <f t="shared" si="3"/>
        <v>-306.837063</v>
      </c>
      <c r="M9" s="23">
        <f t="shared" si="4"/>
        <v>-3102.463637</v>
      </c>
      <c r="N9" s="23">
        <f t="array" ref="N9">INDEX($G$36:$G$39,MATCH(A9,$A$36:$A$39,0))</f>
        <v>65312.27394</v>
      </c>
    </row>
    <row r="10" ht="15.0" customHeight="1">
      <c r="A10" s="13" t="s">
        <v>64</v>
      </c>
      <c r="B10" s="13" t="s">
        <v>55</v>
      </c>
      <c r="C10" s="15">
        <v>8123.0</v>
      </c>
      <c r="D10" s="22">
        <f>Assumptions!$B$15</f>
        <v>0.4781580786</v>
      </c>
      <c r="E10" s="23">
        <f>C10*(D10+Assumptions!$B$6*(Assumptions!$B$4-D10))</f>
        <v>5231.854036</v>
      </c>
      <c r="F10" s="25">
        <f>Assumptions!$B$20</f>
        <v>0</v>
      </c>
      <c r="G10" s="23">
        <f>E10*(1+Assumptions!$B$7*F10)</f>
        <v>5231.854036</v>
      </c>
      <c r="H10" s="23">
        <f>IF(Assumptions!$B$11=1,N10,E10)*Assumptions!$B$7*F10</f>
        <v>0</v>
      </c>
      <c r="I10" s="22">
        <f>Assumptions!$B$10</f>
        <v>0.56</v>
      </c>
      <c r="J10" s="23">
        <f t="shared" si="1"/>
        <v>2929.83826</v>
      </c>
      <c r="K10" s="23">
        <f t="shared" si="2"/>
        <v>2302.015776</v>
      </c>
      <c r="L10" s="23">
        <f t="shared" si="3"/>
        <v>0</v>
      </c>
      <c r="M10" s="23">
        <f t="shared" si="4"/>
        <v>0</v>
      </c>
      <c r="N10" s="23">
        <f t="array" ref="N10">INDEX($E$36:$E$39,MATCH(A10,$A$36:$A$39,0))</f>
        <v>21344.69474</v>
      </c>
    </row>
    <row r="11" ht="15.0" customHeight="1">
      <c r="A11" s="13" t="s">
        <v>65</v>
      </c>
      <c r="B11" s="13" t="s">
        <v>48</v>
      </c>
      <c r="C11" s="15">
        <v>939.0</v>
      </c>
      <c r="D11" s="22">
        <f>Assumptions!$B$13</f>
        <v>0.7681878548</v>
      </c>
      <c r="E11" s="23">
        <f>C11*(D11+Assumptions!$B$6*(Assumptions!$B$4-D11))</f>
        <v>740.9591978</v>
      </c>
      <c r="F11" s="25">
        <f>Assumptions!$B$18+Assumptions!$B$25</f>
        <v>0.111</v>
      </c>
      <c r="G11" s="23">
        <f>E11*(1+Assumptions!$B$7*F11)</f>
        <v>790.3070804</v>
      </c>
      <c r="H11" s="23">
        <f>IF(Assumptions!$B$11=1,N11,E11)*Assumptions!$B$7*F11</f>
        <v>73.14760826</v>
      </c>
      <c r="I11" s="22">
        <f>Assumptions!$B$8</f>
        <v>0.93</v>
      </c>
      <c r="J11" s="23">
        <f t="shared" si="1"/>
        <v>734.9855848</v>
      </c>
      <c r="K11" s="23">
        <f t="shared" si="2"/>
        <v>55.32149563</v>
      </c>
      <c r="L11" s="23">
        <f t="shared" si="3"/>
        <v>68.02727568</v>
      </c>
      <c r="M11" s="23">
        <f t="shared" si="4"/>
        <v>5.120332578</v>
      </c>
      <c r="N11" s="23">
        <f t="array" ref="N11">INDEX($F$36:$F$39,MATCH(A11,$A$36:$A$39,0))</f>
        <v>1098.312436</v>
      </c>
    </row>
    <row r="12" ht="15.0" customHeight="1">
      <c r="A12" s="13" t="s">
        <v>65</v>
      </c>
      <c r="B12" s="13" t="s">
        <v>54</v>
      </c>
      <c r="C12" s="15">
        <v>809.0</v>
      </c>
      <c r="D12" s="22">
        <f>Assumptions!$B$14</f>
        <v>0.395994832</v>
      </c>
      <c r="E12" s="23">
        <f>C12*(D12+Assumptions!$B$6*(Assumptions!$B$4-D12))</f>
        <v>487.8249096</v>
      </c>
      <c r="F12" s="25">
        <f>Assumptions!$B$19+Assumptions!$B$25</f>
        <v>0.033</v>
      </c>
      <c r="G12" s="23">
        <f>E12*(1+Assumptions!$B$7*F12)</f>
        <v>497.4838428</v>
      </c>
      <c r="H12" s="23">
        <f>IF(Assumptions!$B$11=1,N12,E12)*Assumptions!$B$7*F12</f>
        <v>80.63700653</v>
      </c>
      <c r="I12" s="22">
        <f>1-Assumptions!$B$9</f>
        <v>0.09</v>
      </c>
      <c r="J12" s="23">
        <f t="shared" si="1"/>
        <v>44.77354585</v>
      </c>
      <c r="K12" s="23">
        <f t="shared" si="2"/>
        <v>452.7102969</v>
      </c>
      <c r="L12" s="23">
        <f t="shared" si="3"/>
        <v>7.257330588</v>
      </c>
      <c r="M12" s="23">
        <f t="shared" si="4"/>
        <v>73.37967594</v>
      </c>
      <c r="N12" s="23">
        <f t="array" ref="N12">INDEX($G$36:$G$39,MATCH(A12,$A$36:$A$39,0))</f>
        <v>4072.576087</v>
      </c>
    </row>
    <row r="13" ht="15.0" customHeight="1">
      <c r="A13" s="13" t="s">
        <v>65</v>
      </c>
      <c r="B13" s="13" t="s">
        <v>55</v>
      </c>
      <c r="C13" s="15">
        <v>284.0</v>
      </c>
      <c r="D13" s="22">
        <f>Assumptions!$B$15</f>
        <v>0.4781580786</v>
      </c>
      <c r="E13" s="23">
        <f>C13*(D13+Assumptions!$B$6*(Assumptions!$B$4-D13))</f>
        <v>182.9184472</v>
      </c>
      <c r="F13" s="25">
        <f>Assumptions!$B$20</f>
        <v>0</v>
      </c>
      <c r="G13" s="23">
        <f>E13*(1+Assumptions!$B$7*F13)</f>
        <v>182.9184472</v>
      </c>
      <c r="H13" s="23">
        <f>IF(Assumptions!$B$11=1,N13,E13)*Assumptions!$B$7*F13</f>
        <v>0</v>
      </c>
      <c r="I13" s="22">
        <f>Assumptions!$B$10</f>
        <v>0.56</v>
      </c>
      <c r="J13" s="23">
        <f t="shared" si="1"/>
        <v>102.4343304</v>
      </c>
      <c r="K13" s="23">
        <f t="shared" si="2"/>
        <v>80.48411675</v>
      </c>
      <c r="L13" s="23">
        <f t="shared" si="3"/>
        <v>0</v>
      </c>
      <c r="M13" s="23">
        <f t="shared" si="4"/>
        <v>0</v>
      </c>
      <c r="N13" s="23">
        <f t="array" ref="N13">INDEX($E$36:$E$39,MATCH(A13,$A$36:$A$39,0))</f>
        <v>840.1214764</v>
      </c>
    </row>
    <row r="14" ht="15.0" customHeight="1">
      <c r="A14" s="13" t="s">
        <v>66</v>
      </c>
      <c r="B14" s="13" t="s">
        <v>48</v>
      </c>
      <c r="C14" s="15">
        <v>31892.0</v>
      </c>
      <c r="D14" s="22">
        <f>Assumptions!$B$13</f>
        <v>0.7681878548</v>
      </c>
      <c r="E14" s="23">
        <f>C14*(D14+Assumptions!$B$6*(Assumptions!$B$4-D14))</f>
        <v>25165.78353</v>
      </c>
      <c r="F14" s="25">
        <f>Assumptions!$B$18+Assumptions!$B$26</f>
        <v>0.066</v>
      </c>
      <c r="G14" s="23">
        <f>E14*(1+Assumptions!$B$7*F14)</f>
        <v>26162.34856</v>
      </c>
      <c r="H14" s="23">
        <f>IF(Assumptions!$B$11=1,N14,E14)*Assumptions!$B$7*F14</f>
        <v>2210.985565</v>
      </c>
      <c r="I14" s="22">
        <f>Assumptions!$B$8</f>
        <v>0.93</v>
      </c>
      <c r="J14" s="23">
        <f t="shared" si="1"/>
        <v>24330.98416</v>
      </c>
      <c r="K14" s="23">
        <f t="shared" si="2"/>
        <v>1831.364399</v>
      </c>
      <c r="L14" s="23">
        <f t="shared" si="3"/>
        <v>2056.216575</v>
      </c>
      <c r="M14" s="23">
        <f t="shared" si="4"/>
        <v>154.7689895</v>
      </c>
      <c r="N14" s="23">
        <f t="array" ref="N14">INDEX($F$36:$F$39,MATCH(A14,$A$36:$A$39,0))</f>
        <v>55832.96881</v>
      </c>
    </row>
    <row r="15" ht="15.0" customHeight="1">
      <c r="A15" s="13" t="s">
        <v>66</v>
      </c>
      <c r="B15" s="13" t="s">
        <v>54</v>
      </c>
      <c r="C15" s="15">
        <v>19402.0</v>
      </c>
      <c r="D15" s="22">
        <f>Assumptions!$B$14</f>
        <v>0.395994832</v>
      </c>
      <c r="E15" s="23">
        <f>C15*(D15+Assumptions!$B$6*(Assumptions!$B$4-D15))</f>
        <v>11699.35587</v>
      </c>
      <c r="F15" s="25">
        <f>Assumptions!$B$19+Assumptions!$B$26</f>
        <v>-0.012</v>
      </c>
      <c r="G15" s="23">
        <f>E15*(1+Assumptions!$B$7*F15)</f>
        <v>11615.1205</v>
      </c>
      <c r="H15" s="23">
        <f>IF(Assumptions!$B$11=1,N15,E15)*Assumptions!$B$7*F15</f>
        <v>-460.3871342</v>
      </c>
      <c r="I15" s="22">
        <f>1-Assumptions!$B$9</f>
        <v>0.09</v>
      </c>
      <c r="J15" s="23">
        <f t="shared" si="1"/>
        <v>1045.360845</v>
      </c>
      <c r="K15" s="23">
        <f t="shared" si="2"/>
        <v>10569.75966</v>
      </c>
      <c r="L15" s="23">
        <f t="shared" si="3"/>
        <v>-41.43484208</v>
      </c>
      <c r="M15" s="23">
        <f t="shared" si="4"/>
        <v>-418.9522921</v>
      </c>
      <c r="N15" s="23">
        <f t="array" ref="N15">INDEX($G$36:$G$39,MATCH(A15,$A$36:$A$39,0))</f>
        <v>63942.65753</v>
      </c>
    </row>
    <row r="16" ht="15.0" customHeight="1">
      <c r="A16" s="13" t="s">
        <v>66</v>
      </c>
      <c r="B16" s="13" t="s">
        <v>55</v>
      </c>
      <c r="C16" s="15">
        <v>9098.0</v>
      </c>
      <c r="D16" s="22">
        <f>Assumptions!$B$15</f>
        <v>0.4781580786</v>
      </c>
      <c r="E16" s="23">
        <f>C16*(D16+Assumptions!$B$6*(Assumptions!$B$4-D16))</f>
        <v>5859.831099</v>
      </c>
      <c r="F16" s="25">
        <f>Assumptions!$B$20</f>
        <v>0</v>
      </c>
      <c r="G16" s="23">
        <f>E16*(1+Assumptions!$B$7*F16)</f>
        <v>5859.831099</v>
      </c>
      <c r="H16" s="23">
        <f>IF(Assumptions!$B$11=1,N16,E16)*Assumptions!$B$7*F16</f>
        <v>0</v>
      </c>
      <c r="I16" s="22">
        <f>Assumptions!$B$10</f>
        <v>0.56</v>
      </c>
      <c r="J16" s="23">
        <f t="shared" si="1"/>
        <v>3281.505416</v>
      </c>
      <c r="K16" s="23">
        <f t="shared" si="2"/>
        <v>2578.325684</v>
      </c>
      <c r="L16" s="23">
        <f t="shared" si="3"/>
        <v>0</v>
      </c>
      <c r="M16" s="23">
        <f t="shared" si="4"/>
        <v>0</v>
      </c>
      <c r="N16" s="23">
        <f t="array" ref="N16">INDEX($E$36:$E$39,MATCH(A16,$A$36:$A$39,0))</f>
        <v>21244.56366</v>
      </c>
    </row>
    <row r="17" ht="15.0" customHeight="1">
      <c r="A17" s="42" t="s">
        <v>146</v>
      </c>
      <c r="B17" s="43"/>
      <c r="C17" s="44">
        <f>SUM(C5:C16)</f>
        <v>127494</v>
      </c>
      <c r="D17" s="45"/>
      <c r="E17" s="44">
        <f>SUM(E5:E16)</f>
        <v>90258.38396</v>
      </c>
      <c r="F17" s="46"/>
      <c r="G17" s="44">
        <f t="shared" ref="G17:H17" si="5">SUM(G5:G16)</f>
        <v>90356.87381</v>
      </c>
      <c r="H17" s="44">
        <f t="shared" si="5"/>
        <v>-3183.054613</v>
      </c>
      <c r="I17" s="45"/>
      <c r="J17" s="44">
        <f t="shared" ref="J17:M17" si="6">SUM(J5:J16)</f>
        <v>59381.86237</v>
      </c>
      <c r="K17" s="44">
        <f t="shared" si="6"/>
        <v>30975.01145</v>
      </c>
      <c r="L17" s="44">
        <f t="shared" si="6"/>
        <v>1242.136808</v>
      </c>
      <c r="M17" s="44">
        <f t="shared" si="6"/>
        <v>-4425.191421</v>
      </c>
      <c r="N17" s="23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0" customHeight="1">
      <c r="A19" s="6" t="s">
        <v>147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0" customHeight="1">
      <c r="A20" s="5" t="s">
        <v>149</v>
      </c>
      <c r="B20" s="4"/>
      <c r="C20" s="17">
        <f>G17</f>
        <v>90356.87381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0" customHeight="1">
      <c r="A21" s="5" t="s">
        <v>36</v>
      </c>
      <c r="B21" s="4"/>
      <c r="C21" s="17">
        <f>J17</f>
        <v>59381.86237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0" customHeight="1">
      <c r="A22" s="5" t="s">
        <v>37</v>
      </c>
      <c r="B22" s="4"/>
      <c r="C22" s="17">
        <f>K17</f>
        <v>30975.01145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0" customHeight="1">
      <c r="A23" s="5" t="s">
        <v>90</v>
      </c>
      <c r="B23" s="4"/>
      <c r="C23" s="17">
        <f>J17-K17</f>
        <v>28406.85092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0" customHeight="1">
      <c r="A24" s="5" t="s">
        <v>91</v>
      </c>
      <c r="B24" s="4"/>
      <c r="C24" s="24">
        <f>J17/G17</f>
        <v>0.6571925285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0" customHeight="1">
      <c r="A25" s="5" t="s">
        <v>150</v>
      </c>
      <c r="B25" s="4"/>
      <c r="C25" s="24">
        <f>G17/Summary!B6</f>
        <v>0.2793091647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0" customHeight="1">
      <c r="A27" s="6" t="s">
        <v>151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0" customHeight="1">
      <c r="A28" s="26" t="s">
        <v>25</v>
      </c>
      <c r="B28" s="26" t="s">
        <v>39</v>
      </c>
      <c r="C28" s="26" t="s">
        <v>41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0" customHeight="1">
      <c r="A29" s="5" t="s">
        <v>45</v>
      </c>
      <c r="B29" s="39">
        <f t="shared" ref="B29:B32" si="7">SUMIF($A$5:$A$16,A29,$L$5:$L$16)</f>
        <v>-214.1085355</v>
      </c>
      <c r="C29" s="39">
        <f t="shared" ref="C29:C32" si="8">SUMIF($A$5:$A$16,A29,$M$5:$M$16)</f>
        <v>-1112.432797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0" customHeight="1">
      <c r="A30" s="5" t="s">
        <v>64</v>
      </c>
      <c r="B30" s="39">
        <f t="shared" si="7"/>
        <v>-633.8209962</v>
      </c>
      <c r="C30" s="39">
        <f t="shared" si="8"/>
        <v>-3127.07533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0" customHeight="1">
      <c r="A31" s="5" t="s">
        <v>65</v>
      </c>
      <c r="B31" s="39">
        <f t="shared" si="7"/>
        <v>75.28460627</v>
      </c>
      <c r="C31" s="39">
        <f t="shared" si="8"/>
        <v>78.50000852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0" customHeight="1">
      <c r="A32" s="5" t="s">
        <v>66</v>
      </c>
      <c r="B32" s="39">
        <f t="shared" si="7"/>
        <v>2014.781733</v>
      </c>
      <c r="C32" s="39">
        <f t="shared" si="8"/>
        <v>-264.1833026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0" customHeight="1">
      <c r="A34" s="6" t="s">
        <v>153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23.25" customHeight="1">
      <c r="A35" s="47" t="s">
        <v>25</v>
      </c>
      <c r="B35" s="47" t="s">
        <v>127</v>
      </c>
      <c r="C35" s="47" t="s">
        <v>128</v>
      </c>
      <c r="D35" s="47" t="s">
        <v>154</v>
      </c>
      <c r="E35" s="47" t="s">
        <v>155</v>
      </c>
      <c r="F35" s="47" t="s">
        <v>156</v>
      </c>
      <c r="G35" s="47" t="s">
        <v>157</v>
      </c>
      <c r="H35" s="4"/>
      <c r="I35" s="4"/>
      <c r="J35" s="4"/>
      <c r="K35" s="4"/>
      <c r="L35" s="4"/>
      <c r="M35" s="4"/>
      <c r="N35" s="4"/>
    </row>
    <row r="36" ht="15.0" customHeight="1">
      <c r="A36" s="5" t="s">
        <v>45</v>
      </c>
      <c r="B36" s="48">
        <f>SUMIF('Municipal Forecast'!$A$5:$A$93,A36,'Municipal Forecast'!$H$5:$H$93)</f>
        <v>9136.314738</v>
      </c>
      <c r="C36" s="48">
        <f>SUMIF('Municipal Forecast'!$A$5:$A$93,A36,'Municipal Forecast'!$I$5:$I$93)</f>
        <v>18749.55526</v>
      </c>
      <c r="D36" s="18">
        <f>C7/SUM(C5:C7)</f>
        <v>0.1170518255</v>
      </c>
      <c r="E36" s="48">
        <f t="shared" ref="E36:E39" si="9">D36*(B36+C36)</f>
        <v>3264.09199</v>
      </c>
      <c r="F36" s="48">
        <f>(Assumptions!$B$9*(B36-Assumptions!$B$10*E36)-(1-Assumptions!$B$9)*(C36-(1-Assumptions!$B$10)*E36))/(Assumptions!$B$8*Assumptions!$B$9-(1-Assumptions!$B$9)*(1-Assumptions!$B$8))</f>
        <v>6062.456194</v>
      </c>
      <c r="G36" s="48">
        <f>(Assumptions!$B$8*(C36-(1-Assumptions!$B$10)*E36)-(1-Assumptions!$B$8)*(B36-Assumptions!$B$10*E36))/(Assumptions!$B$8*Assumptions!$B$9-(1-Assumptions!$B$9)*(1-Assumptions!$B$8))</f>
        <v>18559.32182</v>
      </c>
      <c r="H36" s="4"/>
      <c r="I36" s="4"/>
      <c r="J36" s="4"/>
      <c r="K36" s="4"/>
      <c r="L36" s="4"/>
      <c r="M36" s="4"/>
      <c r="N36" s="4"/>
    </row>
    <row r="37" ht="15.0" customHeight="1">
      <c r="A37" s="5" t="s">
        <v>64</v>
      </c>
      <c r="B37" s="48">
        <f>SUMIF('Municipal Forecast'!$A$5:$A$93,A37,'Municipal Forecast'!$H$5:$H$93)</f>
        <v>78383.71394</v>
      </c>
      <c r="C37" s="48">
        <f>SUMIF('Municipal Forecast'!$A$5:$A$93,A37,'Municipal Forecast'!$I$5:$I$93)</f>
        <v>73383.55606</v>
      </c>
      <c r="D37" s="18">
        <f>C10/SUM(C8:C10)</f>
        <v>0.1406409613</v>
      </c>
      <c r="E37" s="48">
        <f t="shared" si="9"/>
        <v>21344.69474</v>
      </c>
      <c r="F37" s="48">
        <f>(Assumptions!$B$9*(B37-Assumptions!$B$10*E37)-(1-Assumptions!$B$9)*(C37-(1-Assumptions!$B$10)*E37))/(Assumptions!$B$8*Assumptions!$B$9-(1-Assumptions!$B$9)*(1-Assumptions!$B$8))</f>
        <v>65110.30132</v>
      </c>
      <c r="G37" s="48">
        <f>(Assumptions!$B$8*(C37-(1-Assumptions!$B$10)*E37)-(1-Assumptions!$B$8)*(B37-Assumptions!$B$10*E37))/(Assumptions!$B$8*Assumptions!$B$9-(1-Assumptions!$B$9)*(1-Assumptions!$B$8))</f>
        <v>65312.27394</v>
      </c>
      <c r="H37" s="4"/>
      <c r="I37" s="4"/>
      <c r="J37" s="4"/>
      <c r="K37" s="4"/>
      <c r="L37" s="4"/>
      <c r="M37" s="4"/>
      <c r="N37" s="4"/>
    </row>
    <row r="38" ht="15.0" customHeight="1">
      <c r="A38" s="5" t="s">
        <v>65</v>
      </c>
      <c r="B38" s="48">
        <f>SUMIF('Municipal Forecast'!$A$5:$A$93,A38,'Municipal Forecast'!$H$5:$H$93)</f>
        <v>1858.43044</v>
      </c>
      <c r="C38" s="48">
        <f>SUMIF('Municipal Forecast'!$A$5:$A$93,A38,'Municipal Forecast'!$I$5:$I$93)</f>
        <v>4152.57956</v>
      </c>
      <c r="D38" s="18">
        <f>C13/SUM(C11:C13)</f>
        <v>0.1397637795</v>
      </c>
      <c r="E38" s="48">
        <f t="shared" si="9"/>
        <v>840.1214764</v>
      </c>
      <c r="F38" s="48">
        <f>(Assumptions!$B$9*(B38-Assumptions!$B$10*E38)-(1-Assumptions!$B$9)*(C38-(1-Assumptions!$B$10)*E38))/(Assumptions!$B$8*Assumptions!$B$9-(1-Assumptions!$B$9)*(1-Assumptions!$B$8))</f>
        <v>1098.312436</v>
      </c>
      <c r="G38" s="48">
        <f>(Assumptions!$B$8*(C38-(1-Assumptions!$B$10)*E38)-(1-Assumptions!$B$8)*(B38-Assumptions!$B$10*E38))/(Assumptions!$B$8*Assumptions!$B$9-(1-Assumptions!$B$9)*(1-Assumptions!$B$8))</f>
        <v>4072.576087</v>
      </c>
      <c r="H38" s="4"/>
      <c r="I38" s="4"/>
      <c r="J38" s="4"/>
      <c r="K38" s="4"/>
      <c r="L38" s="4"/>
      <c r="M38" s="4"/>
      <c r="N38" s="4"/>
    </row>
    <row r="39" ht="15.0" customHeight="1">
      <c r="A39" s="5" t="s">
        <v>66</v>
      </c>
      <c r="B39" s="48">
        <f>SUMIF('Municipal Forecast'!$A$5:$A$93,A39,'Municipal Forecast'!$H$5:$H$93)</f>
        <v>69576.45582</v>
      </c>
      <c r="C39" s="48">
        <f>SUMIF('Municipal Forecast'!$A$5:$A$93,A39,'Municipal Forecast'!$I$5:$I$93)</f>
        <v>71443.73418</v>
      </c>
      <c r="D39" s="18">
        <f>C16/SUM(C14:C16)</f>
        <v>0.1506490926</v>
      </c>
      <c r="E39" s="48">
        <f t="shared" si="9"/>
        <v>21244.56366</v>
      </c>
      <c r="F39" s="48">
        <f>(Assumptions!$B$9*(B39-Assumptions!$B$10*E39)-(1-Assumptions!$B$9)*(C39-(1-Assumptions!$B$10)*E39))/(Assumptions!$B$8*Assumptions!$B$9-(1-Assumptions!$B$9)*(1-Assumptions!$B$8))</f>
        <v>55832.96881</v>
      </c>
      <c r="G39" s="48">
        <f>(Assumptions!$B$8*(C39-(1-Assumptions!$B$10)*E39)-(1-Assumptions!$B$8)*(B39-Assumptions!$B$10*E39))/(Assumptions!$B$8*Assumptions!$B$9-(1-Assumptions!$B$9)*(1-Assumptions!$B$8))</f>
        <v>63942.65753</v>
      </c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4" width="10.0"/>
    <col customWidth="1" min="5" max="5" width="11.0"/>
    <col customWidth="1" min="6" max="6" width="10.0"/>
    <col customWidth="1" min="7" max="9" width="11.0"/>
    <col customWidth="1" min="10" max="11" width="10.0"/>
    <col customWidth="1" min="12" max="13" width="11.0"/>
    <col customWidth="1" min="14" max="18" width="10.0"/>
    <col customWidth="1" min="19" max="26" width="8.71"/>
  </cols>
  <sheetData>
    <row r="1" ht="15.75" customHeight="1">
      <c r="A1" s="2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0" customHeight="1">
      <c r="A2" s="3" t="s">
        <v>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31.5" customHeight="1">
      <c r="A4" s="7" t="s">
        <v>25</v>
      </c>
      <c r="B4" s="7" t="s">
        <v>121</v>
      </c>
      <c r="C4" s="7" t="s">
        <v>122</v>
      </c>
      <c r="D4" s="7" t="s">
        <v>123</v>
      </c>
      <c r="E4" s="7" t="s">
        <v>124</v>
      </c>
      <c r="F4" s="7" t="s">
        <v>125</v>
      </c>
      <c r="G4" s="7" t="s">
        <v>126</v>
      </c>
      <c r="H4" s="7" t="s">
        <v>127</v>
      </c>
      <c r="I4" s="7" t="s">
        <v>128</v>
      </c>
      <c r="J4" s="7" t="s">
        <v>129</v>
      </c>
      <c r="K4" s="7" t="s">
        <v>130</v>
      </c>
      <c r="L4" s="7" t="s">
        <v>131</v>
      </c>
      <c r="M4" s="7" t="s">
        <v>132</v>
      </c>
      <c r="N4" s="7" t="s">
        <v>70</v>
      </c>
      <c r="O4" s="7" t="s">
        <v>133</v>
      </c>
      <c r="P4" s="7" t="s">
        <v>134</v>
      </c>
      <c r="Q4" s="7" t="s">
        <v>135</v>
      </c>
      <c r="R4" s="7" t="s">
        <v>136</v>
      </c>
    </row>
    <row r="5" ht="15.0" customHeight="1">
      <c r="A5" s="4" t="s">
        <v>45</v>
      </c>
      <c r="B5" s="4" t="s">
        <v>137</v>
      </c>
      <c r="C5" s="12">
        <v>0.312785388127854</v>
      </c>
      <c r="D5" s="12">
        <v>0.388412017167382</v>
      </c>
      <c r="E5" s="37">
        <v>466.0</v>
      </c>
      <c r="F5" s="38">
        <f>Assumptions!$B$5*C5+(1-Assumptions!$B$5)*D5</f>
        <v>0.3505987026</v>
      </c>
      <c r="G5" s="39">
        <f>E5*Assumptions!$B$4</f>
        <v>377.46</v>
      </c>
      <c r="H5" s="39">
        <f t="shared" ref="H5:H93" si="2">G5*F5</f>
        <v>132.3369863</v>
      </c>
      <c r="I5" s="39">
        <f t="shared" ref="I5:I93" si="3">G5-H5</f>
        <v>245.1230137</v>
      </c>
      <c r="J5" s="39">
        <f t="array" ref="J5">INDEX('Mail Projection'!$B$29:$B$32,MATCH(A5,'Mail Projection'!$A$29:$A$32,0))*H5/SUMIF($A$5:$A$93,A5,$H$5:$H$93)</f>
        <v>-3.101302783</v>
      </c>
      <c r="K5" s="39">
        <f t="array" ref="K5">INDEX('Mail Projection'!$C$29:$C$32,MATCH(A5,'Mail Projection'!$A$29:$A$32,0))*I5/SUMIF($A$5:$A$93,A5,$I$5:$I$93)</f>
        <v>-14.54343187</v>
      </c>
      <c r="L5" s="39">
        <f t="shared" ref="L5:M5" si="1">H5+J5</f>
        <v>129.2356835</v>
      </c>
      <c r="M5" s="39">
        <f t="shared" si="1"/>
        <v>230.5795818</v>
      </c>
      <c r="N5" s="38">
        <f t="shared" ref="N5:N93" si="5">L5/(L5+M5)</f>
        <v>0.3591723197</v>
      </c>
      <c r="O5" s="40">
        <f t="shared" ref="O5:O93" si="6">(N5-D5)*100</f>
        <v>-2.923969746</v>
      </c>
      <c r="P5" s="12">
        <v>0.317137342021017</v>
      </c>
      <c r="Q5" s="12">
        <v>0.400778797510409</v>
      </c>
      <c r="R5" s="41">
        <v>0.0</v>
      </c>
    </row>
    <row r="6" ht="15.0" customHeight="1">
      <c r="A6" s="4" t="s">
        <v>45</v>
      </c>
      <c r="B6" s="4" t="s">
        <v>138</v>
      </c>
      <c r="C6" s="12">
        <v>0.232673267326733</v>
      </c>
      <c r="D6" s="12">
        <v>0.282296650717703</v>
      </c>
      <c r="E6" s="37">
        <v>418.0</v>
      </c>
      <c r="F6" s="38">
        <f>Assumptions!$B$5*C6+(1-Assumptions!$B$5)*D6</f>
        <v>0.257484959</v>
      </c>
      <c r="G6" s="39">
        <f>E6*Assumptions!$B$4</f>
        <v>338.58</v>
      </c>
      <c r="H6" s="39">
        <f t="shared" si="2"/>
        <v>87.17925743</v>
      </c>
      <c r="I6" s="39">
        <f t="shared" si="3"/>
        <v>251.4007426</v>
      </c>
      <c r="J6" s="39">
        <f t="array" ref="J6">INDEX('Mail Projection'!$B$29:$B$32,MATCH(A6,'Mail Projection'!$A$29:$A$32,0))*H6/SUMIF($A$5:$A$93,A6,$H$5:$H$93)</f>
        <v>-2.043036352</v>
      </c>
      <c r="K6" s="39">
        <f t="array" ref="K6">INDEX('Mail Projection'!$C$29:$C$32,MATCH(A6,'Mail Projection'!$A$29:$A$32,0))*I6/SUMIF($A$5:$A$93,A6,$I$5:$I$93)</f>
        <v>-14.91589679</v>
      </c>
      <c r="L6" s="39">
        <f t="shared" ref="L6:M6" si="4">H6+J6</f>
        <v>85.13622107</v>
      </c>
      <c r="M6" s="39">
        <f t="shared" si="4"/>
        <v>236.4848458</v>
      </c>
      <c r="N6" s="38">
        <f t="shared" si="5"/>
        <v>0.2647097154</v>
      </c>
      <c r="O6" s="40">
        <f t="shared" si="6"/>
        <v>-1.758693532</v>
      </c>
      <c r="P6" s="12">
        <v>0.223622770665502</v>
      </c>
      <c r="Q6" s="12">
        <v>0.305894925071889</v>
      </c>
      <c r="R6" s="41">
        <v>0.0</v>
      </c>
    </row>
    <row r="7" ht="15.0" customHeight="1">
      <c r="A7" s="4" t="s">
        <v>45</v>
      </c>
      <c r="B7" s="4" t="s">
        <v>139</v>
      </c>
      <c r="C7" s="12">
        <v>0.320099255583127</v>
      </c>
      <c r="D7" s="12">
        <v>0.317180616740088</v>
      </c>
      <c r="E7" s="37">
        <v>454.0</v>
      </c>
      <c r="F7" s="38">
        <f>Assumptions!$B$5*C7+(1-Assumptions!$B$5)*D7</f>
        <v>0.3186399362</v>
      </c>
      <c r="G7" s="39">
        <f>E7*Assumptions!$B$4</f>
        <v>367.74</v>
      </c>
      <c r="H7" s="39">
        <f t="shared" si="2"/>
        <v>117.1766501</v>
      </c>
      <c r="I7" s="39">
        <f t="shared" si="3"/>
        <v>250.5633499</v>
      </c>
      <c r="J7" s="39">
        <f t="array" ref="J7">INDEX('Mail Projection'!$B$29:$B$32,MATCH(A7,'Mail Projection'!$A$29:$A$32,0))*H7/SUMIF($A$5:$A$93,A7,$H$5:$H$93)</f>
        <v>-2.746021965</v>
      </c>
      <c r="K7" s="39">
        <f t="array" ref="K7">INDEX('Mail Projection'!$C$29:$C$32,MATCH(A7,'Mail Projection'!$A$29:$A$32,0))*I7/SUMIF($A$5:$A$93,A7,$I$5:$I$93)</f>
        <v>-14.86621331</v>
      </c>
      <c r="L7" s="39">
        <f t="shared" ref="L7:M7" si="7">H7+J7</f>
        <v>114.4306282</v>
      </c>
      <c r="M7" s="39">
        <f t="shared" si="7"/>
        <v>235.6971366</v>
      </c>
      <c r="N7" s="38">
        <f t="shared" si="5"/>
        <v>0.3268253469</v>
      </c>
      <c r="O7" s="40">
        <f t="shared" si="6"/>
        <v>0.9644730143</v>
      </c>
      <c r="P7" s="12">
        <v>0.285628292421144</v>
      </c>
      <c r="Q7" s="12">
        <v>0.367212868751072</v>
      </c>
      <c r="R7" s="41">
        <v>0.0</v>
      </c>
    </row>
    <row r="8" ht="15.0" customHeight="1">
      <c r="A8" s="4" t="s">
        <v>45</v>
      </c>
      <c r="B8" s="4" t="s">
        <v>140</v>
      </c>
      <c r="C8" s="12">
        <v>0.25015873015873</v>
      </c>
      <c r="D8" s="12">
        <v>0.259018332347723</v>
      </c>
      <c r="E8" s="37">
        <v>1691.0</v>
      </c>
      <c r="F8" s="38">
        <f>Assumptions!$B$5*C8+(1-Assumptions!$B$5)*D8</f>
        <v>0.2545885313</v>
      </c>
      <c r="G8" s="39">
        <f>E8*Assumptions!$B$4</f>
        <v>1369.71</v>
      </c>
      <c r="H8" s="39">
        <f t="shared" si="2"/>
        <v>348.7124571</v>
      </c>
      <c r="I8" s="39">
        <f t="shared" si="3"/>
        <v>1020.997543</v>
      </c>
      <c r="J8" s="39">
        <f t="array" ref="J8">INDEX('Mail Projection'!$B$29:$B$32,MATCH(A8,'Mail Projection'!$A$29:$A$32,0))*H8/SUMIF($A$5:$A$93,A8,$H$5:$H$93)</f>
        <v>-8.172038249</v>
      </c>
      <c r="K8" s="39">
        <f t="array" ref="K8">INDEX('Mail Projection'!$C$29:$C$32,MATCH(A8,'Mail Projection'!$A$29:$A$32,0))*I8/SUMIF($A$5:$A$93,A8,$I$5:$I$93)</f>
        <v>-60.57696495</v>
      </c>
      <c r="L8" s="39">
        <f t="shared" ref="L8:M8" si="8">H8+J8</f>
        <v>340.5404189</v>
      </c>
      <c r="M8" s="39">
        <f t="shared" si="8"/>
        <v>960.4205779</v>
      </c>
      <c r="N8" s="38">
        <f t="shared" si="5"/>
        <v>0.2617606675</v>
      </c>
      <c r="O8" s="40">
        <f t="shared" si="6"/>
        <v>0.2742335136</v>
      </c>
      <c r="P8" s="12">
        <v>0.220928482232749</v>
      </c>
      <c r="Q8" s="12">
        <v>0.302043677115441</v>
      </c>
      <c r="R8" s="41">
        <v>0.0</v>
      </c>
    </row>
    <row r="9" ht="15.0" customHeight="1">
      <c r="A9" s="4" t="s">
        <v>45</v>
      </c>
      <c r="B9" s="4" t="s">
        <v>141</v>
      </c>
      <c r="C9" s="12">
        <v>0.321428571428571</v>
      </c>
      <c r="D9" s="12">
        <v>0.327586206896552</v>
      </c>
      <c r="E9" s="37">
        <v>116.0</v>
      </c>
      <c r="F9" s="38">
        <f>Assumptions!$B$5*C9+(1-Assumptions!$B$5)*D9</f>
        <v>0.3245073892</v>
      </c>
      <c r="G9" s="39">
        <f>E9*Assumptions!$B$4</f>
        <v>93.96</v>
      </c>
      <c r="H9" s="39">
        <f t="shared" si="2"/>
        <v>30.49071429</v>
      </c>
      <c r="I9" s="39">
        <f t="shared" si="3"/>
        <v>63.46928571</v>
      </c>
      <c r="J9" s="39">
        <f t="array" ref="J9">INDEX('Mail Projection'!$B$29:$B$32,MATCH(A9,'Mail Projection'!$A$29:$A$32,0))*H9/SUMIF($A$5:$A$93,A9,$H$5:$H$93)</f>
        <v>-0.7145465505</v>
      </c>
      <c r="K9" s="39">
        <f t="array" ref="K9">INDEX('Mail Projection'!$C$29:$C$32,MATCH(A9,'Mail Projection'!$A$29:$A$32,0))*I9/SUMIF($A$5:$A$93,A9,$I$5:$I$93)</f>
        <v>-3.76570612</v>
      </c>
      <c r="L9" s="39">
        <f t="shared" ref="L9:M9" si="9">H9+J9</f>
        <v>29.77616774</v>
      </c>
      <c r="M9" s="39">
        <f t="shared" si="9"/>
        <v>59.70357959</v>
      </c>
      <c r="N9" s="38">
        <f t="shared" si="5"/>
        <v>0.332769913</v>
      </c>
      <c r="O9" s="40">
        <f t="shared" si="6"/>
        <v>0.5183706117</v>
      </c>
      <c r="P9" s="12">
        <v>0.292249107539202</v>
      </c>
      <c r="Q9" s="12">
        <v>0.372812958847028</v>
      </c>
      <c r="R9" s="41">
        <v>0.0</v>
      </c>
    </row>
    <row r="10" ht="15.0" customHeight="1">
      <c r="A10" s="4" t="s">
        <v>45</v>
      </c>
      <c r="B10" s="4" t="s">
        <v>142</v>
      </c>
      <c r="C10" s="12">
        <v>0.252363337443485</v>
      </c>
      <c r="D10" s="12">
        <v>0.277212216131558</v>
      </c>
      <c r="E10" s="37">
        <v>2554.0</v>
      </c>
      <c r="F10" s="38">
        <f>Assumptions!$B$5*C10+(1-Assumptions!$B$5)*D10</f>
        <v>0.2647877768</v>
      </c>
      <c r="G10" s="39">
        <f>E10*Assumptions!$B$4</f>
        <v>2068.74</v>
      </c>
      <c r="H10" s="39">
        <f t="shared" si="2"/>
        <v>547.7770654</v>
      </c>
      <c r="I10" s="39">
        <f t="shared" si="3"/>
        <v>1520.962935</v>
      </c>
      <c r="J10" s="39">
        <f t="array" ref="J10">INDEX('Mail Projection'!$B$29:$B$32,MATCH(A10,'Mail Projection'!$A$29:$A$32,0))*H10/SUMIF($A$5:$A$93,A10,$H$5:$H$93)</f>
        <v>-12.83709554</v>
      </c>
      <c r="K10" s="39">
        <f t="array" ref="K10">INDEX('Mail Projection'!$C$29:$C$32,MATCH(A10,'Mail Projection'!$A$29:$A$32,0))*I10/SUMIF($A$5:$A$93,A10,$I$5:$I$93)</f>
        <v>-90.24048982</v>
      </c>
      <c r="L10" s="39">
        <f t="shared" ref="L10:M10" si="10">H10+J10</f>
        <v>534.9399698</v>
      </c>
      <c r="M10" s="39">
        <f t="shared" si="10"/>
        <v>1430.722445</v>
      </c>
      <c r="N10" s="38">
        <f t="shared" si="5"/>
        <v>0.2721423403</v>
      </c>
      <c r="O10" s="40">
        <f t="shared" si="6"/>
        <v>-0.5069875806</v>
      </c>
      <c r="P10" s="12">
        <v>0.23160541995321</v>
      </c>
      <c r="Q10" s="12">
        <v>0.312416103416403</v>
      </c>
      <c r="R10" s="41">
        <v>0.0</v>
      </c>
    </row>
    <row r="11" ht="15.0" customHeight="1">
      <c r="A11" s="4" t="s">
        <v>45</v>
      </c>
      <c r="B11" s="4" t="s">
        <v>143</v>
      </c>
      <c r="C11" s="12">
        <v>0.422680412371134</v>
      </c>
      <c r="D11" s="12">
        <v>0.427079303675048</v>
      </c>
      <c r="E11" s="37">
        <v>2585.0</v>
      </c>
      <c r="F11" s="38">
        <f>Assumptions!$B$5*C11+(1-Assumptions!$B$5)*D11</f>
        <v>0.424879858</v>
      </c>
      <c r="G11" s="39">
        <f>E11*Assumptions!$B$4</f>
        <v>2093.85</v>
      </c>
      <c r="H11" s="39">
        <f t="shared" si="2"/>
        <v>889.6346907</v>
      </c>
      <c r="I11" s="39">
        <f t="shared" si="3"/>
        <v>1204.215309</v>
      </c>
      <c r="J11" s="39">
        <f t="array" ref="J11">INDEX('Mail Projection'!$B$29:$B$32,MATCH(A11,'Mail Projection'!$A$29:$A$32,0))*H11/SUMIF($A$5:$A$93,A11,$H$5:$H$93)</f>
        <v>-20.84849156</v>
      </c>
      <c r="K11" s="39">
        <f t="array" ref="K11">INDEX('Mail Projection'!$C$29:$C$32,MATCH(A11,'Mail Projection'!$A$29:$A$32,0))*I11/SUMIF($A$5:$A$93,A11,$I$5:$I$93)</f>
        <v>-71.44748691</v>
      </c>
      <c r="L11" s="39">
        <f t="shared" ref="L11:M11" si="11">H11+J11</f>
        <v>868.7861992</v>
      </c>
      <c r="M11" s="39">
        <f t="shared" si="11"/>
        <v>1132.767822</v>
      </c>
      <c r="N11" s="38">
        <f t="shared" si="5"/>
        <v>0.4340558335</v>
      </c>
      <c r="O11" s="40">
        <f t="shared" si="6"/>
        <v>0.697652985</v>
      </c>
      <c r="P11" s="12">
        <v>0.393421468215032</v>
      </c>
      <c r="Q11" s="12">
        <v>0.474581449298864</v>
      </c>
      <c r="R11" s="41">
        <v>0.0154</v>
      </c>
    </row>
    <row r="12" ht="15.0" customHeight="1">
      <c r="A12" s="4" t="s">
        <v>45</v>
      </c>
      <c r="B12" s="4" t="s">
        <v>144</v>
      </c>
      <c r="C12" s="12">
        <v>0.294117647058824</v>
      </c>
      <c r="D12" s="12">
        <v>0.334923664122137</v>
      </c>
      <c r="E12" s="37">
        <v>1048.0</v>
      </c>
      <c r="F12" s="38">
        <f>Assumptions!$B$5*C12+(1-Assumptions!$B$5)*D12</f>
        <v>0.3145206556</v>
      </c>
      <c r="G12" s="39">
        <f>E12*Assumptions!$B$4</f>
        <v>848.88</v>
      </c>
      <c r="H12" s="39">
        <f t="shared" si="2"/>
        <v>266.9902941</v>
      </c>
      <c r="I12" s="39">
        <f t="shared" si="3"/>
        <v>581.8897059</v>
      </c>
      <c r="J12" s="39">
        <f t="array" ref="J12">INDEX('Mail Projection'!$B$29:$B$32,MATCH(A12,'Mail Projection'!$A$29:$A$32,0))*H12/SUMIF($A$5:$A$93,A12,$H$5:$H$93)</f>
        <v>-6.256888307</v>
      </c>
      <c r="K12" s="39">
        <f t="array" ref="K12">INDEX('Mail Projection'!$C$29:$C$32,MATCH(A12,'Mail Projection'!$A$29:$A$32,0))*I12/SUMIF($A$5:$A$93,A12,$I$5:$I$93)</f>
        <v>-34.52418917</v>
      </c>
      <c r="L12" s="39">
        <f t="shared" ref="L12:M12" si="12">H12+J12</f>
        <v>260.7334058</v>
      </c>
      <c r="M12" s="39">
        <f t="shared" si="12"/>
        <v>547.3655167</v>
      </c>
      <c r="N12" s="38">
        <f t="shared" si="5"/>
        <v>0.322650357</v>
      </c>
      <c r="O12" s="40">
        <f t="shared" si="6"/>
        <v>-1.227330716</v>
      </c>
      <c r="P12" s="12">
        <v>0.281710084587428</v>
      </c>
      <c r="Q12" s="12">
        <v>0.363328094414129</v>
      </c>
      <c r="R12" s="41">
        <v>0.0</v>
      </c>
    </row>
    <row r="13" ht="15.0" customHeight="1">
      <c r="A13" s="4" t="s">
        <v>45</v>
      </c>
      <c r="B13" s="4" t="s">
        <v>145</v>
      </c>
      <c r="C13" s="12">
        <v>0.394176136363636</v>
      </c>
      <c r="D13" s="12">
        <v>0.395189003436426</v>
      </c>
      <c r="E13" s="37">
        <v>1455.0</v>
      </c>
      <c r="F13" s="38">
        <f>Assumptions!$B$5*C13+(1-Assumptions!$B$5)*D13</f>
        <v>0.3946825699</v>
      </c>
      <c r="G13" s="39">
        <f>E13*Assumptions!$B$4</f>
        <v>1178.55</v>
      </c>
      <c r="H13" s="39">
        <f t="shared" si="2"/>
        <v>465.1531428</v>
      </c>
      <c r="I13" s="39">
        <f t="shared" si="3"/>
        <v>713.3968572</v>
      </c>
      <c r="J13" s="39">
        <f t="array" ref="J13">INDEX('Mail Projection'!$B$29:$B$32,MATCH(A13,'Mail Projection'!$A$29:$A$32,0))*H13/SUMIF($A$5:$A$93,A13,$H$5:$H$93)</f>
        <v>-10.90081297</v>
      </c>
      <c r="K13" s="39">
        <f t="array" ref="K13">INDEX('Mail Projection'!$C$29:$C$32,MATCH(A13,'Mail Projection'!$A$29:$A$32,0))*I13/SUMIF($A$5:$A$93,A13,$I$5:$I$93)</f>
        <v>-42.32666055</v>
      </c>
      <c r="L13" s="39">
        <f t="shared" ref="L13:M13" si="13">H13+J13</f>
        <v>454.2523298</v>
      </c>
      <c r="M13" s="39">
        <f t="shared" si="13"/>
        <v>671.0701967</v>
      </c>
      <c r="N13" s="38">
        <f t="shared" si="5"/>
        <v>0.4036641221</v>
      </c>
      <c r="O13" s="40">
        <f t="shared" si="6"/>
        <v>0.8475118713</v>
      </c>
      <c r="P13" s="12">
        <v>0.362979196913724</v>
      </c>
      <c r="Q13" s="12">
        <v>0.444027058499871</v>
      </c>
      <c r="R13" s="41">
        <v>0.0012</v>
      </c>
    </row>
    <row r="14" ht="15.0" customHeight="1">
      <c r="A14" s="4" t="s">
        <v>45</v>
      </c>
      <c r="B14" s="4" t="s">
        <v>148</v>
      </c>
      <c r="C14" s="12">
        <v>0.273381294964029</v>
      </c>
      <c r="D14" s="12">
        <v>0.262068965517241</v>
      </c>
      <c r="E14" s="37">
        <v>145.0</v>
      </c>
      <c r="F14" s="38">
        <f>Assumptions!$B$5*C14+(1-Assumptions!$B$5)*D14</f>
        <v>0.2677251302</v>
      </c>
      <c r="G14" s="39">
        <f>E14*Assumptions!$B$4</f>
        <v>117.45</v>
      </c>
      <c r="H14" s="39">
        <f t="shared" si="2"/>
        <v>31.44431655</v>
      </c>
      <c r="I14" s="39">
        <f t="shared" si="3"/>
        <v>86.00568345</v>
      </c>
      <c r="J14" s="39">
        <f t="array" ref="J14">INDEX('Mail Projection'!$B$29:$B$32,MATCH(A14,'Mail Projection'!$A$29:$A$32,0))*H14/SUMIF($A$5:$A$93,A14,$H$5:$H$93)</f>
        <v>-0.7368941151</v>
      </c>
      <c r="K14" s="39">
        <f t="array" ref="K14">INDEX('Mail Projection'!$C$29:$C$32,MATCH(A14,'Mail Projection'!$A$29:$A$32,0))*I14/SUMIF($A$5:$A$93,A14,$I$5:$I$93)</f>
        <v>-5.10281666</v>
      </c>
      <c r="L14" s="39">
        <f t="shared" ref="L14:M14" si="14">H14+J14</f>
        <v>30.70742243</v>
      </c>
      <c r="M14" s="39">
        <f t="shared" si="14"/>
        <v>80.90286679</v>
      </c>
      <c r="N14" s="38">
        <f t="shared" si="5"/>
        <v>0.2751307487</v>
      </c>
      <c r="O14" s="40">
        <f t="shared" si="6"/>
        <v>1.306178313</v>
      </c>
      <c r="P14" s="12">
        <v>0.234600788976217</v>
      </c>
      <c r="Q14" s="12">
        <v>0.31570969577104</v>
      </c>
      <c r="R14" s="41">
        <v>0.0</v>
      </c>
    </row>
    <row r="15" ht="15.0" customHeight="1">
      <c r="A15" s="4" t="s">
        <v>45</v>
      </c>
      <c r="B15" s="4" t="s">
        <v>152</v>
      </c>
      <c r="C15" s="12">
        <v>0.189393939393939</v>
      </c>
      <c r="D15" s="12">
        <v>0.211678832116788</v>
      </c>
      <c r="E15" s="37">
        <v>274.0</v>
      </c>
      <c r="F15" s="38">
        <f>Assumptions!$B$5*C15+(1-Assumptions!$B$5)*D15</f>
        <v>0.2005363858</v>
      </c>
      <c r="G15" s="39">
        <f>E15*Assumptions!$B$4</f>
        <v>221.94</v>
      </c>
      <c r="H15" s="39">
        <f t="shared" si="2"/>
        <v>44.50704545</v>
      </c>
      <c r="I15" s="39">
        <f t="shared" si="3"/>
        <v>177.4329545</v>
      </c>
      <c r="J15" s="39">
        <f t="array" ref="J15">INDEX('Mail Projection'!$B$29:$B$32,MATCH(A15,'Mail Projection'!$A$29:$A$32,0))*H15/SUMIF($A$5:$A$93,A15,$H$5:$H$93)</f>
        <v>-1.043017737</v>
      </c>
      <c r="K15" s="39">
        <f t="array" ref="K15">INDEX('Mail Projection'!$C$29:$C$32,MATCH(A15,'Mail Projection'!$A$29:$A$32,0))*I15/SUMIF($A$5:$A$93,A15,$I$5:$I$93)</f>
        <v>-10.52730238</v>
      </c>
      <c r="L15" s="39">
        <f t="shared" ref="L15:M15" si="15">H15+J15</f>
        <v>43.46402772</v>
      </c>
      <c r="M15" s="39">
        <f t="shared" si="15"/>
        <v>166.9056522</v>
      </c>
      <c r="N15" s="38">
        <f t="shared" si="5"/>
        <v>0.2066078522</v>
      </c>
      <c r="O15" s="40">
        <f t="shared" si="6"/>
        <v>-0.5070979963</v>
      </c>
      <c r="P15" s="12">
        <v>0.166289645326031</v>
      </c>
      <c r="Q15" s="12">
        <v>0.247059131870018</v>
      </c>
      <c r="R15" s="41">
        <v>0.0</v>
      </c>
    </row>
    <row r="16" ht="15.0" customHeight="1">
      <c r="A16" s="4" t="s">
        <v>45</v>
      </c>
      <c r="B16" s="4" t="s">
        <v>158</v>
      </c>
      <c r="C16" s="12">
        <v>0.398409893992933</v>
      </c>
      <c r="D16" s="12">
        <v>0.388477366255144</v>
      </c>
      <c r="E16" s="37">
        <v>2430.0</v>
      </c>
      <c r="F16" s="38">
        <f>Assumptions!$B$5*C16+(1-Assumptions!$B$5)*D16</f>
        <v>0.3934436301</v>
      </c>
      <c r="G16" s="39">
        <f>E16*Assumptions!$B$4</f>
        <v>1968.3</v>
      </c>
      <c r="H16" s="39">
        <f t="shared" si="2"/>
        <v>774.4150972</v>
      </c>
      <c r="I16" s="39">
        <f t="shared" si="3"/>
        <v>1193.884903</v>
      </c>
      <c r="J16" s="39">
        <f t="array" ref="J16">INDEX('Mail Projection'!$B$29:$B$32,MATCH(A16,'Mail Projection'!$A$29:$A$32,0))*H16/SUMIF($A$5:$A$93,A16,$H$5:$H$93)</f>
        <v>-18.148333</v>
      </c>
      <c r="K16" s="39">
        <f t="array" ref="K16">INDEX('Mail Projection'!$C$29:$C$32,MATCH(A16,'Mail Projection'!$A$29:$A$32,0))*I16/SUMIF($A$5:$A$93,A16,$I$5:$I$93)</f>
        <v>-70.83457195</v>
      </c>
      <c r="L16" s="39">
        <f t="shared" ref="L16:M16" si="16">H16+J16</f>
        <v>756.2667642</v>
      </c>
      <c r="M16" s="39">
        <f t="shared" si="16"/>
        <v>1123.050331</v>
      </c>
      <c r="N16" s="38">
        <f t="shared" si="5"/>
        <v>0.4024157318</v>
      </c>
      <c r="O16" s="40">
        <f t="shared" si="6"/>
        <v>1.393836559</v>
      </c>
      <c r="P16" s="12">
        <v>0.361374354280528</v>
      </c>
      <c r="Q16" s="12">
        <v>0.442386068167986</v>
      </c>
      <c r="R16" s="41">
        <v>7.0E-4</v>
      </c>
    </row>
    <row r="17" ht="15.0" customHeight="1">
      <c r="A17" s="4" t="s">
        <v>45</v>
      </c>
      <c r="B17" s="4" t="s">
        <v>159</v>
      </c>
      <c r="C17" s="12">
        <v>0.277810826888757</v>
      </c>
      <c r="D17" s="12">
        <v>0.284845132743363</v>
      </c>
      <c r="E17" s="37">
        <v>1808.0</v>
      </c>
      <c r="F17" s="38">
        <f>Assumptions!$B$5*C17+(1-Assumptions!$B$5)*D17</f>
        <v>0.2813279798</v>
      </c>
      <c r="G17" s="39">
        <f>E17*Assumptions!$B$4</f>
        <v>1464.48</v>
      </c>
      <c r="H17" s="39">
        <f t="shared" si="2"/>
        <v>411.9991999</v>
      </c>
      <c r="I17" s="39">
        <f t="shared" si="3"/>
        <v>1052.4808</v>
      </c>
      <c r="J17" s="39">
        <f t="array" ref="J17">INDEX('Mail Projection'!$B$29:$B$32,MATCH(A17,'Mail Projection'!$A$29:$A$32,0))*H17/SUMIF($A$5:$A$93,A17,$H$5:$H$93)</f>
        <v>-9.655156135</v>
      </c>
      <c r="K17" s="39">
        <f t="array" ref="K17">INDEX('Mail Projection'!$C$29:$C$32,MATCH(A17,'Mail Projection'!$A$29:$A$32,0))*I17/SUMIF($A$5:$A$93,A17,$I$5:$I$93)</f>
        <v>-62.44490301</v>
      </c>
      <c r="L17" s="39">
        <f t="shared" ref="L17:M17" si="17">H17+J17</f>
        <v>402.3440437</v>
      </c>
      <c r="M17" s="39">
        <f t="shared" si="17"/>
        <v>990.0358971</v>
      </c>
      <c r="N17" s="38">
        <f t="shared" si="5"/>
        <v>0.2889613905</v>
      </c>
      <c r="O17" s="40">
        <f t="shared" si="6"/>
        <v>0.4116257708</v>
      </c>
      <c r="P17" s="12">
        <v>0.248052122045535</v>
      </c>
      <c r="Q17" s="12">
        <v>0.329513037153996</v>
      </c>
      <c r="R17" s="41">
        <v>0.0</v>
      </c>
    </row>
    <row r="18" ht="15.0" customHeight="1">
      <c r="A18" s="4" t="s">
        <v>45</v>
      </c>
      <c r="B18" s="4" t="s">
        <v>160</v>
      </c>
      <c r="C18" s="12">
        <v>0.268615806304249</v>
      </c>
      <c r="D18" s="12">
        <v>0.290498116366681</v>
      </c>
      <c r="E18" s="37">
        <v>2389.0</v>
      </c>
      <c r="F18" s="38">
        <f>Assumptions!$B$5*C18+(1-Assumptions!$B$5)*D18</f>
        <v>0.2795569613</v>
      </c>
      <c r="G18" s="39">
        <f>E18*Assumptions!$B$4</f>
        <v>1935.09</v>
      </c>
      <c r="H18" s="39">
        <f t="shared" si="2"/>
        <v>540.9678803</v>
      </c>
      <c r="I18" s="39">
        <f t="shared" si="3"/>
        <v>1394.12212</v>
      </c>
      <c r="J18" s="39">
        <f t="array" ref="J18">INDEX('Mail Projection'!$B$29:$B$32,MATCH(A18,'Mail Projection'!$A$29:$A$32,0))*H18/SUMIF($A$5:$A$93,A18,$H$5:$H$93)</f>
        <v>-12.67752304</v>
      </c>
      <c r="K18" s="39">
        <f t="array" ref="K18">INDEX('Mail Projection'!$C$29:$C$32,MATCH(A18,'Mail Projection'!$A$29:$A$32,0))*I18/SUMIF($A$5:$A$93,A18,$I$5:$I$93)</f>
        <v>-82.71487759</v>
      </c>
      <c r="L18" s="39">
        <f t="shared" ref="L18:M18" si="18">H18+J18</f>
        <v>528.2903573</v>
      </c>
      <c r="M18" s="39">
        <f t="shared" si="18"/>
        <v>1311.407242</v>
      </c>
      <c r="N18" s="38">
        <f t="shared" si="5"/>
        <v>0.2871615191</v>
      </c>
      <c r="O18" s="40">
        <f t="shared" si="6"/>
        <v>-0.3336597293</v>
      </c>
      <c r="P18" s="12">
        <v>0.246207869509494</v>
      </c>
      <c r="Q18" s="12">
        <v>0.327542999386493</v>
      </c>
      <c r="R18" s="41">
        <v>0.0</v>
      </c>
    </row>
    <row r="19" ht="15.0" customHeight="1">
      <c r="A19" s="4" t="s">
        <v>45</v>
      </c>
      <c r="B19" s="4" t="s">
        <v>161</v>
      </c>
      <c r="C19" s="12">
        <v>0.37293956043956</v>
      </c>
      <c r="D19" s="12">
        <v>0.386246786632391</v>
      </c>
      <c r="E19" s="37">
        <v>1556.0</v>
      </c>
      <c r="F19" s="38">
        <f>Assumptions!$B$5*C19+(1-Assumptions!$B$5)*D19</f>
        <v>0.3795931735</v>
      </c>
      <c r="G19" s="39">
        <f>E19*Assumptions!$B$4</f>
        <v>1260.36</v>
      </c>
      <c r="H19" s="39">
        <f t="shared" si="2"/>
        <v>478.4240522</v>
      </c>
      <c r="I19" s="39">
        <f t="shared" si="3"/>
        <v>781.9359478</v>
      </c>
      <c r="J19" s="39">
        <f t="array" ref="J19">INDEX('Mail Projection'!$B$29:$B$32,MATCH(A19,'Mail Projection'!$A$29:$A$32,0))*H19/SUMIF($A$5:$A$93,A19,$H$5:$H$93)</f>
        <v>-11.21181528</v>
      </c>
      <c r="K19" s="39">
        <f t="array" ref="K19">INDEX('Mail Projection'!$C$29:$C$32,MATCH(A19,'Mail Projection'!$A$29:$A$32,0))*I19/SUMIF($A$5:$A$93,A19,$I$5:$I$93)</f>
        <v>-46.39316405</v>
      </c>
      <c r="L19" s="39">
        <f t="shared" ref="L19:M19" si="19">H19+J19</f>
        <v>467.2122369</v>
      </c>
      <c r="M19" s="39">
        <f t="shared" si="19"/>
        <v>735.5427838</v>
      </c>
      <c r="N19" s="38">
        <f t="shared" si="5"/>
        <v>0.3884517037</v>
      </c>
      <c r="O19" s="40">
        <f t="shared" si="6"/>
        <v>0.2204917074</v>
      </c>
      <c r="P19" s="12">
        <v>0.347483293498373</v>
      </c>
      <c r="Q19" s="12">
        <v>0.429173774333716</v>
      </c>
      <c r="R19" s="41">
        <v>1.5E-4</v>
      </c>
    </row>
    <row r="20" ht="15.0" customHeight="1">
      <c r="A20" s="4" t="s">
        <v>45</v>
      </c>
      <c r="B20" s="4" t="s">
        <v>162</v>
      </c>
      <c r="C20" s="12">
        <v>0.15993265993266</v>
      </c>
      <c r="D20" s="12">
        <v>0.209702660406886</v>
      </c>
      <c r="E20" s="37">
        <v>639.0</v>
      </c>
      <c r="F20" s="38">
        <f>Assumptions!$B$5*C20+(1-Assumptions!$B$5)*D20</f>
        <v>0.1848176602</v>
      </c>
      <c r="G20" s="39">
        <f>E20*Assumptions!$B$4</f>
        <v>517.59</v>
      </c>
      <c r="H20" s="39">
        <f t="shared" si="2"/>
        <v>95.65977273</v>
      </c>
      <c r="I20" s="39">
        <f t="shared" si="3"/>
        <v>421.9302273</v>
      </c>
      <c r="J20" s="39">
        <f t="array" ref="J20">INDEX('Mail Projection'!$B$29:$B$32,MATCH(A20,'Mail Projection'!$A$29:$A$32,0))*H20/SUMIF($A$5:$A$93,A20,$H$5:$H$93)</f>
        <v>-2.241776299</v>
      </c>
      <c r="K20" s="39">
        <f t="array" ref="K20">INDEX('Mail Projection'!$C$29:$C$32,MATCH(A20,'Mail Projection'!$A$29:$A$32,0))*I20/SUMIF($A$5:$A$93,A20,$I$5:$I$93)</f>
        <v>-25.03360832</v>
      </c>
      <c r="L20" s="39">
        <f t="shared" ref="L20:M20" si="20">H20+J20</f>
        <v>93.41799643</v>
      </c>
      <c r="M20" s="39">
        <f t="shared" si="20"/>
        <v>396.8966189</v>
      </c>
      <c r="N20" s="38">
        <f t="shared" si="5"/>
        <v>0.1905266404</v>
      </c>
      <c r="O20" s="40">
        <f t="shared" si="6"/>
        <v>-1.917601996</v>
      </c>
      <c r="P20" s="12">
        <v>0.149228815096464</v>
      </c>
      <c r="Q20" s="12">
        <v>0.231676943387686</v>
      </c>
      <c r="R20" s="41">
        <v>0.0</v>
      </c>
    </row>
    <row r="21" ht="15.0" customHeight="1">
      <c r="A21" s="4" t="s">
        <v>45</v>
      </c>
      <c r="B21" s="4" t="s">
        <v>163</v>
      </c>
      <c r="C21" s="12">
        <v>0.346484375</v>
      </c>
      <c r="D21" s="12">
        <v>0.360529217199559</v>
      </c>
      <c r="E21" s="37">
        <v>2721.0</v>
      </c>
      <c r="F21" s="38">
        <f>Assumptions!$B$5*C21+(1-Assumptions!$B$5)*D21</f>
        <v>0.3535067961</v>
      </c>
      <c r="G21" s="39">
        <f>E21*Assumptions!$B$4</f>
        <v>2204.01</v>
      </c>
      <c r="H21" s="39">
        <f t="shared" si="2"/>
        <v>779.1325137</v>
      </c>
      <c r="I21" s="39">
        <f t="shared" si="3"/>
        <v>1424.877486</v>
      </c>
      <c r="J21" s="39">
        <f t="array" ref="J21">INDEX('Mail Projection'!$B$29:$B$32,MATCH(A21,'Mail Projection'!$A$29:$A$32,0))*H21/SUMIF($A$5:$A$93,A21,$H$5:$H$93)</f>
        <v>-18.25888514</v>
      </c>
      <c r="K21" s="39">
        <f t="array" ref="K21">INDEX('Mail Projection'!$C$29:$C$32,MATCH(A21,'Mail Projection'!$A$29:$A$32,0))*I21/SUMIF($A$5:$A$93,A21,$I$5:$I$93)</f>
        <v>-84.53962906</v>
      </c>
      <c r="L21" s="39">
        <f t="shared" ref="L21:M21" si="21">H21+J21</f>
        <v>760.8736285</v>
      </c>
      <c r="M21" s="39">
        <f t="shared" si="21"/>
        <v>1340.337857</v>
      </c>
      <c r="N21" s="38">
        <f t="shared" si="5"/>
        <v>0.3621118739</v>
      </c>
      <c r="O21" s="40">
        <f t="shared" si="6"/>
        <v>0.1582656675</v>
      </c>
      <c r="P21" s="12">
        <v>0.321363506743864</v>
      </c>
      <c r="Q21" s="12">
        <v>0.402517220582872</v>
      </c>
      <c r="R21" s="41">
        <v>0.0</v>
      </c>
    </row>
    <row r="22" ht="15.0" customHeight="1">
      <c r="A22" s="4" t="s">
        <v>45</v>
      </c>
      <c r="B22" s="4" t="s">
        <v>164</v>
      </c>
      <c r="C22" s="12">
        <v>0.241860465116279</v>
      </c>
      <c r="D22" s="12">
        <v>0.313559322033898</v>
      </c>
      <c r="E22" s="37">
        <v>236.0</v>
      </c>
      <c r="F22" s="38">
        <f>Assumptions!$B$5*C22+(1-Assumptions!$B$5)*D22</f>
        <v>0.2777098936</v>
      </c>
      <c r="G22" s="39">
        <f>E22*Assumptions!$B$4</f>
        <v>191.16</v>
      </c>
      <c r="H22" s="39">
        <f t="shared" si="2"/>
        <v>53.08702326</v>
      </c>
      <c r="I22" s="39">
        <f t="shared" si="3"/>
        <v>138.0729767</v>
      </c>
      <c r="J22" s="39">
        <f t="array" ref="J22">INDEX('Mail Projection'!$B$29:$B$32,MATCH(A22,'Mail Projection'!$A$29:$A$32,0))*H22/SUMIF($A$5:$A$93,A22,$H$5:$H$93)</f>
        <v>-1.244088577</v>
      </c>
      <c r="K22" s="39">
        <f t="array" ref="K22">INDEX('Mail Projection'!$C$29:$C$32,MATCH(A22,'Mail Projection'!$A$29:$A$32,0))*I22/SUMIF($A$5:$A$93,A22,$I$5:$I$93)</f>
        <v>-8.192029384</v>
      </c>
      <c r="L22" s="39">
        <f t="shared" ref="L22:M22" si="22">H22+J22</f>
        <v>51.84293468</v>
      </c>
      <c r="M22" s="39">
        <f t="shared" si="22"/>
        <v>129.8809474</v>
      </c>
      <c r="N22" s="38">
        <f t="shared" si="5"/>
        <v>0.285284103</v>
      </c>
      <c r="O22" s="40">
        <f t="shared" si="6"/>
        <v>-2.827521905</v>
      </c>
      <c r="P22" s="12">
        <v>0.242821378022373</v>
      </c>
      <c r="Q22" s="12">
        <v>0.326889750109306</v>
      </c>
      <c r="R22" s="41">
        <v>0.0</v>
      </c>
    </row>
    <row r="23" ht="15.0" customHeight="1">
      <c r="A23" s="4" t="s">
        <v>45</v>
      </c>
      <c r="B23" s="4" t="s">
        <v>165</v>
      </c>
      <c r="C23" s="12">
        <v>0.324097076246895</v>
      </c>
      <c r="D23" s="12">
        <v>0.356061923812837</v>
      </c>
      <c r="E23" s="37">
        <v>5749.0</v>
      </c>
      <c r="F23" s="38">
        <f>Assumptions!$B$5*C23+(1-Assumptions!$B$5)*D23</f>
        <v>0.3400795</v>
      </c>
      <c r="G23" s="39">
        <f>E23*Assumptions!$B$4</f>
        <v>4656.69</v>
      </c>
      <c r="H23" s="39">
        <f t="shared" si="2"/>
        <v>1583.644807</v>
      </c>
      <c r="I23" s="39">
        <f t="shared" si="3"/>
        <v>3073.045193</v>
      </c>
      <c r="J23" s="39">
        <f t="array" ref="J23">INDEX('Mail Projection'!$B$29:$B$32,MATCH(A23,'Mail Projection'!$A$29:$A$32,0))*H23/SUMIF($A$5:$A$93,A23,$H$5:$H$93)</f>
        <v>-37.11254264</v>
      </c>
      <c r="K23" s="39">
        <f t="array" ref="K23">INDEX('Mail Projection'!$C$29:$C$32,MATCH(A23,'Mail Projection'!$A$29:$A$32,0))*I23/SUMIF($A$5:$A$93,A23,$I$5:$I$93)</f>
        <v>-182.3273251</v>
      </c>
      <c r="L23" s="39">
        <f t="shared" ref="L23:M23" si="23">H23+J23</f>
        <v>1546.532264</v>
      </c>
      <c r="M23" s="39">
        <f t="shared" si="23"/>
        <v>2890.717868</v>
      </c>
      <c r="N23" s="38">
        <f t="shared" si="5"/>
        <v>0.3485339384</v>
      </c>
      <c r="O23" s="40">
        <f t="shared" si="6"/>
        <v>-0.7527985391</v>
      </c>
      <c r="P23" s="12">
        <v>0.30803569930604</v>
      </c>
      <c r="Q23" s="12">
        <v>0.389444775942762</v>
      </c>
      <c r="R23" s="41">
        <v>0.0</v>
      </c>
    </row>
    <row r="24" ht="15.0" customHeight="1">
      <c r="A24" s="4" t="s">
        <v>45</v>
      </c>
      <c r="B24" s="4" t="s">
        <v>166</v>
      </c>
      <c r="C24" s="12">
        <v>0.421326397919376</v>
      </c>
      <c r="D24" s="12">
        <v>0.41958041958042</v>
      </c>
      <c r="E24" s="37">
        <v>1573.0</v>
      </c>
      <c r="F24" s="38">
        <f>Assumptions!$B$5*C24+(1-Assumptions!$B$5)*D24</f>
        <v>0.4204534087</v>
      </c>
      <c r="G24" s="39">
        <f>E24*Assumptions!$B$4</f>
        <v>1274.13</v>
      </c>
      <c r="H24" s="39">
        <f t="shared" si="2"/>
        <v>535.7123017</v>
      </c>
      <c r="I24" s="39">
        <f t="shared" si="3"/>
        <v>738.4176983</v>
      </c>
      <c r="J24" s="39">
        <f t="array" ref="J24">INDEX('Mail Projection'!$B$29:$B$32,MATCH(A24,'Mail Projection'!$A$29:$A$32,0))*H24/SUMIF($A$5:$A$93,A24,$H$5:$H$93)</f>
        <v>-12.55435913</v>
      </c>
      <c r="K24" s="39">
        <f t="array" ref="K24">INDEX('Mail Projection'!$C$29:$C$32,MATCH(A24,'Mail Projection'!$A$29:$A$32,0))*I24/SUMIF($A$5:$A$93,A24,$I$5:$I$93)</f>
        <v>-43.81117598</v>
      </c>
      <c r="L24" s="39">
        <f t="shared" ref="L24:M24" si="24">H24+J24</f>
        <v>523.1579426</v>
      </c>
      <c r="M24" s="39">
        <f t="shared" si="24"/>
        <v>694.6065223</v>
      </c>
      <c r="N24" s="38">
        <f t="shared" si="5"/>
        <v>0.4296051968</v>
      </c>
      <c r="O24" s="40">
        <f t="shared" si="6"/>
        <v>1.002477719</v>
      </c>
      <c r="P24" s="12">
        <v>0.388655838663807</v>
      </c>
      <c r="Q24" s="12">
        <v>0.470145176404303</v>
      </c>
      <c r="R24" s="41">
        <v>0.01225</v>
      </c>
    </row>
    <row r="25" ht="15.0" customHeight="1">
      <c r="A25" s="4" t="s">
        <v>45</v>
      </c>
      <c r="B25" s="4" t="s">
        <v>167</v>
      </c>
      <c r="C25" s="12">
        <v>0.257186081694402</v>
      </c>
      <c r="D25" s="12">
        <v>0.290895901342038</v>
      </c>
      <c r="E25" s="37">
        <v>2757.0</v>
      </c>
      <c r="F25" s="38">
        <f>Assumptions!$B$5*C25+(1-Assumptions!$B$5)*D25</f>
        <v>0.2740409915</v>
      </c>
      <c r="G25" s="39">
        <f>E25*Assumptions!$B$4</f>
        <v>2233.17</v>
      </c>
      <c r="H25" s="39">
        <f t="shared" si="2"/>
        <v>611.980121</v>
      </c>
      <c r="I25" s="39">
        <f t="shared" si="3"/>
        <v>1621.189879</v>
      </c>
      <c r="J25" s="39">
        <f t="array" ref="J25">INDEX('Mail Projection'!$B$29:$B$32,MATCH(A25,'Mail Projection'!$A$29:$A$32,0))*H25/SUMIF($A$5:$A$93,A25,$H$5:$H$93)</f>
        <v>-14.34168712</v>
      </c>
      <c r="K25" s="39">
        <f t="array" ref="K25">INDEX('Mail Projection'!$C$29:$C$32,MATCH(A25,'Mail Projection'!$A$29:$A$32,0))*I25/SUMIF($A$5:$A$93,A25,$I$5:$I$93)</f>
        <v>-96.18707034</v>
      </c>
      <c r="L25" s="39">
        <f t="shared" ref="L25:M25" si="25">H25+J25</f>
        <v>597.6384339</v>
      </c>
      <c r="M25" s="39">
        <f t="shared" si="25"/>
        <v>1525.002809</v>
      </c>
      <c r="N25" s="38">
        <f t="shared" si="5"/>
        <v>0.281554142</v>
      </c>
      <c r="O25" s="40">
        <f t="shared" si="6"/>
        <v>-0.93417593</v>
      </c>
      <c r="P25" s="12">
        <v>0.240695211772209</v>
      </c>
      <c r="Q25" s="12">
        <v>0.322387106799901</v>
      </c>
      <c r="R25" s="41">
        <v>0.0</v>
      </c>
    </row>
    <row r="26" ht="15.0" customHeight="1">
      <c r="A26" s="4" t="s">
        <v>45</v>
      </c>
      <c r="B26" s="4" t="s">
        <v>168</v>
      </c>
      <c r="C26" s="12">
        <v>0.238856181665265</v>
      </c>
      <c r="D26" s="12">
        <v>0.2925</v>
      </c>
      <c r="E26" s="37">
        <v>1200.0</v>
      </c>
      <c r="F26" s="38">
        <f>Assumptions!$B$5*C26+(1-Assumptions!$B$5)*D26</f>
        <v>0.2656780908</v>
      </c>
      <c r="G26" s="39">
        <f>E26*Assumptions!$B$4</f>
        <v>972</v>
      </c>
      <c r="H26" s="39">
        <f t="shared" si="2"/>
        <v>258.2391043</v>
      </c>
      <c r="I26" s="39">
        <f t="shared" si="3"/>
        <v>713.7608957</v>
      </c>
      <c r="J26" s="39">
        <f t="array" ref="J26">INDEX('Mail Projection'!$B$29:$B$32,MATCH(A26,'Mail Projection'!$A$29:$A$32,0))*H26/SUMIF($A$5:$A$93,A26,$H$5:$H$93)</f>
        <v>-6.051805132</v>
      </c>
      <c r="K26" s="39">
        <f t="array" ref="K26">INDEX('Mail Projection'!$C$29:$C$32,MATCH(A26,'Mail Projection'!$A$29:$A$32,0))*I26/SUMIF($A$5:$A$93,A26,$I$5:$I$93)</f>
        <v>-42.34825937</v>
      </c>
      <c r="L26" s="39">
        <f t="shared" ref="L26:M26" si="26">H26+J26</f>
        <v>252.1872992</v>
      </c>
      <c r="M26" s="39">
        <f t="shared" si="26"/>
        <v>671.4126363</v>
      </c>
      <c r="N26" s="38">
        <f t="shared" si="5"/>
        <v>0.2730481992</v>
      </c>
      <c r="O26" s="40">
        <f t="shared" si="6"/>
        <v>-1.945180081</v>
      </c>
      <c r="P26" s="12">
        <v>0.231667321123611</v>
      </c>
      <c r="Q26" s="12">
        <v>0.314180097597183</v>
      </c>
      <c r="R26" s="41">
        <v>0.0</v>
      </c>
    </row>
    <row r="27" ht="15.0" customHeight="1">
      <c r="A27" s="4" t="s">
        <v>45</v>
      </c>
      <c r="B27" s="4" t="s">
        <v>169</v>
      </c>
      <c r="C27" s="12">
        <v>0.426573426573427</v>
      </c>
      <c r="D27" s="12">
        <v>0.355828220858896</v>
      </c>
      <c r="E27" s="37">
        <v>163.0</v>
      </c>
      <c r="F27" s="38">
        <f>Assumptions!$B$5*C27+(1-Assumptions!$B$5)*D27</f>
        <v>0.3912008237</v>
      </c>
      <c r="G27" s="39">
        <f>E27*Assumptions!$B$4</f>
        <v>132.03</v>
      </c>
      <c r="H27" s="39">
        <f t="shared" si="2"/>
        <v>51.65024476</v>
      </c>
      <c r="I27" s="39">
        <f t="shared" si="3"/>
        <v>80.37975524</v>
      </c>
      <c r="J27" s="39">
        <f t="array" ref="J27">INDEX('Mail Projection'!$B$29:$B$32,MATCH(A27,'Mail Projection'!$A$29:$A$32,0))*H27/SUMIF($A$5:$A$93,A27,$H$5:$H$93)</f>
        <v>-1.21041783</v>
      </c>
      <c r="K27" s="39">
        <f t="array" ref="K27">INDEX('Mail Projection'!$C$29:$C$32,MATCH(A27,'Mail Projection'!$A$29:$A$32,0))*I27/SUMIF($A$5:$A$93,A27,$I$5:$I$93)</f>
        <v>-4.769023834</v>
      </c>
      <c r="L27" s="39">
        <f t="shared" ref="L27:M27" si="27">H27+J27</f>
        <v>50.43982693</v>
      </c>
      <c r="M27" s="39">
        <f t="shared" si="27"/>
        <v>75.61073141</v>
      </c>
      <c r="N27" s="38">
        <f t="shared" si="5"/>
        <v>0.4001555216</v>
      </c>
      <c r="O27" s="40">
        <f t="shared" si="6"/>
        <v>4.432730079</v>
      </c>
      <c r="P27" s="12">
        <v>0.357813779646817</v>
      </c>
      <c r="Q27" s="12">
        <v>0.442008151217708</v>
      </c>
      <c r="R27" s="41">
        <v>8.0E-4</v>
      </c>
    </row>
    <row r="28" ht="15.0" customHeight="1">
      <c r="A28" s="4" t="s">
        <v>64</v>
      </c>
      <c r="B28" s="4" t="s">
        <v>170</v>
      </c>
      <c r="C28" s="12">
        <v>0.452616690240453</v>
      </c>
      <c r="D28" s="12">
        <v>0.439648866130212</v>
      </c>
      <c r="E28" s="37">
        <v>1367.0</v>
      </c>
      <c r="F28" s="38">
        <f>Assumptions!$B$5*C28+(1-Assumptions!$B$5)*D28</f>
        <v>0.4461327782</v>
      </c>
      <c r="G28" s="39">
        <f>E28*Assumptions!$B$4</f>
        <v>1107.27</v>
      </c>
      <c r="H28" s="39">
        <f t="shared" si="2"/>
        <v>493.9894413</v>
      </c>
      <c r="I28" s="39">
        <f t="shared" si="3"/>
        <v>613.2805587</v>
      </c>
      <c r="J28" s="39">
        <f t="array" ref="J28">INDEX('Mail Projection'!$B$29:$B$32,MATCH(A28,'Mail Projection'!$A$29:$A$32,0))*H28/SUMIF($A$5:$A$93,A28,$H$5:$H$93)</f>
        <v>-3.994463442</v>
      </c>
      <c r="K28" s="39">
        <f t="array" ref="K28">INDEX('Mail Projection'!$C$29:$C$32,MATCH(A28,'Mail Projection'!$A$29:$A$32,0))*I28/SUMIF($A$5:$A$93,A28,$I$5:$I$93)</f>
        <v>-26.13357281</v>
      </c>
      <c r="L28" s="39">
        <f t="shared" ref="L28:M28" si="28">H28+J28</f>
        <v>489.9949779</v>
      </c>
      <c r="M28" s="39">
        <f t="shared" si="28"/>
        <v>587.1469859</v>
      </c>
      <c r="N28" s="38">
        <f t="shared" si="5"/>
        <v>0.4549028766</v>
      </c>
      <c r="O28" s="40">
        <f t="shared" si="6"/>
        <v>1.525401051</v>
      </c>
      <c r="P28" s="12">
        <v>0.413673529211089</v>
      </c>
      <c r="Q28" s="12">
        <v>0.495047594063352</v>
      </c>
      <c r="R28" s="41">
        <v>0.07505</v>
      </c>
    </row>
    <row r="29" ht="15.0" customHeight="1">
      <c r="A29" s="4" t="s">
        <v>64</v>
      </c>
      <c r="B29" s="4" t="s">
        <v>171</v>
      </c>
      <c r="C29" s="12">
        <v>0.645555955379633</v>
      </c>
      <c r="D29" s="12">
        <v>0.645622220602172</v>
      </c>
      <c r="E29" s="37">
        <v>41151.0</v>
      </c>
      <c r="F29" s="38">
        <f>Assumptions!$B$5*C29+(1-Assumptions!$B$5)*D29</f>
        <v>0.645589088</v>
      </c>
      <c r="G29" s="39">
        <f>E29*Assumptions!$B$4</f>
        <v>33332.31</v>
      </c>
      <c r="H29" s="39">
        <f t="shared" si="2"/>
        <v>21518.97561</v>
      </c>
      <c r="I29" s="39">
        <f t="shared" si="3"/>
        <v>11813.33439</v>
      </c>
      <c r="J29" s="39">
        <f t="array" ref="J29">INDEX('Mail Projection'!$B$29:$B$32,MATCH(A29,'Mail Projection'!$A$29:$A$32,0))*H29/SUMIF($A$5:$A$93,A29,$H$5:$H$93)</f>
        <v>-174.0052605</v>
      </c>
      <c r="K29" s="39">
        <f t="array" ref="K29">INDEX('Mail Projection'!$C$29:$C$32,MATCH(A29,'Mail Projection'!$A$29:$A$32,0))*I29/SUMIF($A$5:$A$93,A29,$I$5:$I$93)</f>
        <v>-503.3986974</v>
      </c>
      <c r="L29" s="39">
        <f t="shared" ref="L29:M29" si="29">H29+J29</f>
        <v>21344.97035</v>
      </c>
      <c r="M29" s="39">
        <f t="shared" si="29"/>
        <v>11309.93569</v>
      </c>
      <c r="N29" s="38">
        <f t="shared" si="5"/>
        <v>0.6536527873</v>
      </c>
      <c r="O29" s="40">
        <f t="shared" si="6"/>
        <v>0.8030566685</v>
      </c>
      <c r="P29" s="12">
        <v>0.612936342956942</v>
      </c>
      <c r="Q29" s="12">
        <v>0.693318442216493</v>
      </c>
      <c r="R29" s="41">
        <v>1.0</v>
      </c>
    </row>
    <row r="30" ht="15.0" customHeight="1">
      <c r="A30" s="4" t="s">
        <v>64</v>
      </c>
      <c r="B30" s="4" t="s">
        <v>172</v>
      </c>
      <c r="C30" s="12">
        <v>0.61434345333208</v>
      </c>
      <c r="D30" s="12">
        <v>0.632969557725445</v>
      </c>
      <c r="E30" s="37">
        <v>10446.0</v>
      </c>
      <c r="F30" s="38">
        <f>Assumptions!$B$5*C30+(1-Assumptions!$B$5)*D30</f>
        <v>0.6236565055</v>
      </c>
      <c r="G30" s="39">
        <f>E30*Assumptions!$B$4</f>
        <v>8461.26</v>
      </c>
      <c r="H30" s="39">
        <f t="shared" si="2"/>
        <v>5276.919844</v>
      </c>
      <c r="I30" s="39">
        <f t="shared" si="3"/>
        <v>3184.340156</v>
      </c>
      <c r="J30" s="39">
        <f t="array" ref="J30">INDEX('Mail Projection'!$B$29:$B$32,MATCH(A30,'Mail Projection'!$A$29:$A$32,0))*H30/SUMIF($A$5:$A$93,A30,$H$5:$H$93)</f>
        <v>-42.66986628</v>
      </c>
      <c r="K30" s="39">
        <f t="array" ref="K30">INDEX('Mail Projection'!$C$29:$C$32,MATCH(A30,'Mail Projection'!$A$29:$A$32,0))*I30/SUMIF($A$5:$A$93,A30,$I$5:$I$93)</f>
        <v>-135.6934997</v>
      </c>
      <c r="L30" s="39">
        <f t="shared" ref="L30:M30" si="30">H30+J30</f>
        <v>5234.249978</v>
      </c>
      <c r="M30" s="39">
        <f t="shared" si="30"/>
        <v>3048.646656</v>
      </c>
      <c r="N30" s="38">
        <f t="shared" si="5"/>
        <v>0.6319347215</v>
      </c>
      <c r="O30" s="40">
        <f t="shared" si="6"/>
        <v>-0.1034836215</v>
      </c>
      <c r="P30" s="12">
        <v>0.591223348176872</v>
      </c>
      <c r="Q30" s="12">
        <v>0.672215980215475</v>
      </c>
      <c r="R30" s="41">
        <v>1.0</v>
      </c>
    </row>
    <row r="31" ht="15.0" customHeight="1">
      <c r="A31" s="4" t="s">
        <v>64</v>
      </c>
      <c r="B31" s="4" t="s">
        <v>173</v>
      </c>
      <c r="C31" s="12">
        <v>0.496435515230071</v>
      </c>
      <c r="D31" s="12">
        <v>0.511307767944936</v>
      </c>
      <c r="E31" s="37">
        <v>3051.0</v>
      </c>
      <c r="F31" s="38">
        <f>Assumptions!$B$5*C31+(1-Assumptions!$B$5)*D31</f>
        <v>0.5038716416</v>
      </c>
      <c r="G31" s="39">
        <f>E31*Assumptions!$B$4</f>
        <v>2471.31</v>
      </c>
      <c r="H31" s="39">
        <f t="shared" si="2"/>
        <v>1245.223027</v>
      </c>
      <c r="I31" s="39">
        <f t="shared" si="3"/>
        <v>1226.086973</v>
      </c>
      <c r="J31" s="39">
        <f t="array" ref="J31">INDEX('Mail Projection'!$B$29:$B$32,MATCH(A31,'Mail Projection'!$A$29:$A$32,0))*H31/SUMIF($A$5:$A$93,A31,$H$5:$H$93)</f>
        <v>-10.06903679</v>
      </c>
      <c r="K31" s="39">
        <f t="array" ref="K31">INDEX('Mail Projection'!$C$29:$C$32,MATCH(A31,'Mail Projection'!$A$29:$A$32,0))*I31/SUMIF($A$5:$A$93,A31,$I$5:$I$93)</f>
        <v>-52.24694105</v>
      </c>
      <c r="L31" s="39">
        <f t="shared" ref="L31:M31" si="31">H31+J31</f>
        <v>1235.15399</v>
      </c>
      <c r="M31" s="39">
        <f t="shared" si="31"/>
        <v>1173.840032</v>
      </c>
      <c r="N31" s="38">
        <f t="shared" si="5"/>
        <v>0.5127260501</v>
      </c>
      <c r="O31" s="40">
        <f t="shared" si="6"/>
        <v>0.1418282191</v>
      </c>
      <c r="P31" s="12">
        <v>0.471896508566544</v>
      </c>
      <c r="Q31" s="12">
        <v>0.552557327599526</v>
      </c>
      <c r="R31" s="41">
        <v>0.6554</v>
      </c>
    </row>
    <row r="32" ht="15.0" customHeight="1">
      <c r="A32" s="4" t="s">
        <v>64</v>
      </c>
      <c r="B32" s="4" t="s">
        <v>174</v>
      </c>
      <c r="C32" s="12">
        <v>0.470700636942675</v>
      </c>
      <c r="D32" s="12">
        <v>0.477582846003899</v>
      </c>
      <c r="E32" s="37">
        <v>1539.0</v>
      </c>
      <c r="F32" s="38">
        <f>Assumptions!$B$5*C32+(1-Assumptions!$B$5)*D32</f>
        <v>0.4741417415</v>
      </c>
      <c r="G32" s="39">
        <f>E32*Assumptions!$B$4</f>
        <v>1246.59</v>
      </c>
      <c r="H32" s="39">
        <f t="shared" si="2"/>
        <v>591.0603535</v>
      </c>
      <c r="I32" s="39">
        <f t="shared" si="3"/>
        <v>655.5296465</v>
      </c>
      <c r="J32" s="39">
        <f t="array" ref="J32">INDEX('Mail Projection'!$B$29:$B$32,MATCH(A32,'Mail Projection'!$A$29:$A$32,0))*H32/SUMIF($A$5:$A$93,A32,$H$5:$H$93)</f>
        <v>-4.779391576</v>
      </c>
      <c r="K32" s="39">
        <f t="array" ref="K32">INDEX('Mail Projection'!$C$29:$C$32,MATCH(A32,'Mail Projection'!$A$29:$A$32,0))*I32/SUMIF($A$5:$A$93,A32,$I$5:$I$93)</f>
        <v>-27.93392275</v>
      </c>
      <c r="L32" s="39">
        <f t="shared" ref="L32:M32" si="32">H32+J32</f>
        <v>586.2809619</v>
      </c>
      <c r="M32" s="39">
        <f t="shared" si="32"/>
        <v>627.5957237</v>
      </c>
      <c r="N32" s="38">
        <f t="shared" si="5"/>
        <v>0.4829823069</v>
      </c>
      <c r="O32" s="40">
        <f t="shared" si="6"/>
        <v>0.5399460885</v>
      </c>
      <c r="P32" s="12">
        <v>0.442168600190025</v>
      </c>
      <c r="Q32" s="12">
        <v>0.52355016547271</v>
      </c>
      <c r="R32" s="41">
        <v>0.29725</v>
      </c>
    </row>
    <row r="33" ht="15.0" customHeight="1">
      <c r="A33" s="4" t="s">
        <v>64</v>
      </c>
      <c r="B33" s="4" t="s">
        <v>175</v>
      </c>
      <c r="C33" s="12">
        <v>0.492651061513337</v>
      </c>
      <c r="D33" s="12">
        <v>0.500278241513634</v>
      </c>
      <c r="E33" s="37">
        <v>1797.0</v>
      </c>
      <c r="F33" s="38">
        <f>Assumptions!$B$5*C33+(1-Assumptions!$B$5)*D33</f>
        <v>0.4964646515</v>
      </c>
      <c r="G33" s="39">
        <f>E33*Assumptions!$B$4</f>
        <v>1455.57</v>
      </c>
      <c r="H33" s="39">
        <f t="shared" si="2"/>
        <v>722.6390528</v>
      </c>
      <c r="I33" s="39">
        <f t="shared" si="3"/>
        <v>732.9309472</v>
      </c>
      <c r="J33" s="39">
        <f t="array" ref="J33">INDEX('Mail Projection'!$B$29:$B$32,MATCH(A33,'Mail Projection'!$A$29:$A$32,0))*H33/SUMIF($A$5:$A$93,A33,$H$5:$H$93)</f>
        <v>-5.843354204</v>
      </c>
      <c r="K33" s="39">
        <f t="array" ref="K33">INDEX('Mail Projection'!$C$29:$C$32,MATCH(A33,'Mail Projection'!$A$29:$A$32,0))*I33/SUMIF($A$5:$A$93,A33,$I$5:$I$93)</f>
        <v>-31.23220524</v>
      </c>
      <c r="L33" s="39">
        <f t="shared" ref="L33:M33" si="33">H33+J33</f>
        <v>716.7956986</v>
      </c>
      <c r="M33" s="39">
        <f t="shared" si="33"/>
        <v>701.698742</v>
      </c>
      <c r="N33" s="38">
        <f t="shared" si="5"/>
        <v>0.5053214719</v>
      </c>
      <c r="O33" s="40">
        <f t="shared" si="6"/>
        <v>0.5043230396</v>
      </c>
      <c r="P33" s="12">
        <v>0.464747597593748</v>
      </c>
      <c r="Q33" s="12">
        <v>0.545642328729443</v>
      </c>
      <c r="R33" s="41">
        <v>0.56725</v>
      </c>
    </row>
    <row r="34" ht="15.0" customHeight="1">
      <c r="A34" s="4" t="s">
        <v>64</v>
      </c>
      <c r="B34" s="4" t="s">
        <v>176</v>
      </c>
      <c r="C34" s="12">
        <v>0.512685914260717</v>
      </c>
      <c r="D34" s="12">
        <v>0.530946513987535</v>
      </c>
      <c r="E34" s="37">
        <v>6899.0</v>
      </c>
      <c r="F34" s="38">
        <f>Assumptions!$B$5*C34+(1-Assumptions!$B$5)*D34</f>
        <v>0.5218162141</v>
      </c>
      <c r="G34" s="39">
        <f>E34*Assumptions!$B$4</f>
        <v>5588.19</v>
      </c>
      <c r="H34" s="39">
        <f t="shared" si="2"/>
        <v>2916.00815</v>
      </c>
      <c r="I34" s="39">
        <f t="shared" si="3"/>
        <v>2672.18185</v>
      </c>
      <c r="J34" s="39">
        <f t="array" ref="J34">INDEX('Mail Projection'!$B$29:$B$32,MATCH(A34,'Mail Projection'!$A$29:$A$32,0))*H34/SUMIF($A$5:$A$93,A34,$H$5:$H$93)</f>
        <v>-23.57922453</v>
      </c>
      <c r="K34" s="39">
        <f t="array" ref="K34">INDEX('Mail Projection'!$C$29:$C$32,MATCH(A34,'Mail Projection'!$A$29:$A$32,0))*I34/SUMIF($A$5:$A$93,A34,$I$5:$I$93)</f>
        <v>-113.8690245</v>
      </c>
      <c r="L34" s="39">
        <f t="shared" ref="L34:M34" si="34">H34+J34</f>
        <v>2892.428925</v>
      </c>
      <c r="M34" s="39">
        <f t="shared" si="34"/>
        <v>2558.312826</v>
      </c>
      <c r="N34" s="38">
        <f t="shared" si="5"/>
        <v>0.5306486818</v>
      </c>
      <c r="O34" s="40">
        <f t="shared" si="6"/>
        <v>-0.02978321708</v>
      </c>
      <c r="P34" s="12">
        <v>0.490105323755961</v>
      </c>
      <c r="Q34" s="12">
        <v>0.571027588231105</v>
      </c>
      <c r="R34" s="41">
        <v>0.8324</v>
      </c>
    </row>
    <row r="35" ht="15.0" customHeight="1">
      <c r="A35" s="4" t="s">
        <v>64</v>
      </c>
      <c r="B35" s="4" t="s">
        <v>177</v>
      </c>
      <c r="C35" s="12">
        <v>0.643314822725331</v>
      </c>
      <c r="D35" s="12">
        <v>0.643755615453729</v>
      </c>
      <c r="E35" s="37">
        <v>2226.0</v>
      </c>
      <c r="F35" s="38">
        <f>Assumptions!$B$5*C35+(1-Assumptions!$B$5)*D35</f>
        <v>0.6435352191</v>
      </c>
      <c r="G35" s="39">
        <f>E35*Assumptions!$B$4</f>
        <v>1803.06</v>
      </c>
      <c r="H35" s="39">
        <f t="shared" si="2"/>
        <v>1160.332612</v>
      </c>
      <c r="I35" s="39">
        <f t="shared" si="3"/>
        <v>642.7273879</v>
      </c>
      <c r="J35" s="39">
        <f t="array" ref="J35">INDEX('Mail Projection'!$B$29:$B$32,MATCH(A35,'Mail Projection'!$A$29:$A$32,0))*H35/SUMIF($A$5:$A$93,A35,$H$5:$H$93)</f>
        <v>-9.382601757</v>
      </c>
      <c r="K35" s="39">
        <f t="array" ref="K35">INDEX('Mail Projection'!$C$29:$C$32,MATCH(A35,'Mail Projection'!$A$29:$A$32,0))*I35/SUMIF($A$5:$A$93,A35,$I$5:$I$93)</f>
        <v>-27.38838327</v>
      </c>
      <c r="L35" s="39">
        <f t="shared" ref="L35:M35" si="35">H35+J35</f>
        <v>1150.95001</v>
      </c>
      <c r="M35" s="39">
        <f t="shared" si="35"/>
        <v>615.3390046</v>
      </c>
      <c r="N35" s="38">
        <f t="shared" si="5"/>
        <v>0.6516204317</v>
      </c>
      <c r="O35" s="40">
        <f t="shared" si="6"/>
        <v>0.7864816205</v>
      </c>
      <c r="P35" s="12">
        <v>0.611089315213407</v>
      </c>
      <c r="Q35" s="12">
        <v>0.692053913328847</v>
      </c>
      <c r="R35" s="41">
        <v>1.0</v>
      </c>
    </row>
    <row r="36" ht="15.0" customHeight="1">
      <c r="A36" s="4" t="s">
        <v>64</v>
      </c>
      <c r="B36" s="4" t="s">
        <v>178</v>
      </c>
      <c r="C36" s="12">
        <v>0.515561569688769</v>
      </c>
      <c r="D36" s="12">
        <v>0.534555712270804</v>
      </c>
      <c r="E36" s="37">
        <v>709.0</v>
      </c>
      <c r="F36" s="38">
        <f>Assumptions!$B$5*C36+(1-Assumptions!$B$5)*D36</f>
        <v>0.525058641</v>
      </c>
      <c r="G36" s="39">
        <f>E36*Assumptions!$B$4</f>
        <v>574.29</v>
      </c>
      <c r="H36" s="39">
        <f t="shared" si="2"/>
        <v>301.5359269</v>
      </c>
      <c r="I36" s="39">
        <f t="shared" si="3"/>
        <v>272.7540731</v>
      </c>
      <c r="J36" s="39">
        <f t="array" ref="J36">INDEX('Mail Projection'!$B$29:$B$32,MATCH(A36,'Mail Projection'!$A$29:$A$32,0))*H36/SUMIF($A$5:$A$93,A36,$H$5:$H$93)</f>
        <v>-2.438259072</v>
      </c>
      <c r="K36" s="39">
        <f t="array" ref="K36">INDEX('Mail Projection'!$C$29:$C$32,MATCH(A36,'Mail Projection'!$A$29:$A$32,0))*I36/SUMIF($A$5:$A$93,A36,$I$5:$I$93)</f>
        <v>-11.62280188</v>
      </c>
      <c r="L36" s="39">
        <f t="shared" ref="L36:M36" si="36">H36+J36</f>
        <v>299.0976679</v>
      </c>
      <c r="M36" s="39">
        <f t="shared" si="36"/>
        <v>261.1312712</v>
      </c>
      <c r="N36" s="38">
        <f t="shared" si="5"/>
        <v>0.5338847157</v>
      </c>
      <c r="O36" s="40">
        <f t="shared" si="6"/>
        <v>-0.06709965626</v>
      </c>
      <c r="P36" s="12">
        <v>0.49328350521108</v>
      </c>
      <c r="Q36" s="12">
        <v>0.574510967252332</v>
      </c>
      <c r="R36" s="41">
        <v>0.8552</v>
      </c>
    </row>
    <row r="37" ht="15.0" customHeight="1">
      <c r="A37" s="4" t="s">
        <v>64</v>
      </c>
      <c r="B37" s="4" t="s">
        <v>179</v>
      </c>
      <c r="C37" s="12">
        <v>0.286757546251217</v>
      </c>
      <c r="D37" s="12">
        <v>0.312470138557095</v>
      </c>
      <c r="E37" s="37">
        <v>2093.0</v>
      </c>
      <c r="F37" s="38">
        <f>Assumptions!$B$5*C37+(1-Assumptions!$B$5)*D37</f>
        <v>0.2996138424</v>
      </c>
      <c r="G37" s="39">
        <f>E37*Assumptions!$B$4</f>
        <v>1695.33</v>
      </c>
      <c r="H37" s="39">
        <f t="shared" si="2"/>
        <v>507.9443354</v>
      </c>
      <c r="I37" s="39">
        <f t="shared" si="3"/>
        <v>1187.385665</v>
      </c>
      <c r="J37" s="39">
        <f t="array" ref="J37">INDEX('Mail Projection'!$B$29:$B$32,MATCH(A37,'Mail Projection'!$A$29:$A$32,0))*H37/SUMIF($A$5:$A$93,A37,$H$5:$H$93)</f>
        <v>-4.107304547</v>
      </c>
      <c r="K37" s="39">
        <f t="array" ref="K37">INDEX('Mail Projection'!$C$29:$C$32,MATCH(A37,'Mail Projection'!$A$29:$A$32,0))*I37/SUMIF($A$5:$A$93,A37,$I$5:$I$93)</f>
        <v>-50.59777174</v>
      </c>
      <c r="L37" s="39">
        <f t="shared" ref="L37:M37" si="37">H37+J37</f>
        <v>503.8370309</v>
      </c>
      <c r="M37" s="39">
        <f t="shared" si="37"/>
        <v>1136.787893</v>
      </c>
      <c r="N37" s="38">
        <f t="shared" si="5"/>
        <v>0.3071006807</v>
      </c>
      <c r="O37" s="40">
        <f t="shared" si="6"/>
        <v>-0.5369457826</v>
      </c>
      <c r="P37" s="12">
        <v>0.26588884437597</v>
      </c>
      <c r="Q37" s="12">
        <v>0.347472103140835</v>
      </c>
      <c r="R37" s="41">
        <v>0.0</v>
      </c>
    </row>
    <row r="38" ht="15.0" customHeight="1">
      <c r="A38" s="4" t="s">
        <v>64</v>
      </c>
      <c r="B38" s="4" t="s">
        <v>180</v>
      </c>
      <c r="C38" s="12">
        <v>0.483949892346839</v>
      </c>
      <c r="D38" s="12">
        <v>0.495598417408506</v>
      </c>
      <c r="E38" s="37">
        <v>20220.0</v>
      </c>
      <c r="F38" s="38">
        <f>Assumptions!$B$5*C38+(1-Assumptions!$B$5)*D38</f>
        <v>0.4897741549</v>
      </c>
      <c r="G38" s="39">
        <f>E38*Assumptions!$B$4</f>
        <v>16378.2</v>
      </c>
      <c r="H38" s="39">
        <f t="shared" si="2"/>
        <v>8021.619063</v>
      </c>
      <c r="I38" s="39">
        <f t="shared" si="3"/>
        <v>8356.580937</v>
      </c>
      <c r="J38" s="39">
        <f t="array" ref="J38">INDEX('Mail Projection'!$B$29:$B$32,MATCH(A38,'Mail Projection'!$A$29:$A$32,0))*H38/SUMIF($A$5:$A$93,A38,$H$5:$H$93)</f>
        <v>-64.86386432</v>
      </c>
      <c r="K38" s="39">
        <f t="array" ref="K38">INDEX('Mail Projection'!$C$29:$C$32,MATCH(A38,'Mail Projection'!$A$29:$A$32,0))*I38/SUMIF($A$5:$A$93,A38,$I$5:$I$93)</f>
        <v>-356.0969173</v>
      </c>
      <c r="L38" s="39">
        <f t="shared" ref="L38:M38" si="38">H38+J38</f>
        <v>7956.755199</v>
      </c>
      <c r="M38" s="39">
        <f t="shared" si="38"/>
        <v>8000.484019</v>
      </c>
      <c r="N38" s="38">
        <f t="shared" si="5"/>
        <v>0.4986298125</v>
      </c>
      <c r="O38" s="40">
        <f t="shared" si="6"/>
        <v>0.3031395067</v>
      </c>
      <c r="P38" s="12">
        <v>0.458101646818348</v>
      </c>
      <c r="Q38" s="12">
        <v>0.538845668022908</v>
      </c>
      <c r="R38" s="41">
        <v>0.4857</v>
      </c>
    </row>
    <row r="39" ht="15.0" customHeight="1">
      <c r="A39" s="4" t="s">
        <v>64</v>
      </c>
      <c r="B39" s="4" t="s">
        <v>181</v>
      </c>
      <c r="C39" s="12">
        <v>0.358323721645521</v>
      </c>
      <c r="D39" s="12">
        <v>0.383119408790354</v>
      </c>
      <c r="E39" s="37">
        <v>2571.0</v>
      </c>
      <c r="F39" s="38">
        <f>Assumptions!$B$5*C39+(1-Assumptions!$B$5)*D39</f>
        <v>0.3707215652</v>
      </c>
      <c r="G39" s="39">
        <f>E39*Assumptions!$B$4</f>
        <v>2082.51</v>
      </c>
      <c r="H39" s="39">
        <f t="shared" si="2"/>
        <v>772.0313668</v>
      </c>
      <c r="I39" s="39">
        <f t="shared" si="3"/>
        <v>1310.478633</v>
      </c>
      <c r="J39" s="39">
        <f t="array" ref="J39">INDEX('Mail Projection'!$B$29:$B$32,MATCH(A39,'Mail Projection'!$A$29:$A$32,0))*H39/SUMIF($A$5:$A$93,A39,$H$5:$H$93)</f>
        <v>-6.242746935</v>
      </c>
      <c r="K39" s="39">
        <f t="array" ref="K39">INDEX('Mail Projection'!$C$29:$C$32,MATCH(A39,'Mail Projection'!$A$29:$A$32,0))*I39/SUMIF($A$5:$A$93,A39,$I$5:$I$93)</f>
        <v>-55.84310198</v>
      </c>
      <c r="L39" s="39">
        <f t="shared" ref="L39:M39" si="39">H39+J39</f>
        <v>765.7886198</v>
      </c>
      <c r="M39" s="39">
        <f t="shared" si="39"/>
        <v>1254.635531</v>
      </c>
      <c r="N39" s="38">
        <f t="shared" si="5"/>
        <v>0.3790236914</v>
      </c>
      <c r="O39" s="40">
        <f t="shared" si="6"/>
        <v>-0.4095717435</v>
      </c>
      <c r="P39" s="12">
        <v>0.338147282387263</v>
      </c>
      <c r="Q39" s="12">
        <v>0.419483603185746</v>
      </c>
      <c r="R39" s="41">
        <v>5.0E-5</v>
      </c>
    </row>
    <row r="40" ht="15.0" customHeight="1">
      <c r="A40" s="4" t="s">
        <v>64</v>
      </c>
      <c r="B40" s="4" t="s">
        <v>182</v>
      </c>
      <c r="C40" s="12">
        <v>0.327575175943698</v>
      </c>
      <c r="D40" s="12">
        <v>0.354207436399217</v>
      </c>
      <c r="E40" s="37">
        <v>1533.0</v>
      </c>
      <c r="F40" s="38">
        <f>Assumptions!$B$5*C40+(1-Assumptions!$B$5)*D40</f>
        <v>0.3408913062</v>
      </c>
      <c r="G40" s="39">
        <f>E40*Assumptions!$B$4</f>
        <v>1241.73</v>
      </c>
      <c r="H40" s="39">
        <f t="shared" si="2"/>
        <v>423.2949616</v>
      </c>
      <c r="I40" s="39">
        <f t="shared" si="3"/>
        <v>818.4350384</v>
      </c>
      <c r="J40" s="39">
        <f t="array" ref="J40">INDEX('Mail Projection'!$B$29:$B$32,MATCH(A40,'Mail Projection'!$A$29:$A$32,0))*H40/SUMIF($A$5:$A$93,A40,$H$5:$H$93)</f>
        <v>-3.422818603</v>
      </c>
      <c r="K40" s="39">
        <f t="array" ref="K40">INDEX('Mail Projection'!$C$29:$C$32,MATCH(A40,'Mail Projection'!$A$29:$A$32,0))*I40/SUMIF($A$5:$A$93,A40,$I$5:$I$93)</f>
        <v>-34.87576993</v>
      </c>
      <c r="L40" s="39">
        <f t="shared" ref="L40:M40" si="40">H40+J40</f>
        <v>419.872143</v>
      </c>
      <c r="M40" s="39">
        <f t="shared" si="40"/>
        <v>783.5592685</v>
      </c>
      <c r="N40" s="38">
        <f t="shared" si="5"/>
        <v>0.3488957817</v>
      </c>
      <c r="O40" s="40">
        <f t="shared" si="6"/>
        <v>-0.5311654712</v>
      </c>
      <c r="P40" s="12">
        <v>0.308231160951435</v>
      </c>
      <c r="Q40" s="12">
        <v>0.389276425186212</v>
      </c>
      <c r="R40" s="41">
        <v>0.0</v>
      </c>
    </row>
    <row r="41" ht="15.0" customHeight="1">
      <c r="A41" s="4" t="s">
        <v>64</v>
      </c>
      <c r="B41" s="4" t="s">
        <v>183</v>
      </c>
      <c r="C41" s="12">
        <v>0.291481481481482</v>
      </c>
      <c r="D41" s="12">
        <v>0.314116777531412</v>
      </c>
      <c r="E41" s="37">
        <v>2706.0</v>
      </c>
      <c r="F41" s="38">
        <f>Assumptions!$B$5*C41+(1-Assumptions!$B$5)*D41</f>
        <v>0.3027991295</v>
      </c>
      <c r="G41" s="39">
        <f>E41*Assumptions!$B$4</f>
        <v>2191.86</v>
      </c>
      <c r="H41" s="39">
        <f t="shared" si="2"/>
        <v>663.6933</v>
      </c>
      <c r="I41" s="39">
        <f t="shared" si="3"/>
        <v>1528.1667</v>
      </c>
      <c r="J41" s="39">
        <f t="array" ref="J41">INDEX('Mail Projection'!$B$29:$B$32,MATCH(A41,'Mail Projection'!$A$29:$A$32,0))*H41/SUMIF($A$5:$A$93,A41,$H$5:$H$93)</f>
        <v>-5.366711112</v>
      </c>
      <c r="K41" s="39">
        <f t="array" ref="K41">INDEX('Mail Projection'!$C$29:$C$32,MATCH(A41,'Mail Projection'!$A$29:$A$32,0))*I41/SUMIF($A$5:$A$93,A41,$I$5:$I$93)</f>
        <v>-65.11938975</v>
      </c>
      <c r="L41" s="39">
        <f t="shared" ref="L41:M41" si="41">H41+J41</f>
        <v>658.3265889</v>
      </c>
      <c r="M41" s="39">
        <f t="shared" si="41"/>
        <v>1463.04731</v>
      </c>
      <c r="N41" s="38">
        <f t="shared" si="5"/>
        <v>0.3103302955</v>
      </c>
      <c r="O41" s="40">
        <f t="shared" si="6"/>
        <v>-0.3786482077</v>
      </c>
      <c r="P41" s="12">
        <v>0.269676503057938</v>
      </c>
      <c r="Q41" s="12">
        <v>0.350543645899666</v>
      </c>
      <c r="R41" s="41">
        <v>0.0</v>
      </c>
    </row>
    <row r="42" ht="15.0" customHeight="1">
      <c r="A42" s="4" t="s">
        <v>64</v>
      </c>
      <c r="B42" s="4" t="s">
        <v>184</v>
      </c>
      <c r="C42" s="12">
        <v>0.512143611404435</v>
      </c>
      <c r="D42" s="12">
        <v>0.529157667386609</v>
      </c>
      <c r="E42" s="37">
        <v>1852.0</v>
      </c>
      <c r="F42" s="38">
        <f>Assumptions!$B$5*C42+(1-Assumptions!$B$5)*D42</f>
        <v>0.5206506394</v>
      </c>
      <c r="G42" s="39">
        <f>E42*Assumptions!$B$4</f>
        <v>1500.12</v>
      </c>
      <c r="H42" s="39">
        <f t="shared" si="2"/>
        <v>781.0384372</v>
      </c>
      <c r="I42" s="39">
        <f t="shared" si="3"/>
        <v>719.0815628</v>
      </c>
      <c r="J42" s="39">
        <f t="array" ref="J42">INDEX('Mail Projection'!$B$29:$B$32,MATCH(A42,'Mail Projection'!$A$29:$A$32,0))*H42/SUMIF($A$5:$A$93,A42,$H$5:$H$93)</f>
        <v>-6.315579289</v>
      </c>
      <c r="K42" s="39">
        <f t="array" ref="K42">INDEX('Mail Projection'!$C$29:$C$32,MATCH(A42,'Mail Projection'!$A$29:$A$32,0))*I42/SUMIF($A$5:$A$93,A42,$I$5:$I$93)</f>
        <v>-30.64204484</v>
      </c>
      <c r="L42" s="39">
        <f t="shared" ref="L42:M42" si="42">H42+J42</f>
        <v>774.7228579</v>
      </c>
      <c r="M42" s="39">
        <f t="shared" si="42"/>
        <v>688.439518</v>
      </c>
      <c r="N42" s="38">
        <f t="shared" si="5"/>
        <v>0.5294852237</v>
      </c>
      <c r="O42" s="40">
        <f t="shared" si="6"/>
        <v>0.0327556304</v>
      </c>
      <c r="P42" s="12">
        <v>0.488572738001331</v>
      </c>
      <c r="Q42" s="12">
        <v>0.569959631040681</v>
      </c>
      <c r="R42" s="41">
        <v>0.82505</v>
      </c>
    </row>
    <row r="43" ht="15.0" customHeight="1">
      <c r="A43" s="4" t="s">
        <v>64</v>
      </c>
      <c r="B43" s="4" t="s">
        <v>185</v>
      </c>
      <c r="C43" s="12">
        <v>0.38511359107214</v>
      </c>
      <c r="D43" s="12">
        <v>0.404749924524504</v>
      </c>
      <c r="E43" s="37">
        <v>9937.0</v>
      </c>
      <c r="F43" s="38">
        <f>Assumptions!$B$5*C43+(1-Assumptions!$B$5)*D43</f>
        <v>0.3949317578</v>
      </c>
      <c r="G43" s="39">
        <f>E43*Assumptions!$B$4</f>
        <v>8048.97</v>
      </c>
      <c r="H43" s="39">
        <f t="shared" si="2"/>
        <v>3178.793871</v>
      </c>
      <c r="I43" s="39">
        <f t="shared" si="3"/>
        <v>4870.176129</v>
      </c>
      <c r="J43" s="39">
        <f t="array" ref="J43">INDEX('Mail Projection'!$B$29:$B$32,MATCH(A43,'Mail Projection'!$A$29:$A$32,0))*H43/SUMIF($A$5:$A$93,A43,$H$5:$H$93)</f>
        <v>-25.70414435</v>
      </c>
      <c r="K43" s="39">
        <f t="array" ref="K43">INDEX('Mail Projection'!$C$29:$C$32,MATCH(A43,'Mail Projection'!$A$29:$A$32,0))*I43/SUMIF($A$5:$A$93,A43,$I$5:$I$93)</f>
        <v>-207.5316113</v>
      </c>
      <c r="L43" s="39">
        <f t="shared" ref="L43:M43" si="43">H43+J43</f>
        <v>3153.089726</v>
      </c>
      <c r="M43" s="39">
        <f t="shared" si="43"/>
        <v>4662.644518</v>
      </c>
      <c r="N43" s="38">
        <f t="shared" si="5"/>
        <v>0.4034284723</v>
      </c>
      <c r="O43" s="40">
        <f t="shared" si="6"/>
        <v>-0.1321452212</v>
      </c>
      <c r="P43" s="12">
        <v>0.362601377698403</v>
      </c>
      <c r="Q43" s="12">
        <v>0.443809132201818</v>
      </c>
      <c r="R43" s="41">
        <v>6.5E-4</v>
      </c>
    </row>
    <row r="44" ht="15.0" customHeight="1">
      <c r="A44" s="4" t="s">
        <v>64</v>
      </c>
      <c r="B44" s="4" t="s">
        <v>186</v>
      </c>
      <c r="C44" s="12">
        <v>0.468405584129317</v>
      </c>
      <c r="D44" s="12">
        <v>0.494207542519103</v>
      </c>
      <c r="E44" s="37">
        <v>8114.0</v>
      </c>
      <c r="F44" s="38">
        <f>Assumptions!$B$5*C44+(1-Assumptions!$B$5)*D44</f>
        <v>0.4813065633</v>
      </c>
      <c r="G44" s="39">
        <f>E44*Assumptions!$B$4</f>
        <v>6572.34</v>
      </c>
      <c r="H44" s="39">
        <f t="shared" si="2"/>
        <v>3163.310378</v>
      </c>
      <c r="I44" s="39">
        <f t="shared" si="3"/>
        <v>3409.029622</v>
      </c>
      <c r="J44" s="39">
        <f t="array" ref="J44">INDEX('Mail Projection'!$B$29:$B$32,MATCH(A44,'Mail Projection'!$A$29:$A$32,0))*H44/SUMIF($A$5:$A$93,A44,$H$5:$H$93)</f>
        <v>-25.5789428</v>
      </c>
      <c r="K44" s="39">
        <f t="array" ref="K44">INDEX('Mail Projection'!$C$29:$C$32,MATCH(A44,'Mail Projection'!$A$29:$A$32,0))*I44/SUMIF($A$5:$A$93,A44,$I$5:$I$93)</f>
        <v>-145.2681364</v>
      </c>
      <c r="L44" s="39">
        <f t="shared" ref="L44:M44" si="44">H44+J44</f>
        <v>3137.731436</v>
      </c>
      <c r="M44" s="39">
        <f t="shared" si="44"/>
        <v>3263.761485</v>
      </c>
      <c r="N44" s="38">
        <f t="shared" si="5"/>
        <v>0.4901561986</v>
      </c>
      <c r="O44" s="40">
        <f t="shared" si="6"/>
        <v>-0.4051343893</v>
      </c>
      <c r="P44" s="12">
        <v>0.449313014886771</v>
      </c>
      <c r="Q44" s="12">
        <v>0.530633485300714</v>
      </c>
      <c r="R44" s="41">
        <v>0.3786</v>
      </c>
    </row>
    <row r="45" ht="15.0" customHeight="1">
      <c r="A45" s="4" t="s">
        <v>64</v>
      </c>
      <c r="B45" s="4" t="s">
        <v>187</v>
      </c>
      <c r="C45" s="12">
        <v>0.421421421421421</v>
      </c>
      <c r="D45" s="12">
        <v>0.408997955010225</v>
      </c>
      <c r="E45" s="37">
        <v>1956.0</v>
      </c>
      <c r="F45" s="38">
        <f>Assumptions!$B$5*C45+(1-Assumptions!$B$5)*D45</f>
        <v>0.4152096882</v>
      </c>
      <c r="G45" s="39">
        <f>E45*Assumptions!$B$4</f>
        <v>1584.36</v>
      </c>
      <c r="H45" s="39">
        <f t="shared" si="2"/>
        <v>657.8416216</v>
      </c>
      <c r="I45" s="39">
        <f t="shared" si="3"/>
        <v>926.5183784</v>
      </c>
      <c r="J45" s="39">
        <f t="array" ref="J45">INDEX('Mail Projection'!$B$29:$B$32,MATCH(A45,'Mail Projection'!$A$29:$A$32,0))*H45/SUMIF($A$5:$A$93,A45,$H$5:$H$93)</f>
        <v>-5.319393672</v>
      </c>
      <c r="K45" s="39">
        <f t="array" ref="K45">INDEX('Mail Projection'!$C$29:$C$32,MATCH(A45,'Mail Projection'!$A$29:$A$32,0))*I45/SUMIF($A$5:$A$93,A45,$I$5:$I$93)</f>
        <v>-39.48149858</v>
      </c>
      <c r="L45" s="39">
        <f t="shared" ref="L45:M45" si="45">H45+J45</f>
        <v>652.5222279</v>
      </c>
      <c r="M45" s="39">
        <f t="shared" si="45"/>
        <v>887.0368798</v>
      </c>
      <c r="N45" s="38">
        <f t="shared" si="5"/>
        <v>0.4238370743</v>
      </c>
      <c r="O45" s="40">
        <f t="shared" si="6"/>
        <v>1.48391193</v>
      </c>
      <c r="P45" s="12">
        <v>0.383175606288065</v>
      </c>
      <c r="Q45" s="12">
        <v>0.464529394183444</v>
      </c>
      <c r="R45" s="41">
        <v>0.0067</v>
      </c>
    </row>
    <row r="46" ht="15.0" customHeight="1">
      <c r="A46" s="4" t="s">
        <v>64</v>
      </c>
      <c r="B46" s="4" t="s">
        <v>188</v>
      </c>
      <c r="C46" s="12">
        <v>0.520988028489165</v>
      </c>
      <c r="D46" s="12">
        <v>0.534618021174499</v>
      </c>
      <c r="E46" s="37">
        <v>13129.0</v>
      </c>
      <c r="F46" s="38">
        <f>Assumptions!$B$5*C46+(1-Assumptions!$B$5)*D46</f>
        <v>0.5278030248</v>
      </c>
      <c r="G46" s="39">
        <f>E46*Assumptions!$B$4</f>
        <v>10634.49</v>
      </c>
      <c r="H46" s="39">
        <f t="shared" si="2"/>
        <v>5612.91599</v>
      </c>
      <c r="I46" s="39">
        <f t="shared" si="3"/>
        <v>5021.57401</v>
      </c>
      <c r="J46" s="39">
        <f t="array" ref="J46">INDEX('Mail Projection'!$B$29:$B$32,MATCH(A46,'Mail Projection'!$A$29:$A$32,0))*H46/SUMIF($A$5:$A$93,A46,$H$5:$H$93)</f>
        <v>-45.3867752</v>
      </c>
      <c r="K46" s="39">
        <f t="array" ref="K46">INDEX('Mail Projection'!$C$29:$C$32,MATCH(A46,'Mail Projection'!$A$29:$A$32,0))*I46/SUMIF($A$5:$A$93,A46,$I$5:$I$93)</f>
        <v>-213.9830917</v>
      </c>
      <c r="L46" s="39">
        <f t="shared" ref="L46:M46" si="46">H46+J46</f>
        <v>5567.529214</v>
      </c>
      <c r="M46" s="39">
        <f t="shared" si="46"/>
        <v>4807.590919</v>
      </c>
      <c r="N46" s="38">
        <f t="shared" si="5"/>
        <v>0.5366231083</v>
      </c>
      <c r="O46" s="40">
        <f t="shared" si="6"/>
        <v>0.2005087082</v>
      </c>
      <c r="P46" s="12">
        <v>0.495842817208138</v>
      </c>
      <c r="Q46" s="12">
        <v>0.577245500132166</v>
      </c>
      <c r="R46" s="41">
        <v>0.87715</v>
      </c>
    </row>
    <row r="47" ht="15.0" customHeight="1">
      <c r="A47" s="4" t="s">
        <v>64</v>
      </c>
      <c r="B47" s="4" t="s">
        <v>189</v>
      </c>
      <c r="C47" s="12">
        <v>0.491102756892231</v>
      </c>
      <c r="D47" s="12">
        <v>0.513214308568503</v>
      </c>
      <c r="E47" s="37">
        <v>15627.0</v>
      </c>
      <c r="F47" s="38">
        <f>Assumptions!$B$5*C47+(1-Assumptions!$B$5)*D47</f>
        <v>0.5021585327</v>
      </c>
      <c r="G47" s="39">
        <f>E47*Assumptions!$B$4</f>
        <v>12657.87</v>
      </c>
      <c r="H47" s="39">
        <f t="shared" si="2"/>
        <v>6356.257427</v>
      </c>
      <c r="I47" s="39">
        <f t="shared" si="3"/>
        <v>6301.612573</v>
      </c>
      <c r="J47" s="39">
        <f t="array" ref="J47">INDEX('Mail Projection'!$B$29:$B$32,MATCH(A47,'Mail Projection'!$A$29:$A$32,0))*H47/SUMIF($A$5:$A$93,A47,$H$5:$H$93)</f>
        <v>-51.3975316</v>
      </c>
      <c r="K47" s="39">
        <f t="array" ref="K47">INDEX('Mail Projection'!$C$29:$C$32,MATCH(A47,'Mail Projection'!$A$29:$A$32,0))*I47/SUMIF($A$5:$A$93,A47,$I$5:$I$93)</f>
        <v>-268.5290585</v>
      </c>
      <c r="L47" s="39">
        <f t="shared" ref="L47:M47" si="47">H47+J47</f>
        <v>6304.859895</v>
      </c>
      <c r="M47" s="39">
        <f t="shared" si="47"/>
        <v>6033.083515</v>
      </c>
      <c r="N47" s="38">
        <f t="shared" si="5"/>
        <v>0.5110138445</v>
      </c>
      <c r="O47" s="40">
        <f t="shared" si="6"/>
        <v>-0.220046407</v>
      </c>
      <c r="P47" s="12">
        <v>0.469952214409949</v>
      </c>
      <c r="Q47" s="12">
        <v>0.55147915210104</v>
      </c>
      <c r="R47" s="41">
        <v>0.6324</v>
      </c>
    </row>
    <row r="48" ht="15.0" customHeight="1">
      <c r="A48" s="4" t="s">
        <v>64</v>
      </c>
      <c r="B48" s="4" t="s">
        <v>190</v>
      </c>
      <c r="C48" s="12">
        <v>0.422442244224422</v>
      </c>
      <c r="D48" s="12">
        <v>0.43155031731641</v>
      </c>
      <c r="E48" s="37">
        <v>5515.0</v>
      </c>
      <c r="F48" s="38">
        <f>Assumptions!$B$5*C48+(1-Assumptions!$B$5)*D48</f>
        <v>0.4269962808</v>
      </c>
      <c r="G48" s="39">
        <f>E48*Assumptions!$B$4</f>
        <v>4467.15</v>
      </c>
      <c r="H48" s="39">
        <f t="shared" si="2"/>
        <v>1907.456436</v>
      </c>
      <c r="I48" s="39">
        <f t="shared" si="3"/>
        <v>2559.693564</v>
      </c>
      <c r="J48" s="39">
        <f t="array" ref="J48">INDEX('Mail Projection'!$B$29:$B$32,MATCH(A48,'Mail Projection'!$A$29:$A$32,0))*H48/SUMIF($A$5:$A$93,A48,$H$5:$H$93)</f>
        <v>-15.42394303</v>
      </c>
      <c r="K48" s="39">
        <f t="array" ref="K48">INDEX('Mail Projection'!$C$29:$C$32,MATCH(A48,'Mail Projection'!$A$29:$A$32,0))*I48/SUMIF($A$5:$A$93,A48,$I$5:$I$93)</f>
        <v>-109.075589</v>
      </c>
      <c r="L48" s="39">
        <f t="shared" ref="L48:M48" si="48">H48+J48</f>
        <v>1892.032493</v>
      </c>
      <c r="M48" s="39">
        <f t="shared" si="48"/>
        <v>2450.617975</v>
      </c>
      <c r="N48" s="38">
        <f t="shared" si="5"/>
        <v>0.4356861107</v>
      </c>
      <c r="O48" s="40">
        <f t="shared" si="6"/>
        <v>0.4135793403</v>
      </c>
      <c r="P48" s="12">
        <v>0.395308363400841</v>
      </c>
      <c r="Q48" s="12">
        <v>0.475836092529252</v>
      </c>
      <c r="R48" s="41">
        <v>0.0186</v>
      </c>
    </row>
    <row r="49" ht="15.0" customHeight="1">
      <c r="A49" s="4" t="s">
        <v>64</v>
      </c>
      <c r="B49" s="4" t="s">
        <v>191</v>
      </c>
      <c r="C49" s="12">
        <v>0.464688002860719</v>
      </c>
      <c r="D49" s="12">
        <v>0.487591501517586</v>
      </c>
      <c r="E49" s="37">
        <v>11202.0</v>
      </c>
      <c r="F49" s="38">
        <f>Assumptions!$B$5*C49+(1-Assumptions!$B$5)*D49</f>
        <v>0.4761397522</v>
      </c>
      <c r="G49" s="39">
        <f>E49*Assumptions!$B$4</f>
        <v>9073.62</v>
      </c>
      <c r="H49" s="39">
        <f t="shared" si="2"/>
        <v>4320.311178</v>
      </c>
      <c r="I49" s="39">
        <f t="shared" si="3"/>
        <v>4753.308822</v>
      </c>
      <c r="J49" s="39">
        <f t="array" ref="J49">INDEX('Mail Projection'!$B$29:$B$32,MATCH(A49,'Mail Projection'!$A$29:$A$32,0))*H49/SUMIF($A$5:$A$93,A49,$H$5:$H$93)</f>
        <v>-34.93460309</v>
      </c>
      <c r="K49" s="39">
        <f t="array" ref="K49">INDEX('Mail Projection'!$C$29:$C$32,MATCH(A49,'Mail Projection'!$A$29:$A$32,0))*I49/SUMIF($A$5:$A$93,A49,$I$5:$I$93)</f>
        <v>-202.5515736</v>
      </c>
      <c r="L49" s="39">
        <f t="shared" ref="L49:M49" si="49">H49+J49</f>
        <v>4285.376575</v>
      </c>
      <c r="M49" s="39">
        <f t="shared" si="49"/>
        <v>4550.757248</v>
      </c>
      <c r="N49" s="38">
        <f t="shared" si="5"/>
        <v>0.4849832133</v>
      </c>
      <c r="O49" s="40">
        <f t="shared" si="6"/>
        <v>-0.2608288175</v>
      </c>
      <c r="P49" s="12">
        <v>0.444330421159346</v>
      </c>
      <c r="Q49" s="12">
        <v>0.525584969611168</v>
      </c>
      <c r="R49" s="41">
        <v>0.3206</v>
      </c>
    </row>
    <row r="50" ht="15.0" customHeight="1">
      <c r="A50" s="4" t="s">
        <v>64</v>
      </c>
      <c r="B50" s="4" t="s">
        <v>192</v>
      </c>
      <c r="C50" s="12">
        <v>0.307144673277396</v>
      </c>
      <c r="D50" s="12">
        <v>0.321728081321474</v>
      </c>
      <c r="E50" s="37">
        <v>3935.0</v>
      </c>
      <c r="F50" s="38">
        <f>Assumptions!$B$5*C50+(1-Assumptions!$B$5)*D50</f>
        <v>0.3144363773</v>
      </c>
      <c r="G50" s="39">
        <f>E50*Assumptions!$B$4</f>
        <v>3187.35</v>
      </c>
      <c r="H50" s="39">
        <f t="shared" si="2"/>
        <v>1002.218787</v>
      </c>
      <c r="I50" s="39">
        <f t="shared" si="3"/>
        <v>2185.131213</v>
      </c>
      <c r="J50" s="39">
        <f t="array" ref="J50">INDEX('Mail Projection'!$B$29:$B$32,MATCH(A50,'Mail Projection'!$A$29:$A$32,0))*H50/SUMIF($A$5:$A$93,A50,$H$5:$H$93)</f>
        <v>-8.104072621</v>
      </c>
      <c r="K50" s="39">
        <f t="array" ref="K50">INDEX('Mail Projection'!$C$29:$C$32,MATCH(A50,'Mail Projection'!$A$29:$A$32,0))*I50/SUMIF($A$5:$A$93,A50,$I$5:$I$93)</f>
        <v>-93.1144561</v>
      </c>
      <c r="L50" s="39">
        <f t="shared" ref="L50:M50" si="50">H50+J50</f>
        <v>994.1147146</v>
      </c>
      <c r="M50" s="39">
        <f t="shared" si="50"/>
        <v>2092.016757</v>
      </c>
      <c r="N50" s="38">
        <f t="shared" si="5"/>
        <v>0.3221232549</v>
      </c>
      <c r="O50" s="40">
        <f t="shared" si="6"/>
        <v>0.03951735741</v>
      </c>
      <c r="P50" s="12">
        <v>0.281335151075632</v>
      </c>
      <c r="Q50" s="12">
        <v>0.362520674162579</v>
      </c>
      <c r="R50" s="41">
        <v>0.0</v>
      </c>
    </row>
    <row r="51" ht="15.0" customHeight="1">
      <c r="A51" s="4" t="s">
        <v>64</v>
      </c>
      <c r="B51" s="4" t="s">
        <v>193</v>
      </c>
      <c r="C51" s="12">
        <v>0.319123741859088</v>
      </c>
      <c r="D51" s="12">
        <v>0.347465164541951</v>
      </c>
      <c r="E51" s="37">
        <v>3373.0</v>
      </c>
      <c r="F51" s="38">
        <f>Assumptions!$B$5*C51+(1-Assumptions!$B$5)*D51</f>
        <v>0.3332944532</v>
      </c>
      <c r="G51" s="39">
        <f>E51*Assumptions!$B$4</f>
        <v>2732.13</v>
      </c>
      <c r="H51" s="39">
        <f t="shared" si="2"/>
        <v>910.6037744</v>
      </c>
      <c r="I51" s="39">
        <f t="shared" si="3"/>
        <v>1821.526226</v>
      </c>
      <c r="J51" s="39">
        <f t="array" ref="J51">INDEX('Mail Projection'!$B$29:$B$32,MATCH(A51,'Mail Projection'!$A$29:$A$32,0))*H51/SUMIF($A$5:$A$93,A51,$H$5:$H$93)</f>
        <v>-7.363261607</v>
      </c>
      <c r="K51" s="39">
        <f t="array" ref="K51">INDEX('Mail Projection'!$C$29:$C$32,MATCH(A51,'Mail Projection'!$A$29:$A$32,0))*I51/SUMIF($A$5:$A$93,A51,$I$5:$I$93)</f>
        <v>-77.62024668</v>
      </c>
      <c r="L51" s="39">
        <f t="shared" ref="L51:M51" si="51">H51+J51</f>
        <v>903.2405128</v>
      </c>
      <c r="M51" s="39">
        <f t="shared" si="51"/>
        <v>1743.905979</v>
      </c>
      <c r="N51" s="38">
        <f t="shared" si="5"/>
        <v>0.3412128931</v>
      </c>
      <c r="O51" s="40">
        <f t="shared" si="6"/>
        <v>-0.6252271473</v>
      </c>
      <c r="P51" s="12">
        <v>0.300564996450759</v>
      </c>
      <c r="Q51" s="12">
        <v>0.382049711826832</v>
      </c>
      <c r="R51" s="41">
        <v>0.0</v>
      </c>
    </row>
    <row r="52" ht="15.0" customHeight="1">
      <c r="A52" s="4" t="s">
        <v>64</v>
      </c>
      <c r="B52" s="4" t="s">
        <v>194</v>
      </c>
      <c r="C52" s="12">
        <v>0.494475138121547</v>
      </c>
      <c r="D52" s="12">
        <v>0.51203273458631</v>
      </c>
      <c r="E52" s="37">
        <v>14419.0</v>
      </c>
      <c r="F52" s="38">
        <f>Assumptions!$B$5*C52+(1-Assumptions!$B$5)*D52</f>
        <v>0.5032539364</v>
      </c>
      <c r="G52" s="39">
        <f>E52*Assumptions!$B$4</f>
        <v>11679.39</v>
      </c>
      <c r="H52" s="39">
        <f t="shared" si="2"/>
        <v>5877.698992</v>
      </c>
      <c r="I52" s="39">
        <f t="shared" si="3"/>
        <v>5801.691008</v>
      </c>
      <c r="J52" s="39">
        <f t="array" ref="J52">INDEX('Mail Projection'!$B$29:$B$32,MATCH(A52,'Mail Projection'!$A$29:$A$32,0))*H52/SUMIF($A$5:$A$93,A52,$H$5:$H$93)</f>
        <v>-47.5278453</v>
      </c>
      <c r="K52" s="39">
        <f t="array" ref="K52">INDEX('Mail Projection'!$C$29:$C$32,MATCH(A52,'Mail Projection'!$A$29:$A$32,0))*I52/SUMIF($A$5:$A$93,A52,$I$5:$I$93)</f>
        <v>-247.2260245</v>
      </c>
      <c r="L52" s="39">
        <f t="shared" ref="L52:M52" si="52">H52+J52</f>
        <v>5830.171146</v>
      </c>
      <c r="M52" s="39">
        <f t="shared" si="52"/>
        <v>5554.464984</v>
      </c>
      <c r="N52" s="38">
        <f t="shared" si="5"/>
        <v>0.5121086945</v>
      </c>
      <c r="O52" s="40">
        <f t="shared" si="6"/>
        <v>0.007595994923</v>
      </c>
      <c r="P52" s="12">
        <v>0.47115527513321</v>
      </c>
      <c r="Q52" s="12">
        <v>0.552218956663347</v>
      </c>
      <c r="R52" s="41">
        <v>0.64865</v>
      </c>
    </row>
    <row r="53" ht="15.0" customHeight="1">
      <c r="A53" s="4" t="s">
        <v>65</v>
      </c>
      <c r="B53" s="4" t="s">
        <v>195</v>
      </c>
      <c r="C53" s="12">
        <v>0.30055169105301</v>
      </c>
      <c r="D53" s="12">
        <v>0.328226555246054</v>
      </c>
      <c r="E53" s="37">
        <v>4308.0</v>
      </c>
      <c r="F53" s="38">
        <f>Assumptions!$B$5*C53+(1-Assumptions!$B$5)*D53</f>
        <v>0.3143891231</v>
      </c>
      <c r="G53" s="39">
        <f>E53*Assumptions!$B$4</f>
        <v>3489.48</v>
      </c>
      <c r="H53" s="39">
        <f t="shared" si="2"/>
        <v>1097.054557</v>
      </c>
      <c r="I53" s="39">
        <f t="shared" si="3"/>
        <v>2392.425443</v>
      </c>
      <c r="J53" s="39">
        <f t="array" ref="J53">INDEX('Mail Projection'!$B$29:$B$32,MATCH(A53,'Mail Projection'!$A$29:$A$32,0))*H53/SUMIF($A$5:$A$93,A53,$H$5:$H$93)</f>
        <v>44.44143758</v>
      </c>
      <c r="K53" s="39">
        <f t="array" ref="K53">INDEX('Mail Projection'!$C$29:$C$32,MATCH(A53,'Mail Projection'!$A$29:$A$32,0))*I53/SUMIF($A$5:$A$93,A53,$I$5:$I$93)</f>
        <v>45.22620577</v>
      </c>
      <c r="L53" s="39">
        <f t="shared" ref="L53:M53" si="53">H53+J53</f>
        <v>1141.495995</v>
      </c>
      <c r="M53" s="39">
        <f t="shared" si="53"/>
        <v>2437.651648</v>
      </c>
      <c r="N53" s="38">
        <f t="shared" si="5"/>
        <v>0.3189295633</v>
      </c>
      <c r="O53" s="40">
        <f t="shared" si="6"/>
        <v>-0.9296991905</v>
      </c>
      <c r="P53" s="12">
        <v>0.277921890709807</v>
      </c>
      <c r="Q53" s="12">
        <v>0.359181108680642</v>
      </c>
      <c r="R53" s="41">
        <v>0.0</v>
      </c>
    </row>
    <row r="54" ht="15.0" customHeight="1">
      <c r="A54" s="4" t="s">
        <v>65</v>
      </c>
      <c r="B54" s="4" t="s">
        <v>196</v>
      </c>
      <c r="C54" s="12">
        <v>0.265544041450777</v>
      </c>
      <c r="D54" s="12">
        <v>0.295297805642633</v>
      </c>
      <c r="E54" s="37">
        <v>1595.0</v>
      </c>
      <c r="F54" s="38">
        <f>Assumptions!$B$5*C54+(1-Assumptions!$B$5)*D54</f>
        <v>0.2804209235</v>
      </c>
      <c r="G54" s="39">
        <f>E54*Assumptions!$B$4</f>
        <v>1291.95</v>
      </c>
      <c r="H54" s="39">
        <f t="shared" si="2"/>
        <v>362.2898122</v>
      </c>
      <c r="I54" s="39">
        <f t="shared" si="3"/>
        <v>929.6601878</v>
      </c>
      <c r="J54" s="39">
        <f t="array" ref="J54">INDEX('Mail Projection'!$B$29:$B$32,MATCH(A54,'Mail Projection'!$A$29:$A$32,0))*H54/SUMIF($A$5:$A$93,A54,$H$5:$H$93)</f>
        <v>14.67628019</v>
      </c>
      <c r="K54" s="39">
        <f t="array" ref="K54">INDEX('Mail Projection'!$C$29:$C$32,MATCH(A54,'Mail Projection'!$A$29:$A$32,0))*I54/SUMIF($A$5:$A$93,A54,$I$5:$I$93)</f>
        <v>17.57421661</v>
      </c>
      <c r="L54" s="39">
        <f t="shared" ref="L54:M54" si="54">H54+J54</f>
        <v>376.9660924</v>
      </c>
      <c r="M54" s="39">
        <f t="shared" si="54"/>
        <v>947.2344044</v>
      </c>
      <c r="N54" s="38">
        <f t="shared" si="5"/>
        <v>0.2846744834</v>
      </c>
      <c r="O54" s="40">
        <f t="shared" si="6"/>
        <v>-1.062332222</v>
      </c>
      <c r="P54" s="12">
        <v>0.243505533208545</v>
      </c>
      <c r="Q54" s="12">
        <v>0.325172375535046</v>
      </c>
      <c r="R54" s="41">
        <v>0.0</v>
      </c>
    </row>
    <row r="55" ht="15.0" customHeight="1">
      <c r="A55" s="4" t="s">
        <v>65</v>
      </c>
      <c r="B55" s="4" t="s">
        <v>197</v>
      </c>
      <c r="C55" s="12">
        <v>0.305927342256214</v>
      </c>
      <c r="D55" s="12">
        <v>0.343214756258235</v>
      </c>
      <c r="E55" s="37">
        <v>1518.0</v>
      </c>
      <c r="F55" s="38">
        <f>Assumptions!$B$5*C55+(1-Assumptions!$B$5)*D55</f>
        <v>0.3245710493</v>
      </c>
      <c r="G55" s="39">
        <f>E55*Assumptions!$B$4</f>
        <v>1229.58</v>
      </c>
      <c r="H55" s="39">
        <f t="shared" si="2"/>
        <v>399.0860707</v>
      </c>
      <c r="I55" s="39">
        <f t="shared" si="3"/>
        <v>830.4939293</v>
      </c>
      <c r="J55" s="39">
        <f t="array" ref="J55">INDEX('Mail Projection'!$B$29:$B$32,MATCH(A55,'Mail Projection'!$A$29:$A$32,0))*H55/SUMIF($A$5:$A$93,A55,$H$5:$H$93)</f>
        <v>16.16688849</v>
      </c>
      <c r="K55" s="39">
        <f t="array" ref="K55">INDEX('Mail Projection'!$C$29:$C$32,MATCH(A55,'Mail Projection'!$A$29:$A$32,0))*I55/SUMIF($A$5:$A$93,A55,$I$5:$I$93)</f>
        <v>15.69958615</v>
      </c>
      <c r="L55" s="39">
        <f t="shared" ref="L55:M55" si="55">H55+J55</f>
        <v>415.2529592</v>
      </c>
      <c r="M55" s="39">
        <f t="shared" si="55"/>
        <v>846.1935154</v>
      </c>
      <c r="N55" s="38">
        <f t="shared" si="5"/>
        <v>0.3291879343</v>
      </c>
      <c r="O55" s="40">
        <f t="shared" si="6"/>
        <v>-1.402682194</v>
      </c>
      <c r="P55" s="12">
        <v>0.288182773509668</v>
      </c>
      <c r="Q55" s="12">
        <v>0.369500014550751</v>
      </c>
      <c r="R55" s="41">
        <v>0.0</v>
      </c>
    </row>
    <row r="56" ht="15.0" customHeight="1">
      <c r="A56" s="4" t="s">
        <v>66</v>
      </c>
      <c r="B56" s="4" t="s">
        <v>198</v>
      </c>
      <c r="C56" s="12">
        <v>0.420612009237875</v>
      </c>
      <c r="D56" s="12">
        <v>0.428166619438935</v>
      </c>
      <c r="E56" s="37">
        <v>3529.0</v>
      </c>
      <c r="F56" s="38">
        <f>Assumptions!$B$5*C56+(1-Assumptions!$B$5)*D56</f>
        <v>0.4243893143</v>
      </c>
      <c r="G56" s="39">
        <f>E56*Assumptions!$B$4</f>
        <v>2858.49</v>
      </c>
      <c r="H56" s="39">
        <f t="shared" si="2"/>
        <v>1213.112611</v>
      </c>
      <c r="I56" s="39">
        <f t="shared" si="3"/>
        <v>1645.377389</v>
      </c>
      <c r="J56" s="39">
        <f t="array" ref="J56">INDEX('Mail Projection'!$B$29:$B$32,MATCH(A56,'Mail Projection'!$A$29:$A$32,0))*H56/SUMIF($A$5:$A$93,A56,$H$5:$H$93)</f>
        <v>35.12908355</v>
      </c>
      <c r="K56" s="39">
        <f t="array" ref="K56">INDEX('Mail Projection'!$C$29:$C$32,MATCH(A56,'Mail Projection'!$A$29:$A$32,0))*I56/SUMIF($A$5:$A$93,A56,$I$5:$I$93)</f>
        <v>-6.084245702</v>
      </c>
      <c r="L56" s="39">
        <f t="shared" ref="L56:M56" si="56">H56+J56</f>
        <v>1248.241695</v>
      </c>
      <c r="M56" s="39">
        <f t="shared" si="56"/>
        <v>1639.293143</v>
      </c>
      <c r="N56" s="38">
        <f t="shared" si="5"/>
        <v>0.4322862804</v>
      </c>
      <c r="O56" s="40">
        <f t="shared" si="6"/>
        <v>0.4119661</v>
      </c>
      <c r="P56" s="12">
        <v>0.391600599621886</v>
      </c>
      <c r="Q56" s="12">
        <v>0.472342020346902</v>
      </c>
      <c r="R56" s="41">
        <v>0.0142</v>
      </c>
    </row>
    <row r="57" ht="15.0" customHeight="1">
      <c r="A57" s="4" t="s">
        <v>66</v>
      </c>
      <c r="B57" s="4" t="s">
        <v>199</v>
      </c>
      <c r="C57" s="12">
        <v>0.416702355460385</v>
      </c>
      <c r="D57" s="12">
        <v>0.412828239345674</v>
      </c>
      <c r="E57" s="37">
        <v>2323.0</v>
      </c>
      <c r="F57" s="38">
        <f>Assumptions!$B$5*C57+(1-Assumptions!$B$5)*D57</f>
        <v>0.4147652974</v>
      </c>
      <c r="G57" s="39">
        <f>E57*Assumptions!$B$4</f>
        <v>1881.63</v>
      </c>
      <c r="H57" s="39">
        <f t="shared" si="2"/>
        <v>780.4348266</v>
      </c>
      <c r="I57" s="39">
        <f t="shared" si="3"/>
        <v>1101.195173</v>
      </c>
      <c r="J57" s="39">
        <f t="array" ref="J57">INDEX('Mail Projection'!$B$29:$B$32,MATCH(A57,'Mail Projection'!$A$29:$A$32,0))*H57/SUMIF($A$5:$A$93,A57,$H$5:$H$93)</f>
        <v>22.59968281</v>
      </c>
      <c r="K57" s="39">
        <f t="array" ref="K57">INDEX('Mail Projection'!$C$29:$C$32,MATCH(A57,'Mail Projection'!$A$29:$A$32,0))*I57/SUMIF($A$5:$A$93,A57,$I$5:$I$93)</f>
        <v>-4.071978894</v>
      </c>
      <c r="L57" s="39">
        <f t="shared" ref="L57:M57" si="57">H57+J57</f>
        <v>803.0345094</v>
      </c>
      <c r="M57" s="39">
        <f t="shared" si="57"/>
        <v>1097.123195</v>
      </c>
      <c r="N57" s="38">
        <f t="shared" si="5"/>
        <v>0.4226146639</v>
      </c>
      <c r="O57" s="40">
        <f t="shared" si="6"/>
        <v>0.9786424536</v>
      </c>
      <c r="P57" s="12">
        <v>0.381634843847535</v>
      </c>
      <c r="Q57" s="12">
        <v>0.462591344354674</v>
      </c>
      <c r="R57" s="41">
        <v>0.0061</v>
      </c>
    </row>
    <row r="58" ht="15.0" customHeight="1">
      <c r="A58" s="4" t="s">
        <v>66</v>
      </c>
      <c r="B58" s="4" t="s">
        <v>200</v>
      </c>
      <c r="C58" s="12">
        <v>0.435036496350365</v>
      </c>
      <c r="D58" s="12">
        <v>0.46182357301705</v>
      </c>
      <c r="E58" s="37">
        <v>1349.0</v>
      </c>
      <c r="F58" s="38">
        <f>Assumptions!$B$5*C58+(1-Assumptions!$B$5)*D58</f>
        <v>0.4484300347</v>
      </c>
      <c r="G58" s="39">
        <f>E58*Assumptions!$B$4</f>
        <v>1092.69</v>
      </c>
      <c r="H58" s="39">
        <f t="shared" si="2"/>
        <v>489.9950146</v>
      </c>
      <c r="I58" s="39">
        <f t="shared" si="3"/>
        <v>602.6949854</v>
      </c>
      <c r="J58" s="39">
        <f t="array" ref="J58">INDEX('Mail Projection'!$B$29:$B$32,MATCH(A58,'Mail Projection'!$A$29:$A$32,0))*H58/SUMIF($A$5:$A$93,A58,$H$5:$H$93)</f>
        <v>14.18918215</v>
      </c>
      <c r="K58" s="39">
        <f t="array" ref="K58">INDEX('Mail Projection'!$C$29:$C$32,MATCH(A58,'Mail Projection'!$A$29:$A$32,0))*I58/SUMIF($A$5:$A$93,A58,$I$5:$I$93)</f>
        <v>-2.228634233</v>
      </c>
      <c r="L58" s="39">
        <f t="shared" ref="L58:M58" si="58">H58+J58</f>
        <v>504.1841967</v>
      </c>
      <c r="M58" s="39">
        <f t="shared" si="58"/>
        <v>600.4663512</v>
      </c>
      <c r="N58" s="38">
        <f t="shared" si="5"/>
        <v>0.4564196322</v>
      </c>
      <c r="O58" s="40">
        <f t="shared" si="6"/>
        <v>-0.5403940856</v>
      </c>
      <c r="P58" s="12">
        <v>0.415595275742453</v>
      </c>
      <c r="Q58" s="12">
        <v>0.496754151546173</v>
      </c>
      <c r="R58" s="41">
        <v>0.0826</v>
      </c>
    </row>
    <row r="59" ht="15.0" customHeight="1">
      <c r="A59" s="4" t="s">
        <v>66</v>
      </c>
      <c r="B59" s="4" t="s">
        <v>172</v>
      </c>
      <c r="C59" s="12">
        <v>0.654626480591064</v>
      </c>
      <c r="D59" s="12">
        <v>0.668406509057415</v>
      </c>
      <c r="E59" s="37">
        <v>26056.0</v>
      </c>
      <c r="F59" s="38">
        <f>Assumptions!$B$5*C59+(1-Assumptions!$B$5)*D59</f>
        <v>0.6615164948</v>
      </c>
      <c r="G59" s="39">
        <f>E59*Assumptions!$B$4</f>
        <v>21105.36</v>
      </c>
      <c r="H59" s="39">
        <f t="shared" si="2"/>
        <v>13961.54377</v>
      </c>
      <c r="I59" s="39">
        <f t="shared" si="3"/>
        <v>7143.816231</v>
      </c>
      <c r="J59" s="39">
        <f t="array" ref="J59">INDEX('Mail Projection'!$B$29:$B$32,MATCH(A59,'Mail Projection'!$A$29:$A$32,0))*H59/SUMIF($A$5:$A$93,A59,$H$5:$H$93)</f>
        <v>404.2957208</v>
      </c>
      <c r="K59" s="39">
        <f t="array" ref="K59">INDEX('Mail Projection'!$C$29:$C$32,MATCH(A59,'Mail Projection'!$A$29:$A$32,0))*I59/SUMIF($A$5:$A$93,A59,$I$5:$I$93)</f>
        <v>-26.4162699</v>
      </c>
      <c r="L59" s="39">
        <f t="shared" ref="L59:M59" si="59">H59+J59</f>
        <v>14365.83949</v>
      </c>
      <c r="M59" s="39">
        <f t="shared" si="59"/>
        <v>7117.399961</v>
      </c>
      <c r="N59" s="38">
        <f t="shared" si="5"/>
        <v>0.6686998729</v>
      </c>
      <c r="O59" s="40">
        <f t="shared" si="6"/>
        <v>0.02933638284</v>
      </c>
      <c r="P59" s="12">
        <v>0.628538380029264</v>
      </c>
      <c r="Q59" s="12">
        <v>0.708654358664324</v>
      </c>
      <c r="R59" s="41">
        <v>1.0</v>
      </c>
    </row>
    <row r="60" ht="15.0" customHeight="1">
      <c r="A60" s="4" t="s">
        <v>66</v>
      </c>
      <c r="B60" s="4" t="s">
        <v>201</v>
      </c>
      <c r="C60" s="12">
        <v>0.499968618590347</v>
      </c>
      <c r="D60" s="12">
        <v>0.536014967259121</v>
      </c>
      <c r="E60" s="37">
        <v>16035.0</v>
      </c>
      <c r="F60" s="38">
        <f>Assumptions!$B$5*C60+(1-Assumptions!$B$5)*D60</f>
        <v>0.5179917929</v>
      </c>
      <c r="G60" s="39">
        <f>E60*Assumptions!$B$4</f>
        <v>12988.35</v>
      </c>
      <c r="H60" s="39">
        <f t="shared" si="2"/>
        <v>6727.858704</v>
      </c>
      <c r="I60" s="39">
        <f t="shared" si="3"/>
        <v>6260.491296</v>
      </c>
      <c r="J60" s="39">
        <f t="array" ref="J60">INDEX('Mail Projection'!$B$29:$B$32,MATCH(A60,'Mail Projection'!$A$29:$A$32,0))*H60/SUMIF($A$5:$A$93,A60,$H$5:$H$93)</f>
        <v>194.8240487</v>
      </c>
      <c r="K60" s="39">
        <f t="array" ref="K60">INDEX('Mail Projection'!$C$29:$C$32,MATCH(A60,'Mail Projection'!$A$29:$A$32,0))*I60/SUMIF($A$5:$A$93,A60,$I$5:$I$93)</f>
        <v>-23.1499275</v>
      </c>
      <c r="L60" s="39">
        <f t="shared" ref="L60:M60" si="60">H60+J60</f>
        <v>6922.682752</v>
      </c>
      <c r="M60" s="39">
        <f t="shared" si="60"/>
        <v>6237.341369</v>
      </c>
      <c r="N60" s="38">
        <f t="shared" si="5"/>
        <v>0.5260387586</v>
      </c>
      <c r="O60" s="40">
        <f t="shared" si="6"/>
        <v>-0.9976208622</v>
      </c>
      <c r="P60" s="12">
        <v>0.48532856486987</v>
      </c>
      <c r="Q60" s="12">
        <v>0.566401464664221</v>
      </c>
      <c r="R60" s="41">
        <v>0.79085</v>
      </c>
    </row>
    <row r="61" ht="15.0" customHeight="1">
      <c r="A61" s="4" t="s">
        <v>66</v>
      </c>
      <c r="B61" s="4" t="s">
        <v>202</v>
      </c>
      <c r="C61" s="12">
        <v>0.358796296296296</v>
      </c>
      <c r="D61" s="12">
        <v>0.385394456289979</v>
      </c>
      <c r="E61" s="37">
        <v>5628.0</v>
      </c>
      <c r="F61" s="38">
        <f>Assumptions!$B$5*C61+(1-Assumptions!$B$5)*D61</f>
        <v>0.3720953763</v>
      </c>
      <c r="G61" s="39">
        <f>E61*Assumptions!$B$4</f>
        <v>4558.68</v>
      </c>
      <c r="H61" s="39">
        <f t="shared" si="2"/>
        <v>1696.26375</v>
      </c>
      <c r="I61" s="39">
        <f t="shared" si="3"/>
        <v>2862.41625</v>
      </c>
      <c r="J61" s="39">
        <f t="array" ref="J61">INDEX('Mail Projection'!$B$29:$B$32,MATCH(A61,'Mail Projection'!$A$29:$A$32,0))*H61/SUMIF($A$5:$A$93,A61,$H$5:$H$93)</f>
        <v>49.12008204</v>
      </c>
      <c r="K61" s="39">
        <f t="array" ref="K61">INDEX('Mail Projection'!$C$29:$C$32,MATCH(A61,'Mail Projection'!$A$29:$A$32,0))*I61/SUMIF($A$5:$A$93,A61,$I$5:$I$93)</f>
        <v>-10.58458922</v>
      </c>
      <c r="L61" s="39">
        <f t="shared" ref="L61:M61" si="61">H61+J61</f>
        <v>1745.383832</v>
      </c>
      <c r="M61" s="39">
        <f t="shared" si="61"/>
        <v>2851.831661</v>
      </c>
      <c r="N61" s="38">
        <f t="shared" si="5"/>
        <v>0.3796610872</v>
      </c>
      <c r="O61" s="40">
        <f t="shared" si="6"/>
        <v>-0.5733369102</v>
      </c>
      <c r="P61" s="12">
        <v>0.338337272510748</v>
      </c>
      <c r="Q61" s="12">
        <v>0.420032130362981</v>
      </c>
      <c r="R61" s="41">
        <v>5.0E-5</v>
      </c>
    </row>
    <row r="62" ht="15.0" customHeight="1">
      <c r="A62" s="4" t="s">
        <v>66</v>
      </c>
      <c r="B62" s="4" t="s">
        <v>203</v>
      </c>
      <c r="C62" s="12">
        <v>0.319672131147541</v>
      </c>
      <c r="D62" s="12">
        <v>0.32520325203252</v>
      </c>
      <c r="E62" s="37">
        <v>123.0</v>
      </c>
      <c r="F62" s="38">
        <f>Assumptions!$B$5*C62+(1-Assumptions!$B$5)*D62</f>
        <v>0.3224376916</v>
      </c>
      <c r="G62" s="39">
        <f>E62*Assumptions!$B$4</f>
        <v>99.63</v>
      </c>
      <c r="H62" s="39">
        <f t="shared" si="2"/>
        <v>32.12446721</v>
      </c>
      <c r="I62" s="39">
        <f t="shared" si="3"/>
        <v>67.50553279</v>
      </c>
      <c r="J62" s="39">
        <f t="array" ref="J62">INDEX('Mail Projection'!$B$29:$B$32,MATCH(A62,'Mail Projection'!$A$29:$A$32,0))*H62/SUMIF($A$5:$A$93,A62,$H$5:$H$93)</f>
        <v>0.9302541926</v>
      </c>
      <c r="K62" s="39">
        <f t="array" ref="K62">INDEX('Mail Projection'!$C$29:$C$32,MATCH(A62,'Mail Projection'!$A$29:$A$32,0))*I62/SUMIF($A$5:$A$93,A62,$I$5:$I$93)</f>
        <v>-0.2496206952</v>
      </c>
      <c r="L62" s="39">
        <f t="shared" ref="L62:M62" si="62">H62+J62</f>
        <v>33.05472141</v>
      </c>
      <c r="M62" s="39">
        <f t="shared" si="62"/>
        <v>67.25591209</v>
      </c>
      <c r="N62" s="38">
        <f t="shared" si="5"/>
        <v>0.3295236034</v>
      </c>
      <c r="O62" s="40">
        <f t="shared" si="6"/>
        <v>0.4320351331</v>
      </c>
      <c r="P62" s="12">
        <v>0.288596724927768</v>
      </c>
      <c r="Q62" s="12">
        <v>0.36963573739721</v>
      </c>
      <c r="R62" s="41">
        <v>0.0</v>
      </c>
    </row>
    <row r="63" ht="15.0" customHeight="1">
      <c r="A63" s="4" t="s">
        <v>66</v>
      </c>
      <c r="B63" s="4" t="s">
        <v>204</v>
      </c>
      <c r="C63" s="12">
        <v>0.406055209260908</v>
      </c>
      <c r="D63" s="12">
        <v>0.431019459773453</v>
      </c>
      <c r="E63" s="37">
        <v>3443.0</v>
      </c>
      <c r="F63" s="38">
        <f>Assumptions!$B$5*C63+(1-Assumptions!$B$5)*D63</f>
        <v>0.4185373345</v>
      </c>
      <c r="G63" s="39">
        <f>E63*Assumptions!$B$4</f>
        <v>2788.83</v>
      </c>
      <c r="H63" s="39">
        <f t="shared" si="2"/>
        <v>1167.229475</v>
      </c>
      <c r="I63" s="39">
        <f t="shared" si="3"/>
        <v>1621.600525</v>
      </c>
      <c r="J63" s="39">
        <f t="array" ref="J63">INDEX('Mail Projection'!$B$29:$B$32,MATCH(A63,'Mail Projection'!$A$29:$A$32,0))*H63/SUMIF($A$5:$A$93,A63,$H$5:$H$93)</f>
        <v>33.80040843</v>
      </c>
      <c r="K63" s="39">
        <f t="array" ref="K63">INDEX('Mail Projection'!$C$29:$C$32,MATCH(A63,'Mail Projection'!$A$29:$A$32,0))*I63/SUMIF($A$5:$A$93,A63,$I$5:$I$93)</f>
        <v>-5.996324061</v>
      </c>
      <c r="L63" s="39">
        <f t="shared" ref="L63:M63" si="63">H63+J63</f>
        <v>1201.029883</v>
      </c>
      <c r="M63" s="39">
        <f t="shared" si="63"/>
        <v>1615.604201</v>
      </c>
      <c r="N63" s="38">
        <f t="shared" si="5"/>
        <v>0.4264060744</v>
      </c>
      <c r="O63" s="40">
        <f t="shared" si="6"/>
        <v>-0.4613385332</v>
      </c>
      <c r="P63" s="12">
        <v>0.385221711251971</v>
      </c>
      <c r="Q63" s="12">
        <v>0.467135662154264</v>
      </c>
      <c r="R63" s="41">
        <v>0.0089</v>
      </c>
    </row>
    <row r="64" ht="15.0" customHeight="1">
      <c r="A64" s="4" t="s">
        <v>66</v>
      </c>
      <c r="B64" s="4" t="s">
        <v>205</v>
      </c>
      <c r="C64" s="12">
        <v>0.35812133072407</v>
      </c>
      <c r="D64" s="12">
        <v>0.41254752851711</v>
      </c>
      <c r="E64" s="37">
        <v>526.0</v>
      </c>
      <c r="F64" s="38">
        <f>Assumptions!$B$5*C64+(1-Assumptions!$B$5)*D64</f>
        <v>0.3853344296</v>
      </c>
      <c r="G64" s="39">
        <f>E64*Assumptions!$B$4</f>
        <v>426.06</v>
      </c>
      <c r="H64" s="39">
        <f t="shared" si="2"/>
        <v>164.1755871</v>
      </c>
      <c r="I64" s="39">
        <f t="shared" si="3"/>
        <v>261.8844129</v>
      </c>
      <c r="J64" s="39">
        <f t="array" ref="J64">INDEX('Mail Projection'!$B$29:$B$32,MATCH(A64,'Mail Projection'!$A$29:$A$32,0))*H64/SUMIF($A$5:$A$93,A64,$H$5:$H$93)</f>
        <v>4.754165328</v>
      </c>
      <c r="K64" s="39">
        <f t="array" ref="K64">INDEX('Mail Projection'!$C$29:$C$32,MATCH(A64,'Mail Projection'!$A$29:$A$32,0))*I64/SUMIF($A$5:$A$93,A64,$I$5:$I$93)</f>
        <v>-0.9683912787</v>
      </c>
      <c r="L64" s="39">
        <f t="shared" ref="L64:M64" si="64">H64+J64</f>
        <v>168.9297524</v>
      </c>
      <c r="M64" s="39">
        <f t="shared" si="64"/>
        <v>260.9160216</v>
      </c>
      <c r="N64" s="38">
        <f t="shared" si="5"/>
        <v>0.393000845</v>
      </c>
      <c r="O64" s="40">
        <f t="shared" si="6"/>
        <v>-1.954668354</v>
      </c>
      <c r="P64" s="12">
        <v>0.351917337882693</v>
      </c>
      <c r="Q64" s="12">
        <v>0.434003515846436</v>
      </c>
      <c r="R64" s="41">
        <v>2.0E-4</v>
      </c>
    </row>
    <row r="65" ht="15.0" customHeight="1">
      <c r="A65" s="4" t="s">
        <v>66</v>
      </c>
      <c r="B65" s="4" t="s">
        <v>206</v>
      </c>
      <c r="C65" s="12">
        <v>0.698699078909885</v>
      </c>
      <c r="D65" s="12">
        <v>0.697166957000092</v>
      </c>
      <c r="E65" s="37">
        <v>10907.0</v>
      </c>
      <c r="F65" s="38">
        <f>Assumptions!$B$5*C65+(1-Assumptions!$B$5)*D65</f>
        <v>0.697933018</v>
      </c>
      <c r="G65" s="39">
        <f>E65*Assumptions!$B$4</f>
        <v>8834.67</v>
      </c>
      <c r="H65" s="39">
        <f t="shared" si="2"/>
        <v>6166.007896</v>
      </c>
      <c r="I65" s="39">
        <f t="shared" si="3"/>
        <v>2668.662104</v>
      </c>
      <c r="J65" s="39">
        <f t="array" ref="J65">INDEX('Mail Projection'!$B$29:$B$32,MATCH(A65,'Mail Projection'!$A$29:$A$32,0))*H65/SUMIF($A$5:$A$93,A65,$H$5:$H$93)</f>
        <v>178.5540802</v>
      </c>
      <c r="K65" s="39">
        <f t="array" ref="K65">INDEX('Mail Projection'!$C$29:$C$32,MATCH(A65,'Mail Projection'!$A$29:$A$32,0))*I65/SUMIF($A$5:$A$93,A65,$I$5:$I$93)</f>
        <v>-9.868128763</v>
      </c>
      <c r="L65" s="39">
        <f t="shared" ref="L65:M65" si="65">H65+J65</f>
        <v>6344.561976</v>
      </c>
      <c r="M65" s="39">
        <f t="shared" si="65"/>
        <v>2658.793976</v>
      </c>
      <c r="N65" s="38">
        <f t="shared" si="5"/>
        <v>0.7046885639</v>
      </c>
      <c r="O65" s="40">
        <f t="shared" si="6"/>
        <v>0.7521606928</v>
      </c>
      <c r="P65" s="12">
        <v>0.664178684406709</v>
      </c>
      <c r="Q65" s="12">
        <v>0.744874288622134</v>
      </c>
      <c r="R65" s="41">
        <v>1.0</v>
      </c>
    </row>
    <row r="66" ht="15.0" customHeight="1">
      <c r="A66" s="4" t="s">
        <v>66</v>
      </c>
      <c r="B66" s="4" t="s">
        <v>207</v>
      </c>
      <c r="C66" s="12">
        <v>0.492363070337582</v>
      </c>
      <c r="D66" s="12">
        <v>0.515936446798267</v>
      </c>
      <c r="E66" s="37">
        <v>10385.0</v>
      </c>
      <c r="F66" s="38">
        <f>Assumptions!$B$5*C66+(1-Assumptions!$B$5)*D66</f>
        <v>0.5041497586</v>
      </c>
      <c r="G66" s="39">
        <f>E66*Assumptions!$B$4</f>
        <v>8411.85</v>
      </c>
      <c r="H66" s="39">
        <f t="shared" si="2"/>
        <v>4240.832147</v>
      </c>
      <c r="I66" s="39">
        <f t="shared" si="3"/>
        <v>4171.017853</v>
      </c>
      <c r="J66" s="39">
        <f t="array" ref="J66">INDEX('Mail Projection'!$B$29:$B$32,MATCH(A66,'Mail Projection'!$A$29:$A$32,0))*H66/SUMIF($A$5:$A$93,A66,$H$5:$H$93)</f>
        <v>122.8052082</v>
      </c>
      <c r="K66" s="39">
        <f t="array" ref="K66">INDEX('Mail Projection'!$C$29:$C$32,MATCH(A66,'Mail Projection'!$A$29:$A$32,0))*I66/SUMIF($A$5:$A$93,A66,$I$5:$I$93)</f>
        <v>-15.42351172</v>
      </c>
      <c r="L66" s="39">
        <f t="shared" ref="L66:M66" si="66">H66+J66</f>
        <v>4363.637355</v>
      </c>
      <c r="M66" s="39">
        <f t="shared" si="66"/>
        <v>4155.594342</v>
      </c>
      <c r="N66" s="38">
        <f t="shared" si="5"/>
        <v>0.5122101981</v>
      </c>
      <c r="O66" s="40">
        <f t="shared" si="6"/>
        <v>-0.372624871</v>
      </c>
      <c r="P66" s="12">
        <v>0.471241216087363</v>
      </c>
      <c r="Q66" s="12">
        <v>0.552852069426764</v>
      </c>
      <c r="R66" s="41">
        <v>0.6491</v>
      </c>
    </row>
    <row r="67" ht="15.0" customHeight="1">
      <c r="A67" s="4" t="s">
        <v>66</v>
      </c>
      <c r="B67" s="4" t="s">
        <v>208</v>
      </c>
      <c r="C67" s="12">
        <v>0.544303797468354</v>
      </c>
      <c r="D67" s="12">
        <v>0.595993322203673</v>
      </c>
      <c r="E67" s="37">
        <v>1198.0</v>
      </c>
      <c r="F67" s="38">
        <f>Assumptions!$B$5*C67+(1-Assumptions!$B$5)*D67</f>
        <v>0.5701485598</v>
      </c>
      <c r="G67" s="39">
        <f>E67*Assumptions!$B$4</f>
        <v>970.38</v>
      </c>
      <c r="H67" s="39">
        <f t="shared" si="2"/>
        <v>553.2607595</v>
      </c>
      <c r="I67" s="39">
        <f t="shared" si="3"/>
        <v>417.1192405</v>
      </c>
      <c r="J67" s="39">
        <f t="array" ref="J67">INDEX('Mail Projection'!$B$29:$B$32,MATCH(A67,'Mail Projection'!$A$29:$A$32,0))*H67/SUMIF($A$5:$A$93,A67,$H$5:$H$93)</f>
        <v>16.02121952</v>
      </c>
      <c r="K67" s="39">
        <f t="array" ref="K67">INDEX('Mail Projection'!$C$29:$C$32,MATCH(A67,'Mail Projection'!$A$29:$A$32,0))*I67/SUMIF($A$5:$A$93,A67,$I$5:$I$93)</f>
        <v>-1.542415718</v>
      </c>
      <c r="L67" s="39">
        <f t="shared" ref="L67:M67" si="67">H67+J67</f>
        <v>569.281979</v>
      </c>
      <c r="M67" s="39">
        <f t="shared" si="67"/>
        <v>415.5768248</v>
      </c>
      <c r="N67" s="38">
        <f t="shared" si="5"/>
        <v>0.5780341068</v>
      </c>
      <c r="O67" s="40">
        <f t="shared" si="6"/>
        <v>-1.795921537</v>
      </c>
      <c r="P67" s="12">
        <v>0.536822921574499</v>
      </c>
      <c r="Q67" s="12">
        <v>0.618787313375101</v>
      </c>
      <c r="R67" s="41">
        <v>0.99225</v>
      </c>
    </row>
    <row r="68" ht="15.0" customHeight="1">
      <c r="A68" s="4" t="s">
        <v>66</v>
      </c>
      <c r="B68" s="4" t="s">
        <v>209</v>
      </c>
      <c r="C68" s="12">
        <v>0.473170731707317</v>
      </c>
      <c r="D68" s="12">
        <v>0.529126213592233</v>
      </c>
      <c r="E68" s="37">
        <v>206.0</v>
      </c>
      <c r="F68" s="38">
        <f>Assumptions!$B$5*C68+(1-Assumptions!$B$5)*D68</f>
        <v>0.5011484726</v>
      </c>
      <c r="G68" s="39">
        <f>E68*Assumptions!$B$4</f>
        <v>166.86</v>
      </c>
      <c r="H68" s="39">
        <f t="shared" si="2"/>
        <v>83.62163415</v>
      </c>
      <c r="I68" s="39">
        <f t="shared" si="3"/>
        <v>83.23836585</v>
      </c>
      <c r="J68" s="39">
        <f t="array" ref="J68">INDEX('Mail Projection'!$B$29:$B$32,MATCH(A68,'Mail Projection'!$A$29:$A$32,0))*H68/SUMIF($A$5:$A$93,A68,$H$5:$H$93)</f>
        <v>2.421499328</v>
      </c>
      <c r="K68" s="39">
        <f t="array" ref="K68">INDEX('Mail Projection'!$C$29:$C$32,MATCH(A68,'Mail Projection'!$A$29:$A$32,0))*I68/SUMIF($A$5:$A$93,A68,$I$5:$I$93)</f>
        <v>-0.3077972708</v>
      </c>
      <c r="L68" s="39">
        <f t="shared" ref="L68:M68" si="68">H68+J68</f>
        <v>86.04313347</v>
      </c>
      <c r="M68" s="39">
        <f t="shared" si="68"/>
        <v>82.93056858</v>
      </c>
      <c r="N68" s="38">
        <f t="shared" si="5"/>
        <v>0.5092102051</v>
      </c>
      <c r="O68" s="40">
        <f t="shared" si="6"/>
        <v>-1.991600853</v>
      </c>
      <c r="P68" s="12">
        <v>0.467660699922556</v>
      </c>
      <c r="Q68" s="12">
        <v>0.550104982104747</v>
      </c>
      <c r="R68" s="41">
        <v>0.6089</v>
      </c>
    </row>
    <row r="69" ht="15.0" customHeight="1">
      <c r="A69" s="4" t="s">
        <v>66</v>
      </c>
      <c r="B69" s="4" t="s">
        <v>178</v>
      </c>
      <c r="C69" s="12">
        <v>0.511572327044025</v>
      </c>
      <c r="D69" s="12">
        <v>0.545283255872378</v>
      </c>
      <c r="E69" s="37">
        <v>7961.0</v>
      </c>
      <c r="F69" s="38">
        <f>Assumptions!$B$5*C69+(1-Assumptions!$B$5)*D69</f>
        <v>0.5284277915</v>
      </c>
      <c r="G69" s="39">
        <f>E69*Assumptions!$B$4</f>
        <v>6448.41</v>
      </c>
      <c r="H69" s="39">
        <f t="shared" si="2"/>
        <v>3407.519055</v>
      </c>
      <c r="I69" s="39">
        <f t="shared" si="3"/>
        <v>3040.890945</v>
      </c>
      <c r="J69" s="39">
        <f t="array" ref="J69">INDEX('Mail Projection'!$B$29:$B$32,MATCH(A69,'Mail Projection'!$A$29:$A$32,0))*H69/SUMIF($A$5:$A$93,A69,$H$5:$H$93)</f>
        <v>98.67428667</v>
      </c>
      <c r="K69" s="39">
        <f t="array" ref="K69">INDEX('Mail Projection'!$C$29:$C$32,MATCH(A69,'Mail Projection'!$A$29:$A$32,0))*I69/SUMIF($A$5:$A$93,A69,$I$5:$I$93)</f>
        <v>-11.2445496</v>
      </c>
      <c r="L69" s="39">
        <f t="shared" ref="L69:M69" si="69">H69+J69</f>
        <v>3506.193341</v>
      </c>
      <c r="M69" s="39">
        <f t="shared" si="69"/>
        <v>3029.646396</v>
      </c>
      <c r="N69" s="38">
        <f t="shared" si="5"/>
        <v>0.5364564436</v>
      </c>
      <c r="O69" s="40">
        <f t="shared" si="6"/>
        <v>-0.8826812257</v>
      </c>
      <c r="P69" s="12">
        <v>0.49555162163297</v>
      </c>
      <c r="Q69" s="12">
        <v>0.576984194282401</v>
      </c>
      <c r="R69" s="41">
        <v>0.8727</v>
      </c>
    </row>
    <row r="70" ht="15.0" customHeight="1">
      <c r="A70" s="4" t="s">
        <v>66</v>
      </c>
      <c r="B70" s="4" t="s">
        <v>210</v>
      </c>
      <c r="C70" s="12">
        <v>0.491363907087552</v>
      </c>
      <c r="D70" s="12">
        <v>0.506009967751393</v>
      </c>
      <c r="E70" s="37">
        <v>3411.0</v>
      </c>
      <c r="F70" s="38">
        <f>Assumptions!$B$5*C70+(1-Assumptions!$B$5)*D70</f>
        <v>0.4986869374</v>
      </c>
      <c r="G70" s="39">
        <f>E70*Assumptions!$B$4</f>
        <v>2762.91</v>
      </c>
      <c r="H70" s="39">
        <f t="shared" si="2"/>
        <v>1377.827126</v>
      </c>
      <c r="I70" s="39">
        <f t="shared" si="3"/>
        <v>1385.082874</v>
      </c>
      <c r="J70" s="39">
        <f t="array" ref="J70">INDEX('Mail Projection'!$B$29:$B$32,MATCH(A70,'Mail Projection'!$A$29:$A$32,0))*H70/SUMIF($A$5:$A$93,A70,$H$5:$H$93)</f>
        <v>39.89885505</v>
      </c>
      <c r="K70" s="39">
        <f t="array" ref="K70">INDEX('Mail Projection'!$C$29:$C$32,MATCH(A70,'Mail Projection'!$A$29:$A$32,0))*I70/SUMIF($A$5:$A$93,A70,$I$5:$I$93)</f>
        <v>-5.121733517</v>
      </c>
      <c r="L70" s="39">
        <f t="shared" ref="L70:M70" si="70">H70+J70</f>
        <v>1417.725981</v>
      </c>
      <c r="M70" s="39">
        <f t="shared" si="70"/>
        <v>1379.96114</v>
      </c>
      <c r="N70" s="38">
        <f t="shared" si="5"/>
        <v>0.5067492967</v>
      </c>
      <c r="O70" s="40">
        <f t="shared" si="6"/>
        <v>0.07393289813</v>
      </c>
      <c r="P70" s="12">
        <v>0.46554911268388</v>
      </c>
      <c r="Q70" s="12">
        <v>0.547154258820829</v>
      </c>
      <c r="R70" s="41">
        <v>0.58425</v>
      </c>
    </row>
    <row r="71" ht="15.0" customHeight="1">
      <c r="A71" s="4" t="s">
        <v>66</v>
      </c>
      <c r="B71" s="4" t="s">
        <v>211</v>
      </c>
      <c r="C71" s="12">
        <v>0.310075187969925</v>
      </c>
      <c r="D71" s="12">
        <v>0.335777345503516</v>
      </c>
      <c r="E71" s="37">
        <v>6683.0</v>
      </c>
      <c r="F71" s="38">
        <f>Assumptions!$B$5*C71+(1-Assumptions!$B$5)*D71</f>
        <v>0.3229262667</v>
      </c>
      <c r="G71" s="39">
        <f>E71*Assumptions!$B$4</f>
        <v>5413.23</v>
      </c>
      <c r="H71" s="39">
        <f t="shared" si="2"/>
        <v>1748.074155</v>
      </c>
      <c r="I71" s="39">
        <f t="shared" si="3"/>
        <v>3665.155845</v>
      </c>
      <c r="J71" s="39">
        <f t="array" ref="J71">INDEX('Mail Projection'!$B$29:$B$32,MATCH(A71,'Mail Projection'!$A$29:$A$32,0))*H71/SUMIF($A$5:$A$93,A71,$H$5:$H$93)</f>
        <v>50.62039786</v>
      </c>
      <c r="K71" s="39">
        <f t="array" ref="K71">INDEX('Mail Projection'!$C$29:$C$32,MATCH(A71,'Mail Projection'!$A$29:$A$32,0))*I71/SUMIF($A$5:$A$93,A71,$I$5:$I$93)</f>
        <v>-13.55294466</v>
      </c>
      <c r="L71" s="39">
        <f t="shared" ref="L71:M71" si="71">H71+J71</f>
        <v>1798.694553</v>
      </c>
      <c r="M71" s="39">
        <f t="shared" si="71"/>
        <v>3651.6029</v>
      </c>
      <c r="N71" s="38">
        <f t="shared" si="5"/>
        <v>0.3300176859</v>
      </c>
      <c r="O71" s="40">
        <f t="shared" si="6"/>
        <v>-0.5759659644</v>
      </c>
      <c r="P71" s="12">
        <v>0.289492121427655</v>
      </c>
      <c r="Q71" s="12">
        <v>0.370103661260964</v>
      </c>
      <c r="R71" s="41">
        <v>0.0</v>
      </c>
    </row>
    <row r="72" ht="15.0" customHeight="1">
      <c r="A72" s="4" t="s">
        <v>66</v>
      </c>
      <c r="B72" s="4" t="s">
        <v>212</v>
      </c>
      <c r="C72" s="12">
        <v>0.323283082077052</v>
      </c>
      <c r="D72" s="12">
        <v>0.339858618814573</v>
      </c>
      <c r="E72" s="37">
        <v>1839.0</v>
      </c>
      <c r="F72" s="38">
        <f>Assumptions!$B$5*C72+(1-Assumptions!$B$5)*D72</f>
        <v>0.3315708504</v>
      </c>
      <c r="G72" s="39">
        <f>E72*Assumptions!$B$4</f>
        <v>1489.59</v>
      </c>
      <c r="H72" s="39">
        <f t="shared" si="2"/>
        <v>493.9046231</v>
      </c>
      <c r="I72" s="39">
        <f t="shared" si="3"/>
        <v>995.6853769</v>
      </c>
      <c r="J72" s="39">
        <f t="array" ref="J72">INDEX('Mail Projection'!$B$29:$B$32,MATCH(A72,'Mail Projection'!$A$29:$A$32,0))*H72/SUMIF($A$5:$A$93,A72,$H$5:$H$93)</f>
        <v>14.30239584</v>
      </c>
      <c r="K72" s="39">
        <f t="array" ref="K72">INDEX('Mail Projection'!$C$29:$C$32,MATCH(A72,'Mail Projection'!$A$29:$A$32,0))*I72/SUMIF($A$5:$A$93,A72,$I$5:$I$93)</f>
        <v>-3.681826744</v>
      </c>
      <c r="L72" s="39">
        <f t="shared" ref="L72:M72" si="72">H72+J72</f>
        <v>508.207019</v>
      </c>
      <c r="M72" s="39">
        <f t="shared" si="72"/>
        <v>992.0035501</v>
      </c>
      <c r="N72" s="38">
        <f t="shared" si="5"/>
        <v>0.3387571248</v>
      </c>
      <c r="O72" s="40">
        <f t="shared" si="6"/>
        <v>-0.110149403</v>
      </c>
      <c r="P72" s="12">
        <v>0.297921533745194</v>
      </c>
      <c r="Q72" s="12">
        <v>0.37879535467959</v>
      </c>
      <c r="R72" s="41">
        <v>0.0</v>
      </c>
    </row>
    <row r="73" ht="15.0" customHeight="1">
      <c r="A73" s="4" t="s">
        <v>66</v>
      </c>
      <c r="B73" s="4" t="s">
        <v>213</v>
      </c>
      <c r="C73" s="12">
        <v>0.41304347826087</v>
      </c>
      <c r="D73" s="12">
        <v>0.450285965684118</v>
      </c>
      <c r="E73" s="37">
        <v>4546.0</v>
      </c>
      <c r="F73" s="38">
        <f>Assumptions!$B$5*C73+(1-Assumptions!$B$5)*D73</f>
        <v>0.431664722</v>
      </c>
      <c r="G73" s="39">
        <f>E73*Assumptions!$B$4</f>
        <v>3682.26</v>
      </c>
      <c r="H73" s="39">
        <f t="shared" si="2"/>
        <v>1589.501739</v>
      </c>
      <c r="I73" s="39">
        <f t="shared" si="3"/>
        <v>2092.758261</v>
      </c>
      <c r="J73" s="39">
        <f t="array" ref="J73">INDEX('Mail Projection'!$B$29:$B$32,MATCH(A73,'Mail Projection'!$A$29:$A$32,0))*H73/SUMIF($A$5:$A$93,A73,$H$5:$H$93)</f>
        <v>46.0284881</v>
      </c>
      <c r="K73" s="39">
        <f t="array" ref="K73">INDEX('Mail Projection'!$C$29:$C$32,MATCH(A73,'Mail Projection'!$A$29:$A$32,0))*I73/SUMIF($A$5:$A$93,A73,$I$5:$I$93)</f>
        <v>-7.738562314</v>
      </c>
      <c r="L73" s="39">
        <f t="shared" ref="L73:M73" si="73">H73+J73</f>
        <v>1635.530227</v>
      </c>
      <c r="M73" s="39">
        <f t="shared" si="73"/>
        <v>2085.019699</v>
      </c>
      <c r="N73" s="38">
        <f t="shared" si="5"/>
        <v>0.4395936783</v>
      </c>
      <c r="O73" s="40">
        <f t="shared" si="6"/>
        <v>-1.069228737</v>
      </c>
      <c r="P73" s="12">
        <v>0.397970324961885</v>
      </c>
      <c r="Q73" s="12">
        <v>0.480407441176532</v>
      </c>
      <c r="R73" s="41">
        <v>0.02675</v>
      </c>
    </row>
    <row r="74" ht="15.0" customHeight="1">
      <c r="A74" s="4" t="s">
        <v>66</v>
      </c>
      <c r="B74" s="4" t="s">
        <v>214</v>
      </c>
      <c r="C74" s="12">
        <v>0.453689602658175</v>
      </c>
      <c r="D74" s="12">
        <v>0.476039658496282</v>
      </c>
      <c r="E74" s="37">
        <v>7262.0</v>
      </c>
      <c r="F74" s="38">
        <f>Assumptions!$B$5*C74+(1-Assumptions!$B$5)*D74</f>
        <v>0.4648646306</v>
      </c>
      <c r="G74" s="39">
        <f>E74*Assumptions!$B$4</f>
        <v>5882.22</v>
      </c>
      <c r="H74" s="39">
        <f t="shared" si="2"/>
        <v>2734.436027</v>
      </c>
      <c r="I74" s="39">
        <f t="shared" si="3"/>
        <v>3147.783973</v>
      </c>
      <c r="J74" s="39">
        <f t="array" ref="J74">INDEX('Mail Projection'!$B$29:$B$32,MATCH(A74,'Mail Projection'!$A$29:$A$32,0))*H74/SUMIF($A$5:$A$93,A74,$H$5:$H$93)</f>
        <v>79.18327678</v>
      </c>
      <c r="K74" s="39">
        <f t="array" ref="K74">INDEX('Mail Projection'!$C$29:$C$32,MATCH(A74,'Mail Projection'!$A$29:$A$32,0))*I74/SUMIF($A$5:$A$93,A74,$I$5:$I$93)</f>
        <v>-11.63981664</v>
      </c>
      <c r="L74" s="39">
        <f t="shared" ref="L74:M74" si="74">H74+J74</f>
        <v>2813.619304</v>
      </c>
      <c r="M74" s="39">
        <f t="shared" si="74"/>
        <v>3136.144156</v>
      </c>
      <c r="N74" s="38">
        <f t="shared" si="5"/>
        <v>0.4728959937</v>
      </c>
      <c r="O74" s="40">
        <f t="shared" si="6"/>
        <v>-0.3143664748</v>
      </c>
      <c r="P74" s="12">
        <v>0.431834182623369</v>
      </c>
      <c r="Q74" s="12">
        <v>0.51336130013718</v>
      </c>
      <c r="R74" s="41">
        <v>0.19405</v>
      </c>
    </row>
    <row r="75" ht="15.0" customHeight="1">
      <c r="A75" s="4" t="s">
        <v>66</v>
      </c>
      <c r="B75" s="4" t="s">
        <v>215</v>
      </c>
      <c r="C75" s="12">
        <v>0.309231545316967</v>
      </c>
      <c r="D75" s="12">
        <v>0.330859310572324</v>
      </c>
      <c r="E75" s="37">
        <v>6063.0</v>
      </c>
      <c r="F75" s="38">
        <f>Assumptions!$B$5*C75+(1-Assumptions!$B$5)*D75</f>
        <v>0.3200454279</v>
      </c>
      <c r="G75" s="39">
        <f>E75*Assumptions!$B$4</f>
        <v>4911.03</v>
      </c>
      <c r="H75" s="39">
        <f t="shared" si="2"/>
        <v>1571.752698</v>
      </c>
      <c r="I75" s="39">
        <f t="shared" si="3"/>
        <v>3339.277302</v>
      </c>
      <c r="J75" s="39">
        <f t="array" ref="J75">INDEX('Mail Projection'!$B$29:$B$32,MATCH(A75,'Mail Projection'!$A$29:$A$32,0))*H75/SUMIF($A$5:$A$93,A75,$H$5:$H$93)</f>
        <v>45.51451476</v>
      </c>
      <c r="K75" s="39">
        <f t="array" ref="K75">INDEX('Mail Projection'!$C$29:$C$32,MATCH(A75,'Mail Projection'!$A$29:$A$32,0))*I75/SUMIF($A$5:$A$93,A75,$I$5:$I$93)</f>
        <v>-12.34791709</v>
      </c>
      <c r="L75" s="39">
        <f t="shared" ref="L75:M75" si="75">H75+J75</f>
        <v>1617.267213</v>
      </c>
      <c r="M75" s="39">
        <f t="shared" si="75"/>
        <v>3326.929385</v>
      </c>
      <c r="N75" s="38">
        <f t="shared" si="5"/>
        <v>0.3271041474</v>
      </c>
      <c r="O75" s="40">
        <f t="shared" si="6"/>
        <v>-0.3755163153</v>
      </c>
      <c r="P75" s="12">
        <v>0.286292180963079</v>
      </c>
      <c r="Q75" s="12">
        <v>0.367594550045601</v>
      </c>
      <c r="R75" s="41">
        <v>0.0</v>
      </c>
    </row>
    <row r="76" ht="15.0" customHeight="1">
      <c r="A76" s="4" t="s">
        <v>66</v>
      </c>
      <c r="B76" s="4" t="s">
        <v>216</v>
      </c>
      <c r="C76" s="12">
        <v>0.476942514213519</v>
      </c>
      <c r="D76" s="12">
        <v>0.489570552147239</v>
      </c>
      <c r="E76" s="37">
        <v>3260.0</v>
      </c>
      <c r="F76" s="38">
        <f>Assumptions!$B$5*C76+(1-Assumptions!$B$5)*D76</f>
        <v>0.4832565332</v>
      </c>
      <c r="G76" s="39">
        <f>E76*Assumptions!$B$4</f>
        <v>2640.6</v>
      </c>
      <c r="H76" s="39">
        <f t="shared" si="2"/>
        <v>1276.087202</v>
      </c>
      <c r="I76" s="39">
        <f t="shared" si="3"/>
        <v>1364.512798</v>
      </c>
      <c r="J76" s="39">
        <f t="array" ref="J76">INDEX('Mail Projection'!$B$29:$B$32,MATCH(A76,'Mail Projection'!$A$29:$A$32,0))*H76/SUMIF($A$5:$A$93,A76,$H$5:$H$93)</f>
        <v>36.95268972</v>
      </c>
      <c r="K76" s="39">
        <f t="array" ref="K76">INDEX('Mail Projection'!$C$29:$C$32,MATCH(A76,'Mail Projection'!$A$29:$A$32,0))*I76/SUMIF($A$5:$A$93,A76,$I$5:$I$93)</f>
        <v>-5.045669878</v>
      </c>
      <c r="L76" s="39">
        <f t="shared" ref="L76:M76" si="76">H76+J76</f>
        <v>1313.039891</v>
      </c>
      <c r="M76" s="39">
        <f t="shared" si="76"/>
        <v>1359.467129</v>
      </c>
      <c r="N76" s="38">
        <f t="shared" si="5"/>
        <v>0.4913139167</v>
      </c>
      <c r="O76" s="40">
        <f t="shared" si="6"/>
        <v>0.1743364519</v>
      </c>
      <c r="P76" s="12">
        <v>0.450096718978429</v>
      </c>
      <c r="Q76" s="12">
        <v>0.531559809005009</v>
      </c>
      <c r="R76" s="41">
        <v>0.39465</v>
      </c>
    </row>
    <row r="77" ht="15.0" customHeight="1">
      <c r="A77" s="4" t="s">
        <v>66</v>
      </c>
      <c r="B77" s="4" t="s">
        <v>217</v>
      </c>
      <c r="C77" s="12">
        <v>0.469859154929577</v>
      </c>
      <c r="D77" s="12">
        <v>0.487903225806452</v>
      </c>
      <c r="E77" s="37">
        <v>1736.0</v>
      </c>
      <c r="F77" s="38">
        <f>Assumptions!$B$5*C77+(1-Assumptions!$B$5)*D77</f>
        <v>0.4788811904</v>
      </c>
      <c r="G77" s="39">
        <f>E77*Assumptions!$B$4</f>
        <v>1406.16</v>
      </c>
      <c r="H77" s="39">
        <f t="shared" si="2"/>
        <v>673.3835746</v>
      </c>
      <c r="I77" s="39">
        <f t="shared" si="3"/>
        <v>732.7764254</v>
      </c>
      <c r="J77" s="39">
        <f t="array" ref="J77">INDEX('Mail Projection'!$B$29:$B$32,MATCH(A77,'Mail Projection'!$A$29:$A$32,0))*H77/SUMIF($A$5:$A$93,A77,$H$5:$H$93)</f>
        <v>19.49971308</v>
      </c>
      <c r="K77" s="39">
        <f t="array" ref="K77">INDEX('Mail Projection'!$C$29:$C$32,MATCH(A77,'Mail Projection'!$A$29:$A$32,0))*I77/SUMIF($A$5:$A$93,A77,$I$5:$I$93)</f>
        <v>-2.709646946</v>
      </c>
      <c r="L77" s="39">
        <f t="shared" ref="L77:M77" si="77">H77+J77</f>
        <v>692.8832877</v>
      </c>
      <c r="M77" s="39">
        <f t="shared" si="77"/>
        <v>730.0667784</v>
      </c>
      <c r="N77" s="38">
        <f t="shared" si="5"/>
        <v>0.4869343656</v>
      </c>
      <c r="O77" s="40">
        <f t="shared" si="6"/>
        <v>-0.09688602102</v>
      </c>
      <c r="P77" s="12">
        <v>0.446341388971137</v>
      </c>
      <c r="Q77" s="12">
        <v>0.527281490008399</v>
      </c>
      <c r="R77" s="41">
        <v>0.34185</v>
      </c>
    </row>
    <row r="78" ht="15.0" customHeight="1">
      <c r="A78" s="4" t="s">
        <v>66</v>
      </c>
      <c r="B78" s="4" t="s">
        <v>218</v>
      </c>
      <c r="C78" s="12">
        <v>0.465988779803647</v>
      </c>
      <c r="D78" s="12">
        <v>0.459792709077913</v>
      </c>
      <c r="E78" s="37">
        <v>5596.0</v>
      </c>
      <c r="F78" s="38">
        <f>Assumptions!$B$5*C78+(1-Assumptions!$B$5)*D78</f>
        <v>0.4628907444</v>
      </c>
      <c r="G78" s="39">
        <f>E78*Assumptions!$B$4</f>
        <v>4532.76</v>
      </c>
      <c r="H78" s="39">
        <f t="shared" si="2"/>
        <v>2098.172651</v>
      </c>
      <c r="I78" s="39">
        <f t="shared" si="3"/>
        <v>2434.587349</v>
      </c>
      <c r="J78" s="39">
        <f t="array" ref="J78">INDEX('Mail Projection'!$B$29:$B$32,MATCH(A78,'Mail Projection'!$A$29:$A$32,0))*H78/SUMIF($A$5:$A$93,A78,$H$5:$H$93)</f>
        <v>60.75848331</v>
      </c>
      <c r="K78" s="39">
        <f t="array" ref="K78">INDEX('Mail Projection'!$C$29:$C$32,MATCH(A78,'Mail Projection'!$A$29:$A$32,0))*I78/SUMIF($A$5:$A$93,A78,$I$5:$I$93)</f>
        <v>-9.002571516</v>
      </c>
      <c r="L78" s="39">
        <f t="shared" ref="L78:M78" si="78">H78+J78</f>
        <v>2158.931134</v>
      </c>
      <c r="M78" s="39">
        <f t="shared" si="78"/>
        <v>2425.584778</v>
      </c>
      <c r="N78" s="38">
        <f t="shared" si="5"/>
        <v>0.4709180153</v>
      </c>
      <c r="O78" s="40">
        <f t="shared" si="6"/>
        <v>1.112530618</v>
      </c>
      <c r="P78" s="12">
        <v>0.429867657131299</v>
      </c>
      <c r="Q78" s="12">
        <v>0.511130511435581</v>
      </c>
      <c r="R78" s="41">
        <v>0.1793</v>
      </c>
    </row>
    <row r="79" ht="15.0" customHeight="1">
      <c r="A79" s="4" t="s">
        <v>66</v>
      </c>
      <c r="B79" s="4" t="s">
        <v>219</v>
      </c>
      <c r="C79" s="12">
        <v>0.492243004204727</v>
      </c>
      <c r="D79" s="12">
        <v>0.508679795769511</v>
      </c>
      <c r="E79" s="37">
        <v>13710.0</v>
      </c>
      <c r="F79" s="38">
        <f>Assumptions!$B$5*C79+(1-Assumptions!$B$5)*D79</f>
        <v>0.5004614</v>
      </c>
      <c r="G79" s="39">
        <f>E79*Assumptions!$B$4</f>
        <v>11105.1</v>
      </c>
      <c r="H79" s="39">
        <f t="shared" si="2"/>
        <v>5557.673893</v>
      </c>
      <c r="I79" s="39">
        <f t="shared" si="3"/>
        <v>5547.426107</v>
      </c>
      <c r="J79" s="39">
        <f t="array" ref="J79">INDEX('Mail Projection'!$B$29:$B$32,MATCH(A79,'Mail Projection'!$A$29:$A$32,0))*H79/SUMIF($A$5:$A$93,A79,$H$5:$H$93)</f>
        <v>160.9380603</v>
      </c>
      <c r="K79" s="39">
        <f t="array" ref="K79">INDEX('Mail Projection'!$C$29:$C$32,MATCH(A79,'Mail Projection'!$A$29:$A$32,0))*I79/SUMIF($A$5:$A$93,A79,$I$5:$I$93)</f>
        <v>-20.51316839</v>
      </c>
      <c r="L79" s="39">
        <f t="shared" ref="L79:M79" si="79">H79+J79</f>
        <v>5718.611953</v>
      </c>
      <c r="M79" s="39">
        <f t="shared" si="79"/>
        <v>5526.912939</v>
      </c>
      <c r="N79" s="38">
        <f t="shared" si="5"/>
        <v>0.5085233467</v>
      </c>
      <c r="O79" s="40">
        <f t="shared" si="6"/>
        <v>-0.01564490835</v>
      </c>
      <c r="P79" s="12">
        <v>0.467703146486077</v>
      </c>
      <c r="Q79" s="12">
        <v>0.548959700749446</v>
      </c>
      <c r="R79" s="41">
        <v>0.60715</v>
      </c>
    </row>
    <row r="80" ht="15.0" customHeight="1">
      <c r="A80" s="4" t="s">
        <v>66</v>
      </c>
      <c r="B80" s="4" t="s">
        <v>220</v>
      </c>
      <c r="C80" s="12">
        <v>0.363488624052004</v>
      </c>
      <c r="D80" s="12">
        <v>0.373340414232608</v>
      </c>
      <c r="E80" s="37">
        <v>1883.0</v>
      </c>
      <c r="F80" s="38">
        <f>Assumptions!$B$5*C80+(1-Assumptions!$B$5)*D80</f>
        <v>0.3684145191</v>
      </c>
      <c r="G80" s="39">
        <f>E80*Assumptions!$B$4</f>
        <v>1525.23</v>
      </c>
      <c r="H80" s="39">
        <f t="shared" si="2"/>
        <v>561.916877</v>
      </c>
      <c r="I80" s="39">
        <f t="shared" si="3"/>
        <v>963.313123</v>
      </c>
      <c r="J80" s="39">
        <f t="array" ref="J80">INDEX('Mail Projection'!$B$29:$B$32,MATCH(A80,'Mail Projection'!$A$29:$A$32,0))*H80/SUMIF($A$5:$A$93,A80,$H$5:$H$93)</f>
        <v>16.27188172</v>
      </c>
      <c r="K80" s="39">
        <f t="array" ref="K80">INDEX('Mail Projection'!$C$29:$C$32,MATCH(A80,'Mail Projection'!$A$29:$A$32,0))*I80/SUMIF($A$5:$A$93,A80,$I$5:$I$93)</f>
        <v>-3.56212123</v>
      </c>
      <c r="L80" s="39">
        <f t="shared" ref="L80:M80" si="80">H80+J80</f>
        <v>578.1887587</v>
      </c>
      <c r="M80" s="39">
        <f t="shared" si="80"/>
        <v>959.7510017</v>
      </c>
      <c r="N80" s="38">
        <f t="shared" si="5"/>
        <v>0.3759501988</v>
      </c>
      <c r="O80" s="40">
        <f t="shared" si="6"/>
        <v>0.2609784601</v>
      </c>
      <c r="P80" s="12">
        <v>0.334856612935455</v>
      </c>
      <c r="Q80" s="12">
        <v>0.416297821670287</v>
      </c>
      <c r="R80" s="41">
        <v>5.0E-5</v>
      </c>
    </row>
    <row r="81" ht="15.0" customHeight="1">
      <c r="A81" s="4" t="s">
        <v>66</v>
      </c>
      <c r="B81" s="4" t="s">
        <v>221</v>
      </c>
      <c r="C81" s="12">
        <v>0.309288787648697</v>
      </c>
      <c r="D81" s="12">
        <v>0.347016828148904</v>
      </c>
      <c r="E81" s="37">
        <v>3922.0</v>
      </c>
      <c r="F81" s="38">
        <f>Assumptions!$B$5*C81+(1-Assumptions!$B$5)*D81</f>
        <v>0.3281528079</v>
      </c>
      <c r="G81" s="39">
        <f>E81*Assumptions!$B$4</f>
        <v>3176.82</v>
      </c>
      <c r="H81" s="39">
        <f t="shared" si="2"/>
        <v>1042.482403</v>
      </c>
      <c r="I81" s="39">
        <f t="shared" si="3"/>
        <v>2134.337597</v>
      </c>
      <c r="J81" s="39">
        <f t="array" ref="J81">INDEX('Mail Projection'!$B$29:$B$32,MATCH(A81,'Mail Projection'!$A$29:$A$32,0))*H81/SUMIF($A$5:$A$93,A81,$H$5:$H$93)</f>
        <v>30.18800654</v>
      </c>
      <c r="K81" s="39">
        <f t="array" ref="K81">INDEX('Mail Projection'!$C$29:$C$32,MATCH(A81,'Mail Projection'!$A$29:$A$32,0))*I81/SUMIF($A$5:$A$93,A81,$I$5:$I$93)</f>
        <v>-7.892313604</v>
      </c>
      <c r="L81" s="39">
        <f t="shared" ref="L81:M81" si="81">H81+J81</f>
        <v>1072.67041</v>
      </c>
      <c r="M81" s="39">
        <f t="shared" si="81"/>
        <v>2126.445283</v>
      </c>
      <c r="N81" s="38">
        <f t="shared" si="5"/>
        <v>0.3353021624</v>
      </c>
      <c r="O81" s="40">
        <f t="shared" si="6"/>
        <v>-1.171466571</v>
      </c>
      <c r="P81" s="12">
        <v>0.294038159595304</v>
      </c>
      <c r="Q81" s="12">
        <v>0.375919302277849</v>
      </c>
      <c r="R81" s="41">
        <v>0.0</v>
      </c>
    </row>
    <row r="82" ht="15.0" customHeight="1">
      <c r="A82" s="4" t="s">
        <v>66</v>
      </c>
      <c r="B82" s="4" t="s">
        <v>222</v>
      </c>
      <c r="C82" s="12">
        <v>0.29718875502008</v>
      </c>
      <c r="D82" s="12">
        <v>0.355212355212355</v>
      </c>
      <c r="E82" s="37">
        <v>259.0</v>
      </c>
      <c r="F82" s="38">
        <f>Assumptions!$B$5*C82+(1-Assumptions!$B$5)*D82</f>
        <v>0.3262005551</v>
      </c>
      <c r="G82" s="39">
        <f>E82*Assumptions!$B$4</f>
        <v>209.79</v>
      </c>
      <c r="H82" s="39">
        <f t="shared" si="2"/>
        <v>68.43361446</v>
      </c>
      <c r="I82" s="39">
        <f t="shared" si="3"/>
        <v>141.3563855</v>
      </c>
      <c r="J82" s="39">
        <f t="array" ref="J82">INDEX('Mail Projection'!$B$29:$B$32,MATCH(A82,'Mail Projection'!$A$29:$A$32,0))*H82/SUMIF($A$5:$A$93,A82,$H$5:$H$93)</f>
        <v>1.981687551</v>
      </c>
      <c r="K82" s="39">
        <f t="array" ref="K82">INDEX('Mail Projection'!$C$29:$C$32,MATCH(A82,'Mail Projection'!$A$29:$A$32,0))*I82/SUMIF($A$5:$A$93,A82,$I$5:$I$93)</f>
        <v>-0.5227049958</v>
      </c>
      <c r="L82" s="39">
        <f t="shared" ref="L82:M82" si="82">H82+J82</f>
        <v>70.41530201</v>
      </c>
      <c r="M82" s="39">
        <f t="shared" si="82"/>
        <v>140.8336805</v>
      </c>
      <c r="N82" s="38">
        <f t="shared" si="5"/>
        <v>0.3333284788</v>
      </c>
      <c r="O82" s="40">
        <f t="shared" si="6"/>
        <v>-2.188387639</v>
      </c>
      <c r="P82" s="12">
        <v>0.291856010141453</v>
      </c>
      <c r="Q82" s="12">
        <v>0.3742809636606</v>
      </c>
      <c r="R82" s="41">
        <v>0.0</v>
      </c>
    </row>
    <row r="83" ht="15.0" customHeight="1">
      <c r="A83" s="4" t="s">
        <v>66</v>
      </c>
      <c r="B83" s="4" t="s">
        <v>223</v>
      </c>
      <c r="C83" s="12">
        <v>0.350858369098712</v>
      </c>
      <c r="D83" s="12">
        <v>0.365720524017467</v>
      </c>
      <c r="E83" s="37">
        <v>916.0</v>
      </c>
      <c r="F83" s="38">
        <f>Assumptions!$B$5*C83+(1-Assumptions!$B$5)*D83</f>
        <v>0.3582894466</v>
      </c>
      <c r="G83" s="39">
        <f>E83*Assumptions!$B$4</f>
        <v>741.96</v>
      </c>
      <c r="H83" s="39">
        <f t="shared" si="2"/>
        <v>265.8364378</v>
      </c>
      <c r="I83" s="39">
        <f t="shared" si="3"/>
        <v>476.1235622</v>
      </c>
      <c r="J83" s="39">
        <f t="array" ref="J83">INDEX('Mail Projection'!$B$29:$B$32,MATCH(A83,'Mail Projection'!$A$29:$A$32,0))*H83/SUMIF($A$5:$A$93,A83,$H$5:$H$93)</f>
        <v>7.698040846</v>
      </c>
      <c r="K83" s="39">
        <f t="array" ref="K83">INDEX('Mail Projection'!$C$29:$C$32,MATCH(A83,'Mail Projection'!$A$29:$A$32,0))*I83/SUMIF($A$5:$A$93,A83,$I$5:$I$93)</f>
        <v>-1.760600794</v>
      </c>
      <c r="L83" s="39">
        <f t="shared" ref="L83:M83" si="83">H83+J83</f>
        <v>273.5344786</v>
      </c>
      <c r="M83" s="39">
        <f t="shared" si="83"/>
        <v>474.3629614</v>
      </c>
      <c r="N83" s="38">
        <f t="shared" si="5"/>
        <v>0.3657379528</v>
      </c>
      <c r="O83" s="40">
        <f t="shared" si="6"/>
        <v>0.001742876299</v>
      </c>
      <c r="P83" s="12">
        <v>0.324543888194232</v>
      </c>
      <c r="Q83" s="12">
        <v>0.406206987195241</v>
      </c>
      <c r="R83" s="41">
        <v>0.0</v>
      </c>
    </row>
    <row r="84" ht="15.0" customHeight="1">
      <c r="A84" s="4" t="s">
        <v>66</v>
      </c>
      <c r="B84" s="4" t="s">
        <v>224</v>
      </c>
      <c r="C84" s="12">
        <v>0.381322957198444</v>
      </c>
      <c r="D84" s="12">
        <v>0.404624277456647</v>
      </c>
      <c r="E84" s="37">
        <v>519.0</v>
      </c>
      <c r="F84" s="38">
        <f>Assumptions!$B$5*C84+(1-Assumptions!$B$5)*D84</f>
        <v>0.3929736173</v>
      </c>
      <c r="G84" s="39">
        <f>E84*Assumptions!$B$4</f>
        <v>420.39</v>
      </c>
      <c r="H84" s="39">
        <f t="shared" si="2"/>
        <v>165.202179</v>
      </c>
      <c r="I84" s="39">
        <f t="shared" si="3"/>
        <v>255.187821</v>
      </c>
      <c r="J84" s="39">
        <f t="array" ref="J84">INDEX('Mail Projection'!$B$29:$B$32,MATCH(A84,'Mail Projection'!$A$29:$A$32,0))*H84/SUMIF($A$5:$A$93,A84,$H$5:$H$93)</f>
        <v>4.78389318</v>
      </c>
      <c r="K84" s="39">
        <f t="array" ref="K84">INDEX('Mail Projection'!$C$29:$C$32,MATCH(A84,'Mail Projection'!$A$29:$A$32,0))*I84/SUMIF($A$5:$A$93,A84,$I$5:$I$93)</f>
        <v>-0.9436287466</v>
      </c>
      <c r="L84" s="39">
        <f t="shared" ref="L84:M84" si="84">H84+J84</f>
        <v>169.9860722</v>
      </c>
      <c r="M84" s="39">
        <f t="shared" si="84"/>
        <v>254.2441923</v>
      </c>
      <c r="N84" s="38">
        <f t="shared" si="5"/>
        <v>0.4006929407</v>
      </c>
      <c r="O84" s="40">
        <f t="shared" si="6"/>
        <v>-0.3931336807</v>
      </c>
      <c r="P84" s="12">
        <v>0.359549863971484</v>
      </c>
      <c r="Q84" s="12">
        <v>0.441125440464122</v>
      </c>
      <c r="R84" s="41">
        <v>5.0E-4</v>
      </c>
    </row>
    <row r="85" ht="15.0" customHeight="1">
      <c r="A85" s="4" t="s">
        <v>66</v>
      </c>
      <c r="B85" s="4" t="s">
        <v>225</v>
      </c>
      <c r="C85" s="12">
        <v>0.402849740932643</v>
      </c>
      <c r="D85" s="12">
        <v>0.419518377693283</v>
      </c>
      <c r="E85" s="37">
        <v>789.0</v>
      </c>
      <c r="F85" s="38">
        <f>Assumptions!$B$5*C85+(1-Assumptions!$B$5)*D85</f>
        <v>0.4111840593</v>
      </c>
      <c r="G85" s="39">
        <f>E85*Assumptions!$B$4</f>
        <v>639.09</v>
      </c>
      <c r="H85" s="39">
        <f t="shared" si="2"/>
        <v>262.7836205</v>
      </c>
      <c r="I85" s="39">
        <f t="shared" si="3"/>
        <v>376.3063795</v>
      </c>
      <c r="J85" s="39">
        <f t="array" ref="J85">INDEX('Mail Projection'!$B$29:$B$32,MATCH(A85,'Mail Projection'!$A$29:$A$32,0))*H85/SUMIF($A$5:$A$93,A85,$H$5:$H$93)</f>
        <v>7.609637945</v>
      </c>
      <c r="K85" s="39">
        <f t="array" ref="K85">INDEX('Mail Projection'!$C$29:$C$32,MATCH(A85,'Mail Projection'!$A$29:$A$32,0))*I85/SUMIF($A$5:$A$93,A85,$I$5:$I$93)</f>
        <v>-1.391498685</v>
      </c>
      <c r="L85" s="39">
        <f t="shared" ref="L85:M85" si="85">H85+J85</f>
        <v>270.3932584</v>
      </c>
      <c r="M85" s="39">
        <f t="shared" si="85"/>
        <v>374.9148808</v>
      </c>
      <c r="N85" s="38">
        <f t="shared" si="5"/>
        <v>0.4190141763</v>
      </c>
      <c r="O85" s="40">
        <f t="shared" si="6"/>
        <v>-0.05042014249</v>
      </c>
      <c r="P85" s="12">
        <v>0.377957616288638</v>
      </c>
      <c r="Q85" s="12">
        <v>0.459312859624138</v>
      </c>
      <c r="R85" s="41">
        <v>0.00435</v>
      </c>
    </row>
    <row r="86" ht="15.0" customHeight="1">
      <c r="A86" s="4" t="s">
        <v>66</v>
      </c>
      <c r="B86" s="4" t="s">
        <v>226</v>
      </c>
      <c r="C86" s="12">
        <v>0.287713841368585</v>
      </c>
      <c r="D86" s="12">
        <v>0.313794845881759</v>
      </c>
      <c r="E86" s="37">
        <v>3958.0</v>
      </c>
      <c r="F86" s="38">
        <f>Assumptions!$B$5*C86+(1-Assumptions!$B$5)*D86</f>
        <v>0.3007543436</v>
      </c>
      <c r="G86" s="39">
        <f>E86*Assumptions!$B$4</f>
        <v>3205.98</v>
      </c>
      <c r="H86" s="39">
        <f t="shared" si="2"/>
        <v>964.2124106</v>
      </c>
      <c r="I86" s="39">
        <f t="shared" si="3"/>
        <v>2241.767589</v>
      </c>
      <c r="J86" s="39">
        <f t="array" ref="J86">INDEX('Mail Projection'!$B$29:$B$32,MATCH(A86,'Mail Projection'!$A$29:$A$32,0))*H86/SUMIF($A$5:$A$93,A86,$H$5:$H$93)</f>
        <v>27.92147902</v>
      </c>
      <c r="K86" s="39">
        <f t="array" ref="K86">INDEX('Mail Projection'!$C$29:$C$32,MATCH(A86,'Mail Projection'!$A$29:$A$32,0))*I86/SUMIF($A$5:$A$93,A86,$I$5:$I$93)</f>
        <v>-8.289566219</v>
      </c>
      <c r="L86" s="39">
        <f t="shared" ref="L86:M86" si="86">H86+J86</f>
        <v>992.1338896</v>
      </c>
      <c r="M86" s="39">
        <f t="shared" si="86"/>
        <v>2233.478023</v>
      </c>
      <c r="N86" s="38">
        <f t="shared" si="5"/>
        <v>0.307580055</v>
      </c>
      <c r="O86" s="40">
        <f t="shared" si="6"/>
        <v>-0.6214790866</v>
      </c>
      <c r="P86" s="12">
        <v>0.267065864797328</v>
      </c>
      <c r="Q86" s="12">
        <v>0.348153496466162</v>
      </c>
      <c r="R86" s="41">
        <v>0.0</v>
      </c>
    </row>
    <row r="87" ht="15.0" customHeight="1">
      <c r="A87" s="4" t="s">
        <v>66</v>
      </c>
      <c r="B87" s="4" t="s">
        <v>227</v>
      </c>
      <c r="C87" s="12">
        <v>0.468665519783731</v>
      </c>
      <c r="D87" s="12">
        <v>0.477742641693019</v>
      </c>
      <c r="E87" s="37">
        <v>4111.0</v>
      </c>
      <c r="F87" s="38">
        <f>Assumptions!$B$5*C87+(1-Assumptions!$B$5)*D87</f>
        <v>0.4732040807</v>
      </c>
      <c r="G87" s="39">
        <f>E87*Assumptions!$B$4</f>
        <v>3329.91</v>
      </c>
      <c r="H87" s="39">
        <f t="shared" si="2"/>
        <v>1575.727</v>
      </c>
      <c r="I87" s="39">
        <f t="shared" si="3"/>
        <v>1754.183</v>
      </c>
      <c r="J87" s="39">
        <f t="array" ref="J87">INDEX('Mail Projection'!$B$29:$B$32,MATCH(A87,'Mail Projection'!$A$29:$A$32,0))*H87/SUMIF($A$5:$A$93,A87,$H$5:$H$93)</f>
        <v>45.62960185</v>
      </c>
      <c r="K87" s="39">
        <f t="array" ref="K87">INDEX('Mail Projection'!$C$29:$C$32,MATCH(A87,'Mail Projection'!$A$29:$A$32,0))*I87/SUMIF($A$5:$A$93,A87,$I$5:$I$93)</f>
        <v>-6.486585051</v>
      </c>
      <c r="L87" s="39">
        <f t="shared" ref="L87:M87" si="87">H87+J87</f>
        <v>1621.356602</v>
      </c>
      <c r="M87" s="39">
        <f t="shared" si="87"/>
        <v>1747.696414</v>
      </c>
      <c r="N87" s="38">
        <f t="shared" si="5"/>
        <v>0.4812499519</v>
      </c>
      <c r="O87" s="40">
        <f t="shared" si="6"/>
        <v>0.3507310224</v>
      </c>
      <c r="P87" s="12">
        <v>0.440295572333563</v>
      </c>
      <c r="Q87" s="12">
        <v>0.521852537590073</v>
      </c>
      <c r="R87" s="41">
        <v>0.2709</v>
      </c>
    </row>
    <row r="88" ht="15.0" customHeight="1">
      <c r="A88" s="4" t="s">
        <v>66</v>
      </c>
      <c r="B88" s="4" t="s">
        <v>228</v>
      </c>
      <c r="C88" s="12">
        <v>0.387735849056604</v>
      </c>
      <c r="D88" s="12">
        <v>0.387337057728119</v>
      </c>
      <c r="E88" s="37">
        <v>1074.0</v>
      </c>
      <c r="F88" s="38">
        <f>Assumptions!$B$5*C88+(1-Assumptions!$B$5)*D88</f>
        <v>0.3875364534</v>
      </c>
      <c r="G88" s="39">
        <f>E88*Assumptions!$B$4</f>
        <v>869.94</v>
      </c>
      <c r="H88" s="39">
        <f t="shared" si="2"/>
        <v>337.1334623</v>
      </c>
      <c r="I88" s="39">
        <f t="shared" si="3"/>
        <v>532.8065377</v>
      </c>
      <c r="J88" s="39">
        <f t="array" ref="J88">INDEX('Mail Projection'!$B$29:$B$32,MATCH(A88,'Mail Projection'!$A$29:$A$32,0))*H88/SUMIF($A$5:$A$93,A88,$H$5:$H$93)</f>
        <v>9.762646479</v>
      </c>
      <c r="K88" s="39">
        <f t="array" ref="K88">INDEX('Mail Projection'!$C$29:$C$32,MATCH(A88,'Mail Projection'!$A$29:$A$32,0))*I88/SUMIF($A$5:$A$93,A88,$I$5:$I$93)</f>
        <v>-1.970202039</v>
      </c>
      <c r="L88" s="39">
        <f t="shared" ref="L88:M88" si="88">H88+J88</f>
        <v>346.8961087</v>
      </c>
      <c r="M88" s="39">
        <f t="shared" si="88"/>
        <v>530.8363357</v>
      </c>
      <c r="N88" s="38">
        <f t="shared" si="5"/>
        <v>0.3952185099</v>
      </c>
      <c r="O88" s="40">
        <f t="shared" si="6"/>
        <v>0.7881452127</v>
      </c>
      <c r="P88" s="12">
        <v>0.353977555892798</v>
      </c>
      <c r="Q88" s="12">
        <v>0.435534346181895</v>
      </c>
      <c r="R88" s="41">
        <v>4.5E-4</v>
      </c>
    </row>
    <row r="89" ht="15.0" customHeight="1">
      <c r="A89" s="4" t="s">
        <v>66</v>
      </c>
      <c r="B89" s="4" t="s">
        <v>229</v>
      </c>
      <c r="C89" s="12">
        <v>0.318167045823854</v>
      </c>
      <c r="D89" s="12">
        <v>0.332694151486098</v>
      </c>
      <c r="E89" s="37">
        <v>3129.0</v>
      </c>
      <c r="F89" s="38">
        <f>Assumptions!$B$5*C89+(1-Assumptions!$B$5)*D89</f>
        <v>0.3254305987</v>
      </c>
      <c r="G89" s="39">
        <f>E89*Assumptions!$B$4</f>
        <v>2534.49</v>
      </c>
      <c r="H89" s="39">
        <f t="shared" si="2"/>
        <v>824.800598</v>
      </c>
      <c r="I89" s="39">
        <f t="shared" si="3"/>
        <v>1709.689402</v>
      </c>
      <c r="J89" s="39">
        <f t="array" ref="J89">INDEX('Mail Projection'!$B$29:$B$32,MATCH(A89,'Mail Projection'!$A$29:$A$32,0))*H89/SUMIF($A$5:$A$93,A89,$H$5:$H$93)</f>
        <v>23.88441835</v>
      </c>
      <c r="K89" s="39">
        <f t="array" ref="K89">INDEX('Mail Projection'!$C$29:$C$32,MATCH(A89,'Mail Projection'!$A$29:$A$32,0))*I89/SUMIF($A$5:$A$93,A89,$I$5:$I$93)</f>
        <v>-6.32205746</v>
      </c>
      <c r="L89" s="39">
        <f t="shared" ref="L89:M89" si="89">H89+J89</f>
        <v>848.6850163</v>
      </c>
      <c r="M89" s="39">
        <f t="shared" si="89"/>
        <v>1703.367345</v>
      </c>
      <c r="N89" s="38">
        <f t="shared" si="5"/>
        <v>0.3325500015</v>
      </c>
      <c r="O89" s="40">
        <f t="shared" si="6"/>
        <v>-0.01441500271</v>
      </c>
      <c r="P89" s="12">
        <v>0.291756042547126</v>
      </c>
      <c r="Q89" s="12">
        <v>0.372448547573626</v>
      </c>
      <c r="R89" s="41">
        <v>0.0</v>
      </c>
    </row>
    <row r="90" ht="15.0" customHeight="1">
      <c r="A90" s="4" t="s">
        <v>66</v>
      </c>
      <c r="B90" s="4" t="s">
        <v>230</v>
      </c>
      <c r="C90" s="12">
        <v>0.447368421052632</v>
      </c>
      <c r="D90" s="12">
        <v>0.475465313028765</v>
      </c>
      <c r="E90" s="37">
        <v>591.0</v>
      </c>
      <c r="F90" s="38">
        <f>Assumptions!$B$5*C90+(1-Assumptions!$B$5)*D90</f>
        <v>0.461416867</v>
      </c>
      <c r="G90" s="39">
        <f>E90*Assumptions!$B$4</f>
        <v>478.71</v>
      </c>
      <c r="H90" s="39">
        <f t="shared" si="2"/>
        <v>220.8848684</v>
      </c>
      <c r="I90" s="39">
        <f t="shared" si="3"/>
        <v>257.8251316</v>
      </c>
      <c r="J90" s="39">
        <f t="array" ref="J90">INDEX('Mail Projection'!$B$29:$B$32,MATCH(A90,'Mail Projection'!$A$29:$A$32,0))*H90/SUMIF($A$5:$A$93,A90,$H$5:$H$93)</f>
        <v>6.396341877</v>
      </c>
      <c r="K90" s="39">
        <f t="array" ref="K90">INDEX('Mail Projection'!$C$29:$C$32,MATCH(A90,'Mail Projection'!$A$29:$A$32,0))*I90/SUMIF($A$5:$A$93,A90,$I$5:$I$93)</f>
        <v>-0.9533809442</v>
      </c>
      <c r="L90" s="39">
        <f t="shared" ref="L90:M90" si="90">H90+J90</f>
        <v>227.2812103</v>
      </c>
      <c r="M90" s="39">
        <f t="shared" si="90"/>
        <v>256.8717506</v>
      </c>
      <c r="N90" s="38">
        <f t="shared" si="5"/>
        <v>0.4694409177</v>
      </c>
      <c r="O90" s="40">
        <f t="shared" si="6"/>
        <v>-0.6024395306</v>
      </c>
      <c r="P90" s="12">
        <v>0.428389055733583</v>
      </c>
      <c r="Q90" s="12">
        <v>0.509438232206523</v>
      </c>
      <c r="R90" s="41">
        <v>0.165</v>
      </c>
    </row>
    <row r="91" ht="15.0" customHeight="1">
      <c r="A91" s="4" t="s">
        <v>66</v>
      </c>
      <c r="B91" s="4" t="s">
        <v>231</v>
      </c>
      <c r="C91" s="12">
        <v>0.407734542850322</v>
      </c>
      <c r="D91" s="12">
        <v>0.434792843691149</v>
      </c>
      <c r="E91" s="37">
        <v>4248.0</v>
      </c>
      <c r="F91" s="38">
        <f>Assumptions!$B$5*C91+(1-Assumptions!$B$5)*D91</f>
        <v>0.4212636933</v>
      </c>
      <c r="G91" s="39">
        <f>E91*Assumptions!$B$4</f>
        <v>3440.88</v>
      </c>
      <c r="H91" s="39">
        <f t="shared" si="2"/>
        <v>1449.517817</v>
      </c>
      <c r="I91" s="39">
        <f t="shared" si="3"/>
        <v>1991.362183</v>
      </c>
      <c r="J91" s="39">
        <f t="array" ref="J91">INDEX('Mail Projection'!$B$29:$B$32,MATCH(A91,'Mail Projection'!$A$29:$A$32,0))*H91/SUMIF($A$5:$A$93,A91,$H$5:$H$93)</f>
        <v>41.97486039</v>
      </c>
      <c r="K91" s="39">
        <f t="array" ref="K91">INDEX('Mail Projection'!$C$29:$C$32,MATCH(A91,'Mail Projection'!$A$29:$A$32,0))*I91/SUMIF($A$5:$A$93,A91,$I$5:$I$93)</f>
        <v>-7.363621796</v>
      </c>
      <c r="L91" s="39">
        <f t="shared" ref="L91:M91" si="91">H91+J91</f>
        <v>1491.492677</v>
      </c>
      <c r="M91" s="39">
        <f t="shared" si="91"/>
        <v>1983.998561</v>
      </c>
      <c r="N91" s="38">
        <f t="shared" si="5"/>
        <v>0.4291458602</v>
      </c>
      <c r="O91" s="40">
        <f t="shared" si="6"/>
        <v>-0.5646983466</v>
      </c>
      <c r="P91" s="12">
        <v>0.388334091865979</v>
      </c>
      <c r="Q91" s="12">
        <v>0.469348107722224</v>
      </c>
      <c r="R91" s="41">
        <v>0.01135</v>
      </c>
    </row>
    <row r="92" ht="15.0" customHeight="1">
      <c r="A92" s="4" t="s">
        <v>66</v>
      </c>
      <c r="B92" s="4" t="s">
        <v>232</v>
      </c>
      <c r="C92" s="12">
        <v>0.54241267977693</v>
      </c>
      <c r="D92" s="12">
        <v>0.552256186317322</v>
      </c>
      <c r="E92" s="37">
        <v>3435.0</v>
      </c>
      <c r="F92" s="38">
        <f>Assumptions!$B$5*C92+(1-Assumptions!$B$5)*D92</f>
        <v>0.547334433</v>
      </c>
      <c r="G92" s="39">
        <f>E92*Assumptions!$B$4</f>
        <v>2782.35</v>
      </c>
      <c r="H92" s="39">
        <f t="shared" si="2"/>
        <v>1522.87596</v>
      </c>
      <c r="I92" s="39">
        <f t="shared" si="3"/>
        <v>1259.47404</v>
      </c>
      <c r="J92" s="39">
        <f t="array" ref="J92">INDEX('Mail Projection'!$B$29:$B$32,MATCH(A92,'Mail Projection'!$A$29:$A$32,0))*H92/SUMIF($A$5:$A$93,A92,$H$5:$H$93)</f>
        <v>44.0991515</v>
      </c>
      <c r="K92" s="39">
        <f t="array" ref="K92">INDEX('Mail Projection'!$C$29:$C$32,MATCH(A92,'Mail Projection'!$A$29:$A$32,0))*I92/SUMIF($A$5:$A$93,A92,$I$5:$I$93)</f>
        <v>-4.657259524</v>
      </c>
      <c r="L92" s="39">
        <f t="shared" ref="L92:M92" si="92">H92+J92</f>
        <v>1566.975111</v>
      </c>
      <c r="M92" s="39">
        <f t="shared" si="92"/>
        <v>1254.816781</v>
      </c>
      <c r="N92" s="38">
        <f t="shared" si="5"/>
        <v>0.5553120752</v>
      </c>
      <c r="O92" s="40">
        <f t="shared" si="6"/>
        <v>0.3055888873</v>
      </c>
      <c r="P92" s="12">
        <v>0.514489924029861</v>
      </c>
      <c r="Q92" s="12">
        <v>0.595357067831682</v>
      </c>
      <c r="R92" s="41">
        <v>0.9583</v>
      </c>
    </row>
    <row r="93" ht="15.0" customHeight="1">
      <c r="A93" s="4" t="s">
        <v>66</v>
      </c>
      <c r="B93" s="4" t="s">
        <v>233</v>
      </c>
      <c r="C93" s="12">
        <v>0.419397116644823</v>
      </c>
      <c r="D93" s="12">
        <v>0.425503355704698</v>
      </c>
      <c r="E93" s="37">
        <v>1490.0</v>
      </c>
      <c r="F93" s="38">
        <f>Assumptions!$B$5*C93+(1-Assumptions!$B$5)*D93</f>
        <v>0.4224502362</v>
      </c>
      <c r="G93" s="39">
        <f>E93*Assumptions!$B$4</f>
        <v>1206.9</v>
      </c>
      <c r="H93" s="39">
        <f t="shared" si="2"/>
        <v>509.85519</v>
      </c>
      <c r="I93" s="39">
        <f t="shared" si="3"/>
        <v>697.04481</v>
      </c>
      <c r="J93" s="39">
        <f t="array" ref="J93">INDEX('Mail Projection'!$B$29:$B$32,MATCH(A93,'Mail Projection'!$A$29:$A$32,0))*H93/SUMIF($A$5:$A$93,A93,$H$5:$H$93)</f>
        <v>14.76428932</v>
      </c>
      <c r="K93" s="39">
        <f t="array" ref="K93">INDEX('Mail Projection'!$C$29:$C$32,MATCH(A93,'Mail Projection'!$A$29:$A$32,0))*I93/SUMIF($A$5:$A$93,A93,$I$5:$I$93)</f>
        <v>-2.577519247</v>
      </c>
      <c r="L93" s="39">
        <f t="shared" ref="L93:M93" si="93">H93+J93</f>
        <v>524.6194794</v>
      </c>
      <c r="M93" s="39">
        <f t="shared" si="93"/>
        <v>694.4672907</v>
      </c>
      <c r="N93" s="38">
        <f t="shared" si="5"/>
        <v>0.4303380959</v>
      </c>
      <c r="O93" s="40">
        <f t="shared" si="6"/>
        <v>0.4834740186</v>
      </c>
      <c r="P93" s="12">
        <v>0.390046800855008</v>
      </c>
      <c r="Q93" s="12">
        <v>0.47044140944551</v>
      </c>
      <c r="R93" s="41">
        <v>0.01145</v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</sheetData>
  <conditionalFormatting sqref="N5:N93">
    <cfRule type="colorScale" priority="1">
      <colorScale>
        <cfvo type="formula" val="0.2"/>
        <cfvo type="formula" val="0.5"/>
        <cfvo type="formula" val="0.8"/>
        <color rgb="FFF4B6B6"/>
        <color rgb="FFFFFFFF"/>
        <color rgb="FF9DC3E6"/>
      </colorScale>
    </cfRule>
  </conditionalFormatting>
  <printOptions/>
  <pageMargins bottom="1.0" footer="0.0" header="0.0" left="0.75" right="0.75" top="1.0"/>
  <pageSetup paperSize="9" orientation="portrait"/>
  <drawing r:id="rId1"/>
</worksheet>
</file>